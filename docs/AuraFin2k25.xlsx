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showInkAnnotation="0" codeName="ThisWorkbook" autoCompressPictures="0"/>
  <mc:AlternateContent xmlns:mc="http://schemas.openxmlformats.org/markup-compatibility/2006">
    <mc:Choice Requires="x15">
      <x15ac:absPath xmlns:x15ac="http://schemas.microsoft.com/office/spreadsheetml/2010/11/ac" url="C:\Users\Mariam Kamal\Dropbox\Aura-Finance\Aura2k25\"/>
    </mc:Choice>
  </mc:AlternateContent>
  <xr:revisionPtr revIDLastSave="0" documentId="13_ncr:1_{74EC7854-962B-42AA-A0B1-F14A1BCB4D3A}" xr6:coauthVersionLast="47" xr6:coauthVersionMax="47" xr10:uidLastSave="{00000000-0000-0000-0000-000000000000}"/>
  <bookViews>
    <workbookView xWindow="-120" yWindow="-120" windowWidth="20730" windowHeight="11040" tabRatio="757" firstSheet="1" activeTab="2" xr2:uid="{00000000-000D-0000-FFFF-FFFF00000000}"/>
  </bookViews>
  <sheets>
    <sheet name="Investment Report" sheetId="2" state="hidden" r:id="rId1"/>
    <sheet name="Dashboard" sheetId="13" r:id="rId2"/>
    <sheet name="plugo" sheetId="1" r:id="rId3"/>
    <sheet name="Jan" sheetId="42" r:id="rId4"/>
    <sheet name="Feb" sheetId="43" r:id="rId5"/>
    <sheet name="Mar" sheetId="44" r:id="rId6"/>
    <sheet name="Apr" sheetId="45" r:id="rId7"/>
    <sheet name="May" sheetId="46" r:id="rId8"/>
    <sheet name="Jun" sheetId="47" r:id="rId9"/>
    <sheet name="Jul" sheetId="48" r:id="rId10"/>
    <sheet name="Aug" sheetId="49" r:id="rId11"/>
    <sheet name="Sep" sheetId="50" r:id="rId12"/>
    <sheet name="Oct" sheetId="51" r:id="rId13"/>
    <sheet name="Nov" sheetId="52" r:id="rId14"/>
    <sheet name="Dec" sheetId="53" r:id="rId15"/>
    <sheet name="Income Pivot" sheetId="4" state="hidden" r:id="rId16"/>
    <sheet name="Payroll Pivot" sheetId="5" state="hidden" r:id="rId17"/>
    <sheet name="Expenses Pivot" sheetId="6" state="hidden" r:id="rId18"/>
    <sheet name="OpEx Pivot" sheetId="7" state="hidden" r:id="rId19"/>
    <sheet name="CoS Pivot" sheetId="8" state="hidden" r:id="rId20"/>
    <sheet name="Tax Pivot" sheetId="9" state="hidden" r:id="rId21"/>
    <sheet name="Ads Pivot" sheetId="10" state="hidden" r:id="rId22"/>
    <sheet name="Hosting Pivot" sheetId="12" state="hidden" r:id="rId23"/>
    <sheet name="Customers Count Pivot" sheetId="11" state="hidden" r:id="rId24"/>
    <sheet name="VAT Pivot" sheetId="14" state="hidden" r:id="rId25"/>
    <sheet name="Categories" sheetId="3" state="hidden" r:id="rId26"/>
  </sheets>
  <externalReferences>
    <externalReference r:id="rId27"/>
    <externalReference r:id="rId28"/>
  </externalReferences>
  <definedNames>
    <definedName name="Slicer_Customer">#N/A</definedName>
    <definedName name="Slicer_Department">#N/A</definedName>
    <definedName name="Slicer_Months">#N/A</definedName>
  </definedNames>
  <calcPr calcId="191029"/>
  <pivotCaches>
    <pivotCache cacheId="0" r:id="rId29"/>
  </pivotCaches>
  <extLs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8" i="53" l="1"/>
  <c r="I7" i="53"/>
  <c r="C20" i="53"/>
  <c r="E18" i="53"/>
  <c r="E19" i="53" s="1"/>
  <c r="E20" i="53" l="1"/>
  <c r="C17" i="53" l="1"/>
  <c r="I11" i="53"/>
  <c r="I9" i="53"/>
  <c r="E16" i="53"/>
  <c r="E17" i="53" s="1"/>
  <c r="L984" i="1"/>
  <c r="T984" i="1" s="1"/>
  <c r="U984" i="1" s="1"/>
  <c r="L897" i="1"/>
  <c r="D984" i="1"/>
  <c r="C984" i="1"/>
  <c r="L983" i="1"/>
  <c r="L633" i="1"/>
  <c r="L752" i="1"/>
  <c r="T17" i="1"/>
  <c r="U17" i="1" s="1"/>
  <c r="T18" i="1"/>
  <c r="U18" i="1" s="1"/>
  <c r="T19" i="1"/>
  <c r="U19" i="1" s="1"/>
  <c r="T20" i="1"/>
  <c r="U20" i="1" s="1"/>
  <c r="T23" i="1"/>
  <c r="U23" i="1" s="1"/>
  <c r="T24" i="1"/>
  <c r="U24" i="1" s="1"/>
  <c r="T26" i="1"/>
  <c r="U26" i="1" s="1"/>
  <c r="T27" i="1"/>
  <c r="U27" i="1" s="1"/>
  <c r="T28" i="1"/>
  <c r="U28" i="1" s="1"/>
  <c r="T31" i="1"/>
  <c r="U31" i="1" s="1"/>
  <c r="T34" i="1"/>
  <c r="U34" i="1" s="1"/>
  <c r="T36" i="1"/>
  <c r="U36" i="1" s="1"/>
  <c r="T37" i="1"/>
  <c r="U37" i="1" s="1"/>
  <c r="T39" i="1"/>
  <c r="U39" i="1" s="1"/>
  <c r="T41" i="1"/>
  <c r="U41" i="1" s="1"/>
  <c r="T44" i="1"/>
  <c r="U44" i="1" s="1"/>
  <c r="T45" i="1"/>
  <c r="U45" i="1" s="1"/>
  <c r="T48" i="1"/>
  <c r="U48" i="1" s="1"/>
  <c r="T49" i="1"/>
  <c r="U49" i="1" s="1"/>
  <c r="T51" i="1"/>
  <c r="U51" i="1" s="1"/>
  <c r="T52" i="1"/>
  <c r="U52" i="1" s="1"/>
  <c r="T53" i="1"/>
  <c r="U53" i="1" s="1"/>
  <c r="T55" i="1"/>
  <c r="U55" i="1" s="1"/>
  <c r="T56" i="1"/>
  <c r="U56" i="1" s="1"/>
  <c r="T57" i="1"/>
  <c r="U57" i="1" s="1"/>
  <c r="T59" i="1"/>
  <c r="U59" i="1" s="1"/>
  <c r="T64" i="1"/>
  <c r="U64" i="1" s="1"/>
  <c r="T70" i="1"/>
  <c r="U70" i="1" s="1"/>
  <c r="T71" i="1"/>
  <c r="U71" i="1" s="1"/>
  <c r="T72" i="1"/>
  <c r="U72" i="1" s="1"/>
  <c r="T73" i="1"/>
  <c r="U73" i="1" s="1"/>
  <c r="T74" i="1"/>
  <c r="U74" i="1" s="1"/>
  <c r="T77" i="1"/>
  <c r="U77" i="1" s="1"/>
  <c r="T78" i="1"/>
  <c r="U78" i="1" s="1"/>
  <c r="T79" i="1"/>
  <c r="U79" i="1" s="1"/>
  <c r="T80" i="1"/>
  <c r="U80" i="1" s="1"/>
  <c r="T81" i="1"/>
  <c r="U81" i="1" s="1"/>
  <c r="T82" i="1"/>
  <c r="U82" i="1" s="1"/>
  <c r="T85" i="1"/>
  <c r="U85" i="1" s="1"/>
  <c r="T89" i="1"/>
  <c r="U89" i="1" s="1"/>
  <c r="T90" i="1"/>
  <c r="U90" i="1" s="1"/>
  <c r="T93" i="1"/>
  <c r="U93" i="1" s="1"/>
  <c r="T96" i="1"/>
  <c r="U96" i="1" s="1"/>
  <c r="T97" i="1"/>
  <c r="U97" i="1" s="1"/>
  <c r="T98" i="1"/>
  <c r="U98" i="1" s="1"/>
  <c r="T101" i="1"/>
  <c r="U101" i="1" s="1"/>
  <c r="T102" i="1"/>
  <c r="U102" i="1" s="1"/>
  <c r="T103" i="1"/>
  <c r="U103" i="1" s="1"/>
  <c r="T105" i="1"/>
  <c r="U105" i="1" s="1"/>
  <c r="T106" i="1"/>
  <c r="U106" i="1" s="1"/>
  <c r="T110" i="1"/>
  <c r="U110" i="1" s="1"/>
  <c r="T113" i="1"/>
  <c r="U113" i="1" s="1"/>
  <c r="T114" i="1"/>
  <c r="U114" i="1" s="1"/>
  <c r="T115" i="1"/>
  <c r="U115" i="1" s="1"/>
  <c r="T118" i="1"/>
  <c r="U118" i="1" s="1"/>
  <c r="T120" i="1"/>
  <c r="U120" i="1" s="1"/>
  <c r="T121" i="1"/>
  <c r="U121" i="1" s="1"/>
  <c r="T122" i="1"/>
  <c r="U122" i="1" s="1"/>
  <c r="T123" i="1"/>
  <c r="U123" i="1" s="1"/>
  <c r="T124" i="1"/>
  <c r="U124" i="1" s="1"/>
  <c r="T127" i="1"/>
  <c r="U127" i="1" s="1"/>
  <c r="T128" i="1"/>
  <c r="U128" i="1" s="1"/>
  <c r="T131" i="1"/>
  <c r="U131" i="1" s="1"/>
  <c r="T134" i="1"/>
  <c r="U134" i="1" s="1"/>
  <c r="T137" i="1"/>
  <c r="U137" i="1" s="1"/>
  <c r="T138" i="1"/>
  <c r="U138" i="1" s="1"/>
  <c r="T139" i="1"/>
  <c r="U139" i="1" s="1"/>
  <c r="T146" i="1"/>
  <c r="U146" i="1" s="1"/>
  <c r="T148" i="1"/>
  <c r="U148" i="1" s="1"/>
  <c r="T150" i="1"/>
  <c r="U150" i="1" s="1"/>
  <c r="T152" i="1"/>
  <c r="U152" i="1" s="1"/>
  <c r="T154" i="1"/>
  <c r="U154" i="1" s="1"/>
  <c r="T155" i="1"/>
  <c r="U155" i="1" s="1"/>
  <c r="T157" i="1"/>
  <c r="U157" i="1" s="1"/>
  <c r="T160" i="1"/>
  <c r="U160" i="1" s="1"/>
  <c r="T161" i="1"/>
  <c r="U161" i="1" s="1"/>
  <c r="T162" i="1"/>
  <c r="U162" i="1" s="1"/>
  <c r="T163" i="1"/>
  <c r="U163" i="1" s="1"/>
  <c r="T166" i="1"/>
  <c r="U166" i="1" s="1"/>
  <c r="T167" i="1"/>
  <c r="U167" i="1" s="1"/>
  <c r="T168" i="1"/>
  <c r="U168" i="1" s="1"/>
  <c r="T169" i="1"/>
  <c r="U169" i="1" s="1"/>
  <c r="T171" i="1"/>
  <c r="U171" i="1" s="1"/>
  <c r="T178" i="1"/>
  <c r="U178" i="1" s="1"/>
  <c r="T181" i="1"/>
  <c r="U181" i="1" s="1"/>
  <c r="T182" i="1"/>
  <c r="U182" i="1" s="1"/>
  <c r="T184" i="1"/>
  <c r="U184" i="1" s="1"/>
  <c r="T186" i="1"/>
  <c r="U186" i="1" s="1"/>
  <c r="T191" i="1"/>
  <c r="U191" i="1" s="1"/>
  <c r="T193" i="1"/>
  <c r="U193" i="1" s="1"/>
  <c r="T194" i="1"/>
  <c r="U194" i="1" s="1"/>
  <c r="T195" i="1"/>
  <c r="U195" i="1" s="1"/>
  <c r="T197" i="1"/>
  <c r="U197" i="1" s="1"/>
  <c r="T198" i="1"/>
  <c r="U198" i="1" s="1"/>
  <c r="T199" i="1"/>
  <c r="U199" i="1" s="1"/>
  <c r="T200" i="1"/>
  <c r="U200" i="1" s="1"/>
  <c r="T206" i="1"/>
  <c r="U206" i="1" s="1"/>
  <c r="T207" i="1"/>
  <c r="U207" i="1" s="1"/>
  <c r="T208" i="1"/>
  <c r="U208" i="1" s="1"/>
  <c r="T209" i="1"/>
  <c r="U209" i="1" s="1"/>
  <c r="T210" i="1"/>
  <c r="U210" i="1" s="1"/>
  <c r="T211" i="1"/>
  <c r="U211" i="1" s="1"/>
  <c r="T215" i="1"/>
  <c r="U215" i="1" s="1"/>
  <c r="T217" i="1"/>
  <c r="U217" i="1" s="1"/>
  <c r="T218" i="1"/>
  <c r="U218" i="1" s="1"/>
  <c r="T220" i="1"/>
  <c r="U220" i="1" s="1"/>
  <c r="T227" i="1"/>
  <c r="U227" i="1" s="1"/>
  <c r="T229" i="1"/>
  <c r="U229" i="1" s="1"/>
  <c r="T230" i="1"/>
  <c r="U230" i="1" s="1"/>
  <c r="T237" i="1"/>
  <c r="U237" i="1" s="1"/>
  <c r="T238" i="1"/>
  <c r="U238" i="1" s="1"/>
  <c r="T239" i="1"/>
  <c r="U239" i="1" s="1"/>
  <c r="T240" i="1"/>
  <c r="U240" i="1" s="1"/>
  <c r="T241" i="1"/>
  <c r="U241" i="1" s="1"/>
  <c r="T244" i="1"/>
  <c r="U244" i="1" s="1"/>
  <c r="T245" i="1"/>
  <c r="U245" i="1" s="1"/>
  <c r="T246" i="1"/>
  <c r="U246" i="1" s="1"/>
  <c r="T248" i="1"/>
  <c r="U248" i="1" s="1"/>
  <c r="T252" i="1"/>
  <c r="U252" i="1" s="1"/>
  <c r="T255" i="1"/>
  <c r="U255" i="1" s="1"/>
  <c r="T256" i="1"/>
  <c r="U256" i="1" s="1"/>
  <c r="T259" i="1"/>
  <c r="U259" i="1" s="1"/>
  <c r="T261" i="1"/>
  <c r="U261" i="1" s="1"/>
  <c r="T262" i="1"/>
  <c r="U262" i="1" s="1"/>
  <c r="T263" i="1"/>
  <c r="U263" i="1" s="1"/>
  <c r="T264" i="1"/>
  <c r="U264" i="1" s="1"/>
  <c r="T268" i="1"/>
  <c r="U268" i="1" s="1"/>
  <c r="T269" i="1"/>
  <c r="U269" i="1" s="1"/>
  <c r="T270" i="1"/>
  <c r="U270" i="1" s="1"/>
  <c r="T271" i="1"/>
  <c r="U271" i="1" s="1"/>
  <c r="T272" i="1"/>
  <c r="U272" i="1" s="1"/>
  <c r="T278" i="1"/>
  <c r="U278" i="1" s="1"/>
  <c r="T279" i="1"/>
  <c r="U279" i="1" s="1"/>
  <c r="T281" i="1"/>
  <c r="U281" i="1" s="1"/>
  <c r="T284" i="1"/>
  <c r="U284" i="1" s="1"/>
  <c r="T285" i="1"/>
  <c r="U285" i="1" s="1"/>
  <c r="T286" i="1"/>
  <c r="U286" i="1" s="1"/>
  <c r="T287" i="1"/>
  <c r="U287" i="1" s="1"/>
  <c r="T288" i="1"/>
  <c r="U288" i="1" s="1"/>
  <c r="T289" i="1"/>
  <c r="U289" i="1" s="1"/>
  <c r="T290" i="1"/>
  <c r="U290" i="1" s="1"/>
  <c r="T291" i="1"/>
  <c r="U291" i="1" s="1"/>
  <c r="T295" i="1"/>
  <c r="U295" i="1" s="1"/>
  <c r="T297" i="1"/>
  <c r="U297" i="1" s="1"/>
  <c r="T298" i="1"/>
  <c r="U298" i="1" s="1"/>
  <c r="T299" i="1"/>
  <c r="U299" i="1" s="1"/>
  <c r="T300" i="1"/>
  <c r="U300" i="1" s="1"/>
  <c r="T303" i="1"/>
  <c r="U303" i="1" s="1"/>
  <c r="T306" i="1"/>
  <c r="U306" i="1" s="1"/>
  <c r="T307" i="1"/>
  <c r="U307" i="1" s="1"/>
  <c r="T308" i="1"/>
  <c r="U308" i="1" s="1"/>
  <c r="T311" i="1"/>
  <c r="U311" i="1" s="1"/>
  <c r="T313" i="1"/>
  <c r="U313" i="1" s="1"/>
  <c r="T314" i="1"/>
  <c r="U314" i="1" s="1"/>
  <c r="T317" i="1"/>
  <c r="U317" i="1" s="1"/>
  <c r="T318" i="1"/>
  <c r="U318" i="1" s="1"/>
  <c r="T319" i="1"/>
  <c r="U319" i="1" s="1"/>
  <c r="T321" i="1"/>
  <c r="U321" i="1" s="1"/>
  <c r="T322" i="1"/>
  <c r="U322" i="1" s="1"/>
  <c r="T325" i="1"/>
  <c r="U325" i="1" s="1"/>
  <c r="T328" i="1"/>
  <c r="U328" i="1" s="1"/>
  <c r="T330" i="1"/>
  <c r="U330" i="1" s="1"/>
  <c r="T331" i="1"/>
  <c r="U331" i="1" s="1"/>
  <c r="T332" i="1"/>
  <c r="U332" i="1" s="1"/>
  <c r="T333" i="1"/>
  <c r="U333" i="1" s="1"/>
  <c r="T334" i="1"/>
  <c r="U334" i="1" s="1"/>
  <c r="T335" i="1"/>
  <c r="U335" i="1" s="1"/>
  <c r="T336" i="1"/>
  <c r="U336" i="1" s="1"/>
  <c r="T338" i="1"/>
  <c r="U338" i="1" s="1"/>
  <c r="T341" i="1"/>
  <c r="U341" i="1" s="1"/>
  <c r="T344" i="1"/>
  <c r="U344" i="1" s="1"/>
  <c r="T347" i="1"/>
  <c r="U347" i="1" s="1"/>
  <c r="T348" i="1"/>
  <c r="U348" i="1" s="1"/>
  <c r="T351" i="1"/>
  <c r="U351" i="1" s="1"/>
  <c r="T354" i="1"/>
  <c r="U354" i="1" s="1"/>
  <c r="T355" i="1"/>
  <c r="U355" i="1" s="1"/>
  <c r="T356" i="1"/>
  <c r="U356" i="1" s="1"/>
  <c r="T357" i="1"/>
  <c r="U357" i="1" s="1"/>
  <c r="T358" i="1"/>
  <c r="U358" i="1" s="1"/>
  <c r="T361" i="1"/>
  <c r="U361" i="1" s="1"/>
  <c r="T362" i="1"/>
  <c r="U362" i="1" s="1"/>
  <c r="T364" i="1"/>
  <c r="U364" i="1" s="1"/>
  <c r="T365" i="1"/>
  <c r="U365" i="1" s="1"/>
  <c r="T366" i="1"/>
  <c r="U366" i="1" s="1"/>
  <c r="T368" i="1"/>
  <c r="U368" i="1" s="1"/>
  <c r="T370" i="1"/>
  <c r="U370" i="1" s="1"/>
  <c r="T376" i="1"/>
  <c r="U376" i="1" s="1"/>
  <c r="T377" i="1"/>
  <c r="U377" i="1" s="1"/>
  <c r="T379" i="1"/>
  <c r="U379" i="1" s="1"/>
  <c r="T380" i="1"/>
  <c r="U380" i="1" s="1"/>
  <c r="T381" i="1"/>
  <c r="U381" i="1" s="1"/>
  <c r="T382" i="1"/>
  <c r="U382" i="1" s="1"/>
  <c r="T387" i="1"/>
  <c r="U387" i="1" s="1"/>
  <c r="T388" i="1"/>
  <c r="U388" i="1" s="1"/>
  <c r="T389" i="1"/>
  <c r="U389" i="1" s="1"/>
  <c r="T390" i="1"/>
  <c r="U390" i="1" s="1"/>
  <c r="T393" i="1"/>
  <c r="U393" i="1" s="1"/>
  <c r="T396" i="1"/>
  <c r="U396" i="1" s="1"/>
  <c r="T397" i="1"/>
  <c r="U397" i="1" s="1"/>
  <c r="T398" i="1"/>
  <c r="U398" i="1" s="1"/>
  <c r="T399" i="1"/>
  <c r="U399" i="1" s="1"/>
  <c r="T402" i="1"/>
  <c r="U402" i="1" s="1"/>
  <c r="T403" i="1"/>
  <c r="U403" i="1" s="1"/>
  <c r="T404" i="1"/>
  <c r="U404" i="1" s="1"/>
  <c r="T407" i="1"/>
  <c r="U407" i="1" s="1"/>
  <c r="T411" i="1"/>
  <c r="U411" i="1" s="1"/>
  <c r="T412" i="1"/>
  <c r="U412" i="1" s="1"/>
  <c r="T413" i="1"/>
  <c r="U413" i="1" s="1"/>
  <c r="T415" i="1"/>
  <c r="U415" i="1" s="1"/>
  <c r="T421" i="1"/>
  <c r="U421" i="1" s="1"/>
  <c r="T424" i="1"/>
  <c r="U424" i="1" s="1"/>
  <c r="T427" i="1"/>
  <c r="U427" i="1" s="1"/>
  <c r="T430" i="1"/>
  <c r="U430" i="1" s="1"/>
  <c r="T431" i="1"/>
  <c r="U431" i="1" s="1"/>
  <c r="T433" i="1"/>
  <c r="U433" i="1" s="1"/>
  <c r="T434" i="1"/>
  <c r="U434" i="1" s="1"/>
  <c r="T436" i="1"/>
  <c r="U436" i="1" s="1"/>
  <c r="T441" i="1"/>
  <c r="U441" i="1" s="1"/>
  <c r="T442" i="1"/>
  <c r="U442" i="1" s="1"/>
  <c r="T444" i="1"/>
  <c r="U444" i="1" s="1"/>
  <c r="T445" i="1"/>
  <c r="U445" i="1" s="1"/>
  <c r="T446" i="1"/>
  <c r="U446" i="1" s="1"/>
  <c r="T447" i="1"/>
  <c r="U447" i="1" s="1"/>
  <c r="T448" i="1"/>
  <c r="U448" i="1" s="1"/>
  <c r="T453" i="1"/>
  <c r="U453" i="1" s="1"/>
  <c r="T454" i="1"/>
  <c r="U454" i="1" s="1"/>
  <c r="T455" i="1"/>
  <c r="U455" i="1" s="1"/>
  <c r="T456" i="1"/>
  <c r="U456" i="1" s="1"/>
  <c r="T457" i="1"/>
  <c r="U457" i="1" s="1"/>
  <c r="T458" i="1"/>
  <c r="U458" i="1" s="1"/>
  <c r="T459" i="1"/>
  <c r="U459" i="1" s="1"/>
  <c r="T460" i="1"/>
  <c r="U460" i="1" s="1"/>
  <c r="T462" i="1"/>
  <c r="U462" i="1" s="1"/>
  <c r="T464" i="1"/>
  <c r="U464" i="1" s="1"/>
  <c r="T471" i="1"/>
  <c r="U471" i="1" s="1"/>
  <c r="T474" i="1"/>
  <c r="U474" i="1" s="1"/>
  <c r="T477" i="1"/>
  <c r="U477" i="1" s="1"/>
  <c r="T479" i="1"/>
  <c r="U479" i="1" s="1"/>
  <c r="T481" i="1"/>
  <c r="U481" i="1" s="1"/>
  <c r="T493" i="1"/>
  <c r="U493" i="1" s="1"/>
  <c r="T494" i="1"/>
  <c r="U494" i="1" s="1"/>
  <c r="T495" i="1"/>
  <c r="U495" i="1" s="1"/>
  <c r="T496" i="1"/>
  <c r="U496" i="1" s="1"/>
  <c r="T497" i="1"/>
  <c r="U497" i="1" s="1"/>
  <c r="T498" i="1"/>
  <c r="U498" i="1" s="1"/>
  <c r="T499" i="1"/>
  <c r="U499" i="1" s="1"/>
  <c r="T500" i="1"/>
  <c r="U500" i="1" s="1"/>
  <c r="T501" i="1"/>
  <c r="U501" i="1" s="1"/>
  <c r="T502" i="1"/>
  <c r="U502" i="1" s="1"/>
  <c r="T506" i="1"/>
  <c r="U506" i="1" s="1"/>
  <c r="T507" i="1"/>
  <c r="U507" i="1" s="1"/>
  <c r="T508" i="1"/>
  <c r="U508" i="1" s="1"/>
  <c r="T510" i="1"/>
  <c r="U510" i="1" s="1"/>
  <c r="T513" i="1"/>
  <c r="U513" i="1" s="1"/>
  <c r="T515" i="1"/>
  <c r="U515" i="1" s="1"/>
  <c r="T516" i="1"/>
  <c r="U516" i="1" s="1"/>
  <c r="T517" i="1"/>
  <c r="U517" i="1" s="1"/>
  <c r="T518" i="1"/>
  <c r="U518" i="1" s="1"/>
  <c r="T519" i="1"/>
  <c r="U519" i="1" s="1"/>
  <c r="T520" i="1"/>
  <c r="U520" i="1" s="1"/>
  <c r="T521" i="1"/>
  <c r="U521" i="1" s="1"/>
  <c r="T522" i="1"/>
  <c r="U522" i="1" s="1"/>
  <c r="T526" i="1"/>
  <c r="U526" i="1" s="1"/>
  <c r="T527" i="1"/>
  <c r="U527" i="1" s="1"/>
  <c r="T530" i="1"/>
  <c r="U530" i="1" s="1"/>
  <c r="T531" i="1"/>
  <c r="U531" i="1" s="1"/>
  <c r="T534" i="1"/>
  <c r="U534" i="1" s="1"/>
  <c r="T535" i="1"/>
  <c r="U535" i="1" s="1"/>
  <c r="T536" i="1"/>
  <c r="U536" i="1" s="1"/>
  <c r="T537" i="1"/>
  <c r="U537" i="1" s="1"/>
  <c r="T540" i="1"/>
  <c r="U540" i="1" s="1"/>
  <c r="T541" i="1"/>
  <c r="U541" i="1" s="1"/>
  <c r="T542" i="1"/>
  <c r="U542" i="1" s="1"/>
  <c r="T543" i="1"/>
  <c r="U543" i="1" s="1"/>
  <c r="T544" i="1"/>
  <c r="U544" i="1" s="1"/>
  <c r="T547" i="1"/>
  <c r="U547" i="1" s="1"/>
  <c r="T549" i="1"/>
  <c r="U549" i="1" s="1"/>
  <c r="T552" i="1"/>
  <c r="U552" i="1" s="1"/>
  <c r="T556" i="1"/>
  <c r="U556" i="1" s="1"/>
  <c r="T562" i="1"/>
  <c r="U562" i="1" s="1"/>
  <c r="T563" i="1"/>
  <c r="U563" i="1" s="1"/>
  <c r="T564" i="1"/>
  <c r="U564" i="1" s="1"/>
  <c r="T565" i="1"/>
  <c r="U565" i="1" s="1"/>
  <c r="T566" i="1"/>
  <c r="U566" i="1" s="1"/>
  <c r="T567" i="1"/>
  <c r="U567" i="1" s="1"/>
  <c r="T568" i="1"/>
  <c r="U568" i="1" s="1"/>
  <c r="T570" i="1"/>
  <c r="U570" i="1" s="1"/>
  <c r="T571" i="1"/>
  <c r="U571" i="1" s="1"/>
  <c r="T572" i="1"/>
  <c r="U572" i="1" s="1"/>
  <c r="T576" i="1"/>
  <c r="U576" i="1" s="1"/>
  <c r="T578" i="1"/>
  <c r="U578" i="1" s="1"/>
  <c r="T581" i="1"/>
  <c r="U581" i="1" s="1"/>
  <c r="T585" i="1"/>
  <c r="U585" i="1" s="1"/>
  <c r="T586" i="1"/>
  <c r="U586" i="1" s="1"/>
  <c r="T589" i="1"/>
  <c r="U589" i="1" s="1"/>
  <c r="T590" i="1"/>
  <c r="U590" i="1" s="1"/>
  <c r="T594" i="1"/>
  <c r="U594" i="1" s="1"/>
  <c r="T595" i="1"/>
  <c r="U595" i="1" s="1"/>
  <c r="T596" i="1"/>
  <c r="U596" i="1" s="1"/>
  <c r="T597" i="1"/>
  <c r="U597" i="1" s="1"/>
  <c r="T601" i="1"/>
  <c r="U601" i="1" s="1"/>
  <c r="T602" i="1"/>
  <c r="U602" i="1" s="1"/>
  <c r="T604" i="1"/>
  <c r="U604" i="1" s="1"/>
  <c r="T605" i="1"/>
  <c r="U605" i="1" s="1"/>
  <c r="T608" i="1"/>
  <c r="U608" i="1" s="1"/>
  <c r="T611" i="1"/>
  <c r="U611" i="1" s="1"/>
  <c r="T612" i="1"/>
  <c r="U612" i="1" s="1"/>
  <c r="T613" i="1"/>
  <c r="U613" i="1" s="1"/>
  <c r="T616" i="1"/>
  <c r="U616" i="1" s="1"/>
  <c r="T619" i="1"/>
  <c r="U619" i="1" s="1"/>
  <c r="T622" i="1"/>
  <c r="U622" i="1" s="1"/>
  <c r="T623" i="1"/>
  <c r="U623" i="1" s="1"/>
  <c r="T625" i="1"/>
  <c r="U625" i="1" s="1"/>
  <c r="T628" i="1"/>
  <c r="U628" i="1" s="1"/>
  <c r="T629" i="1"/>
  <c r="U629" i="1" s="1"/>
  <c r="T632" i="1"/>
  <c r="U632" i="1" s="1"/>
  <c r="T633" i="1"/>
  <c r="U633" i="1" s="1"/>
  <c r="T634" i="1"/>
  <c r="U634" i="1" s="1"/>
  <c r="T635" i="1"/>
  <c r="U635" i="1" s="1"/>
  <c r="T636" i="1"/>
  <c r="U636" i="1" s="1"/>
  <c r="T637" i="1"/>
  <c r="U637" i="1" s="1"/>
  <c r="T638" i="1"/>
  <c r="U638" i="1" s="1"/>
  <c r="T639" i="1"/>
  <c r="U639" i="1" s="1"/>
  <c r="T642" i="1"/>
  <c r="U642" i="1" s="1"/>
  <c r="T643" i="1"/>
  <c r="U643" i="1" s="1"/>
  <c r="T646" i="1"/>
  <c r="U646" i="1" s="1"/>
  <c r="T647" i="1"/>
  <c r="U647" i="1" s="1"/>
  <c r="T649" i="1"/>
  <c r="U649" i="1" s="1"/>
  <c r="T650" i="1"/>
  <c r="U650" i="1" s="1"/>
  <c r="T656" i="1"/>
  <c r="U656" i="1" s="1"/>
  <c r="T657" i="1"/>
  <c r="U657" i="1" s="1"/>
  <c r="T659" i="1"/>
  <c r="U659" i="1" s="1"/>
  <c r="T660" i="1"/>
  <c r="U660" i="1" s="1"/>
  <c r="T666" i="1"/>
  <c r="U666" i="1" s="1"/>
  <c r="T667" i="1"/>
  <c r="U667" i="1" s="1"/>
  <c r="T668" i="1"/>
  <c r="U668" i="1" s="1"/>
  <c r="T669" i="1"/>
  <c r="U669" i="1" s="1"/>
  <c r="T670" i="1"/>
  <c r="U670" i="1" s="1"/>
  <c r="T671" i="1"/>
  <c r="U671" i="1" s="1"/>
  <c r="T677" i="1"/>
  <c r="U677" i="1" s="1"/>
  <c r="T682" i="1"/>
  <c r="U682" i="1" s="1"/>
  <c r="T683" i="1"/>
  <c r="U683" i="1" s="1"/>
  <c r="T684" i="1"/>
  <c r="U684" i="1" s="1"/>
  <c r="T687" i="1"/>
  <c r="U687" i="1" s="1"/>
  <c r="T690" i="1"/>
  <c r="U690" i="1" s="1"/>
  <c r="T691" i="1"/>
  <c r="U691" i="1" s="1"/>
  <c r="T692" i="1"/>
  <c r="U692" i="1" s="1"/>
  <c r="T695" i="1"/>
  <c r="U695" i="1" s="1"/>
  <c r="T698" i="1"/>
  <c r="U698" i="1" s="1"/>
  <c r="T699" i="1"/>
  <c r="U699" i="1" s="1"/>
  <c r="T702" i="1"/>
  <c r="U702" i="1" s="1"/>
  <c r="T703" i="1"/>
  <c r="U703" i="1" s="1"/>
  <c r="T704" i="1"/>
  <c r="U704" i="1" s="1"/>
  <c r="T705" i="1"/>
  <c r="U705" i="1" s="1"/>
  <c r="T706" i="1"/>
  <c r="U706" i="1" s="1"/>
  <c r="T707" i="1"/>
  <c r="U707" i="1" s="1"/>
  <c r="T708" i="1"/>
  <c r="U708" i="1" s="1"/>
  <c r="T709" i="1"/>
  <c r="U709" i="1" s="1"/>
  <c r="T711" i="1"/>
  <c r="U711" i="1" s="1"/>
  <c r="T716" i="1"/>
  <c r="U716" i="1" s="1"/>
  <c r="T717" i="1"/>
  <c r="U717" i="1" s="1"/>
  <c r="T720" i="1"/>
  <c r="U720" i="1" s="1"/>
  <c r="T721" i="1"/>
  <c r="U721" i="1" s="1"/>
  <c r="T723" i="1"/>
  <c r="U723" i="1" s="1"/>
  <c r="T725" i="1"/>
  <c r="U725" i="1" s="1"/>
  <c r="T726" i="1"/>
  <c r="U726" i="1" s="1"/>
  <c r="T727" i="1"/>
  <c r="U727" i="1" s="1"/>
  <c r="T728" i="1"/>
  <c r="U728" i="1" s="1"/>
  <c r="T731" i="1"/>
  <c r="U731" i="1" s="1"/>
  <c r="T732" i="1"/>
  <c r="U732" i="1" s="1"/>
  <c r="T733" i="1"/>
  <c r="U733" i="1" s="1"/>
  <c r="T734" i="1"/>
  <c r="U734" i="1" s="1"/>
  <c r="T742" i="1"/>
  <c r="U742" i="1" s="1"/>
  <c r="T743" i="1"/>
  <c r="U743" i="1" s="1"/>
  <c r="T747" i="1"/>
  <c r="U747" i="1" s="1"/>
  <c r="T748" i="1"/>
  <c r="U748" i="1" s="1"/>
  <c r="T749" i="1"/>
  <c r="U749" i="1" s="1"/>
  <c r="T752" i="1"/>
  <c r="U752" i="1" s="1"/>
  <c r="T753" i="1"/>
  <c r="U753" i="1" s="1"/>
  <c r="T755" i="1"/>
  <c r="U755" i="1" s="1"/>
  <c r="T758" i="1"/>
  <c r="U758" i="1" s="1"/>
  <c r="T759" i="1"/>
  <c r="U759" i="1" s="1"/>
  <c r="T760" i="1"/>
  <c r="U760" i="1" s="1"/>
  <c r="T764" i="1"/>
  <c r="U764" i="1" s="1"/>
  <c r="T765" i="1"/>
  <c r="U765" i="1" s="1"/>
  <c r="T767" i="1"/>
  <c r="U767" i="1" s="1"/>
  <c r="T768" i="1"/>
  <c r="U768" i="1" s="1"/>
  <c r="T770" i="1"/>
  <c r="U770" i="1" s="1"/>
  <c r="T771" i="1"/>
  <c r="U771" i="1" s="1"/>
  <c r="T772" i="1"/>
  <c r="U772" i="1" s="1"/>
  <c r="T774" i="1"/>
  <c r="U774" i="1" s="1"/>
  <c r="T780" i="1"/>
  <c r="U780" i="1" s="1"/>
  <c r="T789" i="1"/>
  <c r="U789" i="1" s="1"/>
  <c r="T790" i="1"/>
  <c r="U790" i="1" s="1"/>
  <c r="T791" i="1"/>
  <c r="U791" i="1" s="1"/>
  <c r="T792" i="1"/>
  <c r="U792" i="1" s="1"/>
  <c r="T793" i="1"/>
  <c r="U793" i="1" s="1"/>
  <c r="T794" i="1"/>
  <c r="U794" i="1" s="1"/>
  <c r="T795" i="1"/>
  <c r="U795" i="1" s="1"/>
  <c r="T797" i="1"/>
  <c r="U797" i="1" s="1"/>
  <c r="T800" i="1"/>
  <c r="U800" i="1" s="1"/>
  <c r="T803" i="1"/>
  <c r="U803" i="1" s="1"/>
  <c r="T804" i="1"/>
  <c r="U804" i="1" s="1"/>
  <c r="T806" i="1"/>
  <c r="U806" i="1" s="1"/>
  <c r="T810" i="1"/>
  <c r="U810" i="1" s="1"/>
  <c r="T811" i="1"/>
  <c r="U811" i="1" s="1"/>
  <c r="T812" i="1"/>
  <c r="U812" i="1" s="1"/>
  <c r="T813" i="1"/>
  <c r="U813" i="1" s="1"/>
  <c r="T814" i="1"/>
  <c r="U814" i="1" s="1"/>
  <c r="T817" i="1"/>
  <c r="U817" i="1" s="1"/>
  <c r="T819" i="1"/>
  <c r="U819" i="1" s="1"/>
  <c r="T820" i="1"/>
  <c r="U820" i="1" s="1"/>
  <c r="T825" i="1"/>
  <c r="U825" i="1" s="1"/>
  <c r="T832" i="1"/>
  <c r="U832" i="1" s="1"/>
  <c r="T833" i="1"/>
  <c r="U833" i="1" s="1"/>
  <c r="T834" i="1"/>
  <c r="U834" i="1" s="1"/>
  <c r="T835" i="1"/>
  <c r="U835" i="1" s="1"/>
  <c r="T840" i="1"/>
  <c r="U840" i="1" s="1"/>
  <c r="T841" i="1"/>
  <c r="U841" i="1" s="1"/>
  <c r="T842" i="1"/>
  <c r="U842" i="1" s="1"/>
  <c r="T843" i="1"/>
  <c r="U843" i="1" s="1"/>
  <c r="T844" i="1"/>
  <c r="U844" i="1" s="1"/>
  <c r="T851" i="1"/>
  <c r="U851" i="1" s="1"/>
  <c r="T853" i="1"/>
  <c r="U853" i="1" s="1"/>
  <c r="T857" i="1"/>
  <c r="U857" i="1" s="1"/>
  <c r="T858" i="1"/>
  <c r="U858" i="1" s="1"/>
  <c r="T859" i="1"/>
  <c r="U859" i="1" s="1"/>
  <c r="T860" i="1"/>
  <c r="U860" i="1" s="1"/>
  <c r="T861" i="1"/>
  <c r="U861" i="1" s="1"/>
  <c r="T862" i="1"/>
  <c r="U862" i="1" s="1"/>
  <c r="T864" i="1"/>
  <c r="U864" i="1" s="1"/>
  <c r="T866" i="1"/>
  <c r="U866" i="1" s="1"/>
  <c r="T867" i="1"/>
  <c r="U867" i="1" s="1"/>
  <c r="T868" i="1"/>
  <c r="U868" i="1" s="1"/>
  <c r="T869" i="1"/>
  <c r="U869" i="1" s="1"/>
  <c r="T870" i="1"/>
  <c r="U870" i="1" s="1"/>
  <c r="T872" i="1"/>
  <c r="U872" i="1" s="1"/>
  <c r="T874" i="1"/>
  <c r="U874" i="1" s="1"/>
  <c r="T876" i="1"/>
  <c r="U876" i="1" s="1"/>
  <c r="T879" i="1"/>
  <c r="U879" i="1" s="1"/>
  <c r="T882" i="1"/>
  <c r="U882" i="1" s="1"/>
  <c r="T883" i="1"/>
  <c r="U883" i="1" s="1"/>
  <c r="T884" i="1"/>
  <c r="U884" i="1" s="1"/>
  <c r="T885" i="1"/>
  <c r="U885" i="1" s="1"/>
  <c r="T886" i="1"/>
  <c r="U886" i="1" s="1"/>
  <c r="T889" i="1"/>
  <c r="U889" i="1" s="1"/>
  <c r="T890" i="1"/>
  <c r="U890" i="1" s="1"/>
  <c r="T891" i="1"/>
  <c r="U891" i="1" s="1"/>
  <c r="T892" i="1"/>
  <c r="U892" i="1" s="1"/>
  <c r="T893" i="1"/>
  <c r="U893" i="1" s="1"/>
  <c r="T894" i="1"/>
  <c r="U894" i="1" s="1"/>
  <c r="T897" i="1"/>
  <c r="U897" i="1" s="1"/>
  <c r="T898" i="1"/>
  <c r="U898" i="1" s="1"/>
  <c r="T905" i="1"/>
  <c r="U905" i="1" s="1"/>
  <c r="T907" i="1"/>
  <c r="U907" i="1" s="1"/>
  <c r="T909" i="1"/>
  <c r="U909" i="1" s="1"/>
  <c r="T911" i="1"/>
  <c r="U911" i="1" s="1"/>
  <c r="T912" i="1"/>
  <c r="U912" i="1" s="1"/>
  <c r="T913" i="1"/>
  <c r="U913" i="1" s="1"/>
  <c r="T914" i="1"/>
  <c r="U914" i="1" s="1"/>
  <c r="T915" i="1"/>
  <c r="U915" i="1" s="1"/>
  <c r="T916" i="1"/>
  <c r="U916" i="1" s="1"/>
  <c r="T923" i="1"/>
  <c r="U923" i="1" s="1"/>
  <c r="T924" i="1"/>
  <c r="U924" i="1" s="1"/>
  <c r="T927" i="1"/>
  <c r="U927" i="1" s="1"/>
  <c r="T929" i="1"/>
  <c r="U929" i="1" s="1"/>
  <c r="T932" i="1"/>
  <c r="U932" i="1" s="1"/>
  <c r="T933" i="1"/>
  <c r="U933" i="1" s="1"/>
  <c r="T934" i="1"/>
  <c r="U934" i="1" s="1"/>
  <c r="T936" i="1"/>
  <c r="U936" i="1" s="1"/>
  <c r="T937" i="1"/>
  <c r="U937" i="1" s="1"/>
  <c r="T941" i="1"/>
  <c r="U941" i="1" s="1"/>
  <c r="T942" i="1"/>
  <c r="U942" i="1" s="1"/>
  <c r="T944" i="1"/>
  <c r="U944" i="1" s="1"/>
  <c r="T945" i="1"/>
  <c r="U945" i="1" s="1"/>
  <c r="T946" i="1"/>
  <c r="U946" i="1" s="1"/>
  <c r="T947" i="1"/>
  <c r="U947" i="1" s="1"/>
  <c r="T948" i="1"/>
  <c r="U948" i="1" s="1"/>
  <c r="T949" i="1"/>
  <c r="U949" i="1" s="1"/>
  <c r="T950" i="1"/>
  <c r="U950" i="1" s="1"/>
  <c r="T951" i="1"/>
  <c r="U951" i="1" s="1"/>
  <c r="T954" i="1"/>
  <c r="U954" i="1" s="1"/>
  <c r="T958" i="1"/>
  <c r="U958" i="1" s="1"/>
  <c r="T959" i="1"/>
  <c r="U959" i="1" s="1"/>
  <c r="T961" i="1"/>
  <c r="U961" i="1" s="1"/>
  <c r="T966" i="1"/>
  <c r="U966" i="1" s="1"/>
  <c r="T967" i="1"/>
  <c r="U967" i="1" s="1"/>
  <c r="T969" i="1"/>
  <c r="U969" i="1" s="1"/>
  <c r="T970" i="1"/>
  <c r="U970" i="1" s="1"/>
  <c r="T972" i="1"/>
  <c r="U972" i="1" s="1"/>
  <c r="T973" i="1"/>
  <c r="U973" i="1" s="1"/>
  <c r="T974" i="1"/>
  <c r="U974" i="1" s="1"/>
  <c r="T976" i="1"/>
  <c r="U976" i="1" s="1"/>
  <c r="T978" i="1"/>
  <c r="U978" i="1" s="1"/>
  <c r="T980" i="1"/>
  <c r="U980" i="1" s="1"/>
  <c r="T982" i="1"/>
  <c r="U982" i="1" s="1"/>
  <c r="T983" i="1"/>
  <c r="U983" i="1" s="1"/>
  <c r="T985" i="1"/>
  <c r="U985" i="1" s="1"/>
  <c r="T986" i="1"/>
  <c r="U986" i="1" s="1"/>
  <c r="T987" i="1"/>
  <c r="U987" i="1" s="1"/>
  <c r="T988" i="1"/>
  <c r="U988" i="1" s="1"/>
  <c r="T989" i="1"/>
  <c r="U989" i="1" s="1"/>
  <c r="T990" i="1"/>
  <c r="U990" i="1" s="1"/>
  <c r="T991" i="1"/>
  <c r="U991" i="1" s="1"/>
  <c r="R979" i="1"/>
  <c r="T979" i="1" s="1"/>
  <c r="U979" i="1" s="1"/>
  <c r="R981" i="1"/>
  <c r="T981" i="1" s="1"/>
  <c r="U981" i="1" s="1"/>
  <c r="R977" i="1"/>
  <c r="T977" i="1" s="1"/>
  <c r="U977" i="1" s="1"/>
  <c r="R975" i="1"/>
  <c r="T975" i="1" s="1"/>
  <c r="U975" i="1" s="1"/>
  <c r="D982" i="1"/>
  <c r="C982" i="1"/>
  <c r="C974" i="1"/>
  <c r="C975" i="1"/>
  <c r="C976" i="1"/>
  <c r="C977" i="1"/>
  <c r="C978" i="1"/>
  <c r="C979" i="1"/>
  <c r="C980" i="1"/>
  <c r="C981" i="1"/>
  <c r="C983" i="1"/>
  <c r="C985" i="1"/>
  <c r="C986" i="1"/>
  <c r="C987" i="1"/>
  <c r="C988" i="1"/>
  <c r="D974" i="1"/>
  <c r="D975" i="1"/>
  <c r="D976" i="1"/>
  <c r="D977" i="1"/>
  <c r="D978" i="1"/>
  <c r="D979" i="1"/>
  <c r="D980" i="1"/>
  <c r="D981" i="1"/>
  <c r="D983" i="1"/>
  <c r="D985" i="1"/>
  <c r="D986" i="1"/>
  <c r="D987" i="1"/>
  <c r="D988" i="1"/>
  <c r="R971" i="1"/>
  <c r="T971" i="1" s="1"/>
  <c r="U971" i="1" s="1"/>
  <c r="L968" i="1" l="1"/>
  <c r="T968" i="1" s="1"/>
  <c r="U968" i="1" s="1"/>
  <c r="E15" i="53" l="1"/>
  <c r="E14" i="53"/>
  <c r="E12" i="53" l="1"/>
  <c r="E13" i="53" s="1"/>
  <c r="L963" i="1"/>
  <c r="T963" i="1" s="1"/>
  <c r="U963" i="1" s="1"/>
  <c r="L962" i="1"/>
  <c r="T962" i="1" s="1"/>
  <c r="U962" i="1" s="1"/>
  <c r="L960" i="1"/>
  <c r="T960" i="1" s="1"/>
  <c r="U960" i="1" s="1"/>
  <c r="C961" i="1"/>
  <c r="C962" i="1"/>
  <c r="C963" i="1"/>
  <c r="C967" i="1"/>
  <c r="C968" i="1"/>
  <c r="C969" i="1"/>
  <c r="C970" i="1"/>
  <c r="C971" i="1"/>
  <c r="C972" i="1"/>
  <c r="C973" i="1"/>
  <c r="C989" i="1"/>
  <c r="C990" i="1"/>
  <c r="C991" i="1"/>
  <c r="D961" i="1"/>
  <c r="D962" i="1"/>
  <c r="D963" i="1"/>
  <c r="D967" i="1"/>
  <c r="D968" i="1"/>
  <c r="D969" i="1"/>
  <c r="D970" i="1"/>
  <c r="D971" i="1"/>
  <c r="D972" i="1"/>
  <c r="D973" i="1"/>
  <c r="D989" i="1"/>
  <c r="D990" i="1"/>
  <c r="D991" i="1"/>
  <c r="I989" i="1"/>
  <c r="I990" i="1"/>
  <c r="I991" i="1"/>
  <c r="L871" i="1"/>
  <c r="T871" i="1" s="1"/>
  <c r="U871" i="1" s="1"/>
  <c r="L964" i="1"/>
  <c r="T964" i="1" s="1"/>
  <c r="U964" i="1" s="1"/>
  <c r="L965" i="1"/>
  <c r="T965" i="1" s="1"/>
  <c r="U965" i="1" s="1"/>
  <c r="R955" i="1"/>
  <c r="T955" i="1" s="1"/>
  <c r="U955" i="1" s="1"/>
  <c r="R940" i="1"/>
  <c r="T940" i="1" s="1"/>
  <c r="U940" i="1" s="1"/>
  <c r="E10" i="53" l="1"/>
  <c r="E11" i="53"/>
  <c r="R935" i="1"/>
  <c r="T935" i="1" s="1"/>
  <c r="U935" i="1" s="1"/>
  <c r="C934" i="1"/>
  <c r="C935" i="1"/>
  <c r="C936" i="1"/>
  <c r="C954" i="1"/>
  <c r="C955" i="1"/>
  <c r="C958" i="1"/>
  <c r="C959" i="1"/>
  <c r="C964" i="1"/>
  <c r="C965" i="1"/>
  <c r="C966" i="1"/>
  <c r="C871" i="1"/>
  <c r="D934" i="1"/>
  <c r="D935" i="1"/>
  <c r="D936" i="1"/>
  <c r="D954" i="1"/>
  <c r="D955" i="1"/>
  <c r="D958" i="1"/>
  <c r="D959" i="1"/>
  <c r="D964" i="1"/>
  <c r="D965" i="1"/>
  <c r="D966" i="1"/>
  <c r="D871" i="1"/>
  <c r="R943" i="1"/>
  <c r="T943" i="1" s="1"/>
  <c r="U943" i="1" s="1"/>
  <c r="R939" i="1"/>
  <c r="T939" i="1" s="1"/>
  <c r="U939" i="1" s="1"/>
  <c r="C942" i="1"/>
  <c r="C943" i="1"/>
  <c r="C939" i="1"/>
  <c r="C940" i="1"/>
  <c r="D942" i="1"/>
  <c r="D943" i="1"/>
  <c r="D939" i="1"/>
  <c r="D940" i="1"/>
  <c r="C944" i="1"/>
  <c r="C945" i="1"/>
  <c r="C946" i="1"/>
  <c r="C947" i="1"/>
  <c r="D944" i="1"/>
  <c r="D945" i="1"/>
  <c r="D946" i="1"/>
  <c r="D947" i="1"/>
  <c r="C948" i="1"/>
  <c r="C949" i="1"/>
  <c r="C950" i="1"/>
  <c r="C951" i="1"/>
  <c r="D948" i="1"/>
  <c r="D949" i="1"/>
  <c r="D950" i="1"/>
  <c r="D951" i="1"/>
  <c r="L957" i="1"/>
  <c r="T957" i="1" s="1"/>
  <c r="U957" i="1" s="1"/>
  <c r="L956" i="1"/>
  <c r="T956" i="1" s="1"/>
  <c r="U956" i="1" s="1"/>
  <c r="L953" i="1"/>
  <c r="T953" i="1" s="1"/>
  <c r="U953" i="1" s="1"/>
  <c r="L952" i="1"/>
  <c r="T952" i="1" s="1"/>
  <c r="U952" i="1" s="1"/>
  <c r="R938" i="1"/>
  <c r="T938" i="1" s="1"/>
  <c r="U938" i="1" s="1"/>
  <c r="S1008" i="1"/>
  <c r="R925" i="1"/>
  <c r="T925" i="1" s="1"/>
  <c r="U925" i="1" s="1"/>
  <c r="R926" i="1"/>
  <c r="T926" i="1" s="1"/>
  <c r="U926" i="1" s="1"/>
  <c r="R930" i="1"/>
  <c r="T930" i="1" s="1"/>
  <c r="U930" i="1" s="1"/>
  <c r="S1007" i="1"/>
  <c r="R900" i="1"/>
  <c r="R906" i="1"/>
  <c r="T906" i="1" s="1"/>
  <c r="U906" i="1" s="1"/>
  <c r="R908" i="1"/>
  <c r="T908" i="1" s="1"/>
  <c r="U908" i="1" s="1"/>
  <c r="R910" i="1"/>
  <c r="T910" i="1" s="1"/>
  <c r="U910" i="1" s="1"/>
  <c r="R921" i="1"/>
  <c r="T921" i="1" s="1"/>
  <c r="U921" i="1" s="1"/>
  <c r="R922" i="1"/>
  <c r="T922" i="1" s="1"/>
  <c r="U922" i="1" s="1"/>
  <c r="R928" i="1"/>
  <c r="T928" i="1" s="1"/>
  <c r="U928" i="1" s="1"/>
  <c r="E4" i="53"/>
  <c r="E5" i="53" s="1"/>
  <c r="E6" i="53" s="1"/>
  <c r="E7" i="53" s="1"/>
  <c r="E8" i="53" s="1"/>
  <c r="E9" i="53" s="1"/>
  <c r="E3" i="53"/>
  <c r="L931" i="1" l="1"/>
  <c r="T931" i="1" s="1"/>
  <c r="U931" i="1" s="1"/>
  <c r="C930" i="1"/>
  <c r="C931" i="1"/>
  <c r="C932" i="1"/>
  <c r="C933" i="1"/>
  <c r="C937" i="1"/>
  <c r="C938" i="1"/>
  <c r="C941" i="1"/>
  <c r="C952" i="1"/>
  <c r="C953" i="1"/>
  <c r="C956" i="1"/>
  <c r="C957" i="1"/>
  <c r="C960" i="1"/>
  <c r="D930" i="1"/>
  <c r="D931" i="1"/>
  <c r="D932" i="1"/>
  <c r="D933" i="1"/>
  <c r="D937" i="1"/>
  <c r="D938" i="1"/>
  <c r="D941" i="1"/>
  <c r="D952" i="1"/>
  <c r="D953" i="1"/>
  <c r="D956" i="1"/>
  <c r="D957" i="1"/>
  <c r="D960" i="1"/>
  <c r="R904" i="1"/>
  <c r="T1008" i="1" s="1"/>
  <c r="R901" i="1"/>
  <c r="E2" i="53" l="1"/>
  <c r="C926" i="1"/>
  <c r="D926" i="1"/>
  <c r="C898" i="1"/>
  <c r="D898" i="1"/>
  <c r="R888" i="1"/>
  <c r="T888" i="1" s="1"/>
  <c r="U888" i="1" s="1"/>
  <c r="C888" i="1"/>
  <c r="D888" i="1"/>
  <c r="R902" i="1"/>
  <c r="R899" i="1"/>
  <c r="R903" i="1"/>
  <c r="T903" i="1" s="1"/>
  <c r="U903" i="1" s="1"/>
  <c r="R831" i="1"/>
  <c r="T831" i="1" s="1"/>
  <c r="U831" i="1" s="1"/>
  <c r="I15" i="52"/>
  <c r="I14" i="52"/>
  <c r="I13" i="52"/>
  <c r="I12" i="52"/>
  <c r="I11" i="52"/>
  <c r="I10" i="52"/>
  <c r="C912" i="1"/>
  <c r="C913" i="1"/>
  <c r="C914" i="1"/>
  <c r="C870" i="1"/>
  <c r="C884" i="1"/>
  <c r="C841" i="1"/>
  <c r="C903" i="1"/>
  <c r="C921" i="1"/>
  <c r="C922" i="1"/>
  <c r="C923" i="1"/>
  <c r="C924" i="1"/>
  <c r="C925" i="1"/>
  <c r="C927" i="1"/>
  <c r="C928" i="1"/>
  <c r="C929" i="1"/>
  <c r="D912" i="1"/>
  <c r="D913" i="1"/>
  <c r="D914" i="1"/>
  <c r="D870" i="1"/>
  <c r="D884" i="1"/>
  <c r="D841" i="1"/>
  <c r="D903" i="1"/>
  <c r="D921" i="1"/>
  <c r="D922" i="1"/>
  <c r="D923" i="1"/>
  <c r="D924" i="1"/>
  <c r="D925" i="1"/>
  <c r="D927" i="1"/>
  <c r="D928" i="1"/>
  <c r="D929" i="1"/>
  <c r="L918" i="1"/>
  <c r="T918" i="1" s="1"/>
  <c r="U918" i="1" s="1"/>
  <c r="L919" i="1"/>
  <c r="T919" i="1" s="1"/>
  <c r="U919" i="1" s="1"/>
  <c r="L920" i="1"/>
  <c r="T920" i="1" s="1"/>
  <c r="U920" i="1" s="1"/>
  <c r="L917" i="1"/>
  <c r="T917" i="1" s="1"/>
  <c r="U917" i="1" s="1"/>
  <c r="C891" i="1" l="1"/>
  <c r="D891" i="1"/>
  <c r="L904" i="1" l="1"/>
  <c r="T904" i="1" s="1"/>
  <c r="U904" i="1" s="1"/>
  <c r="L902" i="1" l="1"/>
  <c r="T902" i="1" s="1"/>
  <c r="U902" i="1" s="1"/>
  <c r="L901" i="1"/>
  <c r="T901" i="1" s="1"/>
  <c r="U901" i="1" s="1"/>
  <c r="L900" i="1"/>
  <c r="T900" i="1" s="1"/>
  <c r="U900" i="1" s="1"/>
  <c r="L899" i="1"/>
  <c r="T899" i="1" s="1"/>
  <c r="U899" i="1" s="1"/>
  <c r="L896" i="1"/>
  <c r="T896" i="1" s="1"/>
  <c r="U896" i="1" s="1"/>
  <c r="L895" i="1"/>
  <c r="T895" i="1" s="1"/>
  <c r="U895" i="1" s="1"/>
  <c r="D889" i="1" l="1"/>
  <c r="C889" i="1"/>
  <c r="R887" i="1" l="1"/>
  <c r="T887" i="1" s="1"/>
  <c r="U887" i="1" s="1"/>
  <c r="E23" i="52"/>
  <c r="E24" i="52"/>
  <c r="E25" i="52" s="1"/>
  <c r="L880" i="1"/>
  <c r="T880" i="1" s="1"/>
  <c r="U880" i="1" s="1"/>
  <c r="S881" i="1"/>
  <c r="R881" i="1"/>
  <c r="S878" i="1"/>
  <c r="T878" i="1" s="1"/>
  <c r="U878" i="1" s="1"/>
  <c r="V873" i="1"/>
  <c r="D878" i="1"/>
  <c r="C878"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2" i="1"/>
  <c r="C873" i="1"/>
  <c r="C874" i="1"/>
  <c r="C875" i="1"/>
  <c r="C876" i="1"/>
  <c r="C877" i="1"/>
  <c r="C879" i="1"/>
  <c r="C881" i="1"/>
  <c r="C880" i="1"/>
  <c r="C887" i="1"/>
  <c r="C882" i="1"/>
  <c r="C883" i="1"/>
  <c r="C885" i="1"/>
  <c r="C194" i="1"/>
  <c r="C195" i="1"/>
  <c r="C790" i="1"/>
  <c r="C791" i="1"/>
  <c r="C886" i="1"/>
  <c r="C890" i="1"/>
  <c r="C892" i="1"/>
  <c r="C893" i="1"/>
  <c r="C894" i="1"/>
  <c r="C895" i="1"/>
  <c r="C896" i="1"/>
  <c r="C897" i="1"/>
  <c r="C899" i="1"/>
  <c r="C900" i="1"/>
  <c r="C901" i="1"/>
  <c r="C902" i="1"/>
  <c r="C904" i="1"/>
  <c r="C905" i="1"/>
  <c r="C906" i="1"/>
  <c r="C907" i="1"/>
  <c r="C908" i="1"/>
  <c r="C911" i="1"/>
  <c r="C909" i="1"/>
  <c r="C910" i="1"/>
  <c r="C915" i="1"/>
  <c r="C916" i="1"/>
  <c r="C917" i="1"/>
  <c r="C918" i="1"/>
  <c r="C919" i="1"/>
  <c r="C920" i="1"/>
  <c r="T881" i="1" l="1"/>
  <c r="U881" i="1" s="1"/>
  <c r="V882" i="1"/>
  <c r="E22" i="52"/>
  <c r="E21" i="52"/>
  <c r="E19" i="52"/>
  <c r="E20" i="52"/>
  <c r="R877" i="1"/>
  <c r="T877" i="1" s="1"/>
  <c r="U877" i="1" s="1"/>
  <c r="R875" i="1" l="1"/>
  <c r="T875" i="1" s="1"/>
  <c r="U875" i="1" s="1"/>
  <c r="R873" i="1"/>
  <c r="T873" i="1" s="1"/>
  <c r="U873" i="1" s="1"/>
  <c r="S1006" i="1"/>
  <c r="R863" i="1" l="1"/>
  <c r="T863" i="1" s="1"/>
  <c r="U863" i="1" s="1"/>
  <c r="L852" i="1" l="1"/>
  <c r="T852" i="1" s="1"/>
  <c r="U852" i="1" s="1"/>
  <c r="L848" i="1"/>
  <c r="T848" i="1" s="1"/>
  <c r="U848" i="1" s="1"/>
  <c r="L847" i="1"/>
  <c r="T847" i="1" s="1"/>
  <c r="U847" i="1" s="1"/>
  <c r="L855" i="1"/>
  <c r="T855" i="1" s="1"/>
  <c r="U855" i="1" s="1"/>
  <c r="L856" i="1"/>
  <c r="T856" i="1" s="1"/>
  <c r="U856" i="1" s="1"/>
  <c r="L850" i="1"/>
  <c r="T850" i="1" s="1"/>
  <c r="U850" i="1" s="1"/>
  <c r="L849" i="1"/>
  <c r="T849" i="1" s="1"/>
  <c r="U849" i="1" s="1"/>
  <c r="D843" i="1"/>
  <c r="C10" i="52"/>
  <c r="L865" i="1" l="1"/>
  <c r="T865" i="1" s="1"/>
  <c r="U865" i="1" s="1"/>
  <c r="L846" i="1"/>
  <c r="T846" i="1" s="1"/>
  <c r="U846" i="1" s="1"/>
  <c r="L845" i="1"/>
  <c r="T845" i="1" s="1"/>
  <c r="U845" i="1" s="1"/>
  <c r="D865" i="1"/>
  <c r="D856" i="1"/>
  <c r="D855" i="1"/>
  <c r="L854" i="1"/>
  <c r="T854" i="1" s="1"/>
  <c r="U854" i="1" s="1"/>
  <c r="D854" i="1"/>
  <c r="D853" i="1"/>
  <c r="D852" i="1"/>
  <c r="D848" i="1"/>
  <c r="D847" i="1"/>
  <c r="D846" i="1"/>
  <c r="D845" i="1"/>
  <c r="D844" i="1"/>
  <c r="D860" i="1"/>
  <c r="D861" i="1"/>
  <c r="D862" i="1"/>
  <c r="D863" i="1"/>
  <c r="D872" i="1"/>
  <c r="D873" i="1"/>
  <c r="D851" i="1"/>
  <c r="D864" i="1"/>
  <c r="D866" i="1"/>
  <c r="D867" i="1"/>
  <c r="D868" i="1"/>
  <c r="D869" i="1"/>
  <c r="D874" i="1"/>
  <c r="D875" i="1"/>
  <c r="D876" i="1"/>
  <c r="D877" i="1"/>
  <c r="D879" i="1"/>
  <c r="D881" i="1"/>
  <c r="D880" i="1"/>
  <c r="D887" i="1"/>
  <c r="D882" i="1"/>
  <c r="D883" i="1"/>
  <c r="D885" i="1"/>
  <c r="D194" i="1"/>
  <c r="D195" i="1"/>
  <c r="D790" i="1"/>
  <c r="D886" i="1"/>
  <c r="D890" i="1"/>
  <c r="D892" i="1"/>
  <c r="D893" i="1"/>
  <c r="D894" i="1"/>
  <c r="D895" i="1"/>
  <c r="D896" i="1"/>
  <c r="D897" i="1"/>
  <c r="D899" i="1"/>
  <c r="D900" i="1"/>
  <c r="D901" i="1"/>
  <c r="D902" i="1"/>
  <c r="D904" i="1"/>
  <c r="D905" i="1"/>
  <c r="D849" i="1"/>
  <c r="D850" i="1"/>
  <c r="D857" i="1"/>
  <c r="D858" i="1"/>
  <c r="D859" i="1"/>
  <c r="D791" i="1"/>
  <c r="D906" i="1"/>
  <c r="D907" i="1"/>
  <c r="D908" i="1"/>
  <c r="D911" i="1"/>
  <c r="D909" i="1"/>
  <c r="D910" i="1"/>
  <c r="D915" i="1"/>
  <c r="D916" i="1"/>
  <c r="D917" i="1"/>
  <c r="D918" i="1"/>
  <c r="D919" i="1"/>
  <c r="L837" i="1"/>
  <c r="T837" i="1" s="1"/>
  <c r="U837" i="1" s="1"/>
  <c r="L838" i="1"/>
  <c r="T838" i="1" s="1"/>
  <c r="U838" i="1" s="1"/>
  <c r="L839" i="1"/>
  <c r="T839" i="1" s="1"/>
  <c r="U839" i="1" s="1"/>
  <c r="R808" i="1" l="1"/>
  <c r="T808" i="1" s="1"/>
  <c r="U808" i="1" s="1"/>
  <c r="R815" i="1"/>
  <c r="T815" i="1" s="1"/>
  <c r="U815" i="1" s="1"/>
  <c r="C3" i="52"/>
  <c r="E2" i="52"/>
  <c r="I14" i="51"/>
  <c r="I13" i="51"/>
  <c r="I12" i="51"/>
  <c r="I11" i="51"/>
  <c r="I10" i="51"/>
  <c r="I5" i="51"/>
  <c r="I6" i="51"/>
  <c r="I4" i="51"/>
  <c r="R826" i="1"/>
  <c r="R827" i="1"/>
  <c r="R828" i="1"/>
  <c r="R829" i="1"/>
  <c r="R830" i="1"/>
  <c r="T830" i="1" s="1"/>
  <c r="U830" i="1" s="1"/>
  <c r="E17" i="51"/>
  <c r="E18" i="51" s="1"/>
  <c r="E16" i="51"/>
  <c r="D831" i="1"/>
  <c r="D832" i="1"/>
  <c r="D825" i="1"/>
  <c r="D833" i="1"/>
  <c r="D834" i="1"/>
  <c r="D835" i="1"/>
  <c r="D795" i="1"/>
  <c r="D837" i="1"/>
  <c r="D838" i="1"/>
  <c r="D839" i="1"/>
  <c r="D840" i="1"/>
  <c r="D842" i="1"/>
  <c r="D920" i="1"/>
  <c r="L829" i="1"/>
  <c r="L828" i="1"/>
  <c r="T828" i="1" s="1"/>
  <c r="U828" i="1" s="1"/>
  <c r="L827" i="1"/>
  <c r="T827" i="1" s="1"/>
  <c r="U827" i="1" s="1"/>
  <c r="L826" i="1"/>
  <c r="T826" i="1" s="1"/>
  <c r="U826" i="1" s="1"/>
  <c r="R816" i="1"/>
  <c r="T816" i="1" s="1"/>
  <c r="U816" i="1" s="1"/>
  <c r="R818" i="1"/>
  <c r="T818" i="1" s="1"/>
  <c r="U818" i="1" s="1"/>
  <c r="T829" i="1" l="1"/>
  <c r="U829" i="1" s="1"/>
  <c r="E3" i="52"/>
  <c r="E4" i="52"/>
  <c r="E5" i="52" s="1"/>
  <c r="E6" i="52" s="1"/>
  <c r="E7" i="52" s="1"/>
  <c r="E8" i="52" s="1"/>
  <c r="E9" i="52" s="1"/>
  <c r="E10" i="52" s="1"/>
  <c r="E11" i="52" s="1"/>
  <c r="E12" i="52" s="1"/>
  <c r="E13" i="52" s="1"/>
  <c r="E14" i="52" s="1"/>
  <c r="E15" i="52" s="1"/>
  <c r="E16" i="52" s="1"/>
  <c r="E17" i="52" s="1"/>
  <c r="E18" i="52" s="1"/>
  <c r="R824" i="1"/>
  <c r="T824" i="1" s="1"/>
  <c r="U824" i="1" s="1"/>
  <c r="R821" i="1"/>
  <c r="T821" i="1" s="1"/>
  <c r="U821" i="1" s="1"/>
  <c r="R823" i="1"/>
  <c r="T823" i="1" s="1"/>
  <c r="U823" i="1" s="1"/>
  <c r="R822" i="1"/>
  <c r="T822" i="1" s="1"/>
  <c r="U822" i="1" s="1"/>
  <c r="M993" i="1" l="1"/>
  <c r="N993" i="1"/>
  <c r="O993" i="1"/>
  <c r="P993" i="1"/>
  <c r="D813" i="1"/>
  <c r="D810" i="1"/>
  <c r="R809" i="1"/>
  <c r="T809" i="1" s="1"/>
  <c r="U809" i="1" s="1"/>
  <c r="D809" i="1"/>
  <c r="D808" i="1"/>
  <c r="D806" i="1"/>
  <c r="R805" i="1"/>
  <c r="T805" i="1" s="1"/>
  <c r="U805" i="1" s="1"/>
  <c r="D805" i="1"/>
  <c r="D804" i="1"/>
  <c r="D774" i="1"/>
  <c r="R773" i="1"/>
  <c r="T773" i="1" s="1"/>
  <c r="U773" i="1" s="1"/>
  <c r="D773" i="1"/>
  <c r="D772" i="1"/>
  <c r="D820" i="1" l="1"/>
  <c r="D821" i="1"/>
  <c r="D822" i="1"/>
  <c r="D823" i="1"/>
  <c r="D824" i="1"/>
  <c r="D794" i="1"/>
  <c r="D814" i="1"/>
  <c r="D815" i="1"/>
  <c r="D816" i="1"/>
  <c r="D817" i="1"/>
  <c r="D818" i="1"/>
  <c r="L836" i="1"/>
  <c r="T836" i="1" s="1"/>
  <c r="U836" i="1" s="1"/>
  <c r="L807" i="1"/>
  <c r="T807" i="1" s="1"/>
  <c r="U807" i="1" s="1"/>
  <c r="R799" i="1"/>
  <c r="T799" i="1" s="1"/>
  <c r="U799" i="1" s="1"/>
  <c r="R798" i="1"/>
  <c r="T798" i="1" s="1"/>
  <c r="U798" i="1" s="1"/>
  <c r="R801" i="1"/>
  <c r="T801" i="1" s="1"/>
  <c r="U801" i="1" s="1"/>
  <c r="R802" i="1"/>
  <c r="T802" i="1" s="1"/>
  <c r="U802" i="1" s="1"/>
  <c r="L788" i="1"/>
  <c r="T788" i="1" s="1"/>
  <c r="U788" i="1" s="1"/>
  <c r="D789" i="1"/>
  <c r="D788" i="1"/>
  <c r="E14" i="51"/>
  <c r="E15" i="51" s="1"/>
  <c r="E13" i="51"/>
  <c r="D797" i="1"/>
  <c r="D798" i="1"/>
  <c r="D799" i="1"/>
  <c r="D800" i="1"/>
  <c r="D801" i="1"/>
  <c r="D802" i="1"/>
  <c r="D803" i="1"/>
  <c r="D807" i="1"/>
  <c r="D811" i="1"/>
  <c r="D812" i="1"/>
  <c r="D836" i="1"/>
  <c r="D819" i="1"/>
  <c r="D826" i="1"/>
  <c r="D827" i="1"/>
  <c r="D828" i="1"/>
  <c r="D829" i="1"/>
  <c r="D830" i="1"/>
  <c r="E12" i="51"/>
  <c r="L796" i="1"/>
  <c r="T796" i="1" s="1"/>
  <c r="U796" i="1" s="1"/>
  <c r="E8" i="51" l="1"/>
  <c r="E9" i="51" s="1"/>
  <c r="E10" i="51" s="1"/>
  <c r="E11" i="51" s="1"/>
  <c r="L787" i="1"/>
  <c r="T787" i="1" s="1"/>
  <c r="U787" i="1" s="1"/>
  <c r="L786" i="1"/>
  <c r="T786" i="1" s="1"/>
  <c r="U786" i="1" s="1"/>
  <c r="L785" i="1"/>
  <c r="T785" i="1" s="1"/>
  <c r="U785" i="1" s="1"/>
  <c r="L784" i="1"/>
  <c r="T784" i="1" s="1"/>
  <c r="U784" i="1" s="1"/>
  <c r="D24" i="47"/>
  <c r="S452" i="1"/>
  <c r="Q452" i="1"/>
  <c r="T452" i="1" s="1"/>
  <c r="U452" i="1" s="1"/>
  <c r="Q449" i="1"/>
  <c r="T449" i="1" s="1"/>
  <c r="U449" i="1" s="1"/>
  <c r="L783" i="1"/>
  <c r="T783" i="1" s="1"/>
  <c r="U783" i="1" s="1"/>
  <c r="L782" i="1"/>
  <c r="T782" i="1" s="1"/>
  <c r="U782" i="1" s="1"/>
  <c r="L781" i="1"/>
  <c r="T781" i="1" s="1"/>
  <c r="U781" i="1" s="1"/>
  <c r="L779" i="1"/>
  <c r="T779" i="1" s="1"/>
  <c r="U779" i="1" s="1"/>
  <c r="L777" i="1"/>
  <c r="T777" i="1" s="1"/>
  <c r="U777" i="1" s="1"/>
  <c r="L778" i="1"/>
  <c r="T778" i="1" s="1"/>
  <c r="U778" i="1" s="1"/>
  <c r="L776" i="1"/>
  <c r="T776" i="1" s="1"/>
  <c r="U776" i="1" s="1"/>
  <c r="L775" i="1"/>
  <c r="T775" i="1" s="1"/>
  <c r="U775" i="1" s="1"/>
  <c r="D771" i="1"/>
  <c r="D775" i="1"/>
  <c r="D776" i="1"/>
  <c r="D777" i="1"/>
  <c r="D778" i="1"/>
  <c r="D779" i="1"/>
  <c r="D780" i="1"/>
  <c r="D781" i="1"/>
  <c r="D782" i="1"/>
  <c r="D783" i="1"/>
  <c r="D784" i="1"/>
  <c r="D785" i="1"/>
  <c r="D786" i="1"/>
  <c r="R769" i="1"/>
  <c r="T769" i="1" s="1"/>
  <c r="U769" i="1" s="1"/>
  <c r="R741" i="1"/>
  <c r="T741" i="1" s="1"/>
  <c r="U741" i="1" s="1"/>
  <c r="R766" i="1"/>
  <c r="T766" i="1" s="1"/>
  <c r="U766" i="1" s="1"/>
  <c r="R762" i="1"/>
  <c r="T762" i="1" s="1"/>
  <c r="U762" i="1" s="1"/>
  <c r="R763" i="1" l="1"/>
  <c r="T763" i="1" s="1"/>
  <c r="U763" i="1" s="1"/>
  <c r="R761" i="1"/>
  <c r="T761" i="1" s="1"/>
  <c r="U761" i="1" s="1"/>
  <c r="R757" i="1"/>
  <c r="T757" i="1" s="1"/>
  <c r="U757" i="1" s="1"/>
  <c r="R756" i="1"/>
  <c r="T756" i="1" s="1"/>
  <c r="U756" i="1" s="1"/>
  <c r="R754" i="1"/>
  <c r="T754" i="1" s="1"/>
  <c r="U754" i="1" s="1"/>
  <c r="D753" i="1"/>
  <c r="D754" i="1"/>
  <c r="D755" i="1"/>
  <c r="D756" i="1"/>
  <c r="D757" i="1"/>
  <c r="D758" i="1"/>
  <c r="D759" i="1"/>
  <c r="D760" i="1"/>
  <c r="D761" i="1"/>
  <c r="D762" i="1"/>
  <c r="D763" i="1"/>
  <c r="D764" i="1"/>
  <c r="D765" i="1"/>
  <c r="D766" i="1"/>
  <c r="D767" i="1"/>
  <c r="D741" i="1"/>
  <c r="D748" i="1"/>
  <c r="D768" i="1"/>
  <c r="D769" i="1"/>
  <c r="D752" i="1" l="1"/>
  <c r="L751" i="1"/>
  <c r="T751" i="1" s="1"/>
  <c r="U751" i="1" s="1"/>
  <c r="L750" i="1"/>
  <c r="T750" i="1" s="1"/>
  <c r="U750" i="1" s="1"/>
  <c r="L745" i="1" l="1"/>
  <c r="T745" i="1" s="1"/>
  <c r="U745" i="1" s="1"/>
  <c r="L744" i="1"/>
  <c r="T744" i="1" s="1"/>
  <c r="U744" i="1" s="1"/>
  <c r="L746" i="1"/>
  <c r="T746" i="1" s="1"/>
  <c r="U746" i="1" s="1"/>
  <c r="I9" i="50" l="1"/>
  <c r="R654" i="1" l="1"/>
  <c r="R651" i="1"/>
  <c r="R735" i="1"/>
  <c r="R738" i="1"/>
  <c r="R737" i="1"/>
  <c r="R662" i="1"/>
  <c r="T662" i="1" s="1"/>
  <c r="U662" i="1" s="1"/>
  <c r="R740" i="1"/>
  <c r="T740" i="1" s="1"/>
  <c r="U740" i="1" s="1"/>
  <c r="R739" i="1"/>
  <c r="T739" i="1" s="1"/>
  <c r="U739" i="1" s="1"/>
  <c r="R736" i="1"/>
  <c r="D662" i="1"/>
  <c r="D740" i="1"/>
  <c r="D742" i="1"/>
  <c r="D743" i="1"/>
  <c r="D744" i="1"/>
  <c r="D745" i="1"/>
  <c r="D746" i="1"/>
  <c r="D747" i="1"/>
  <c r="D749" i="1"/>
  <c r="D750" i="1"/>
  <c r="D751" i="1"/>
  <c r="D770" i="1"/>
  <c r="D787" i="1"/>
  <c r="D796" i="1"/>
  <c r="D792" i="1"/>
  <c r="L738" i="1"/>
  <c r="L737" i="1"/>
  <c r="T737" i="1" s="1"/>
  <c r="U737" i="1" s="1"/>
  <c r="L736" i="1"/>
  <c r="T736" i="1" s="1"/>
  <c r="U736" i="1" s="1"/>
  <c r="L735" i="1"/>
  <c r="T735" i="1" s="1"/>
  <c r="U735" i="1" s="1"/>
  <c r="T738" i="1" l="1"/>
  <c r="U738" i="1" s="1"/>
  <c r="R729" i="1"/>
  <c r="T729" i="1" s="1"/>
  <c r="U729" i="1" s="1"/>
  <c r="D668" i="1"/>
  <c r="D728" i="1"/>
  <c r="D729" i="1"/>
  <c r="D735" i="1"/>
  <c r="D736" i="1"/>
  <c r="D737" i="1"/>
  <c r="D738" i="1"/>
  <c r="D739" i="1"/>
  <c r="D793" i="1"/>
  <c r="D734" i="1"/>
  <c r="D733" i="1"/>
  <c r="D732" i="1"/>
  <c r="D731" i="1"/>
  <c r="I7" i="50"/>
  <c r="I13" i="50"/>
  <c r="I11" i="50"/>
  <c r="I10" i="50"/>
  <c r="I8" i="50"/>
  <c r="H21" i="50"/>
  <c r="C27" i="50"/>
  <c r="H19" i="50"/>
  <c r="C29" i="50"/>
  <c r="S1005" i="1"/>
  <c r="R724" i="1"/>
  <c r="T724" i="1" s="1"/>
  <c r="U724" i="1" s="1"/>
  <c r="R719" i="1"/>
  <c r="T719" i="1" s="1"/>
  <c r="U719" i="1" s="1"/>
  <c r="R718" i="1"/>
  <c r="T718" i="1" s="1"/>
  <c r="U718" i="1" s="1"/>
  <c r="D717" i="1"/>
  <c r="D718" i="1"/>
  <c r="D719" i="1"/>
  <c r="D720" i="1"/>
  <c r="D723" i="1"/>
  <c r="D724" i="1"/>
  <c r="D725" i="1"/>
  <c r="D726" i="1"/>
  <c r="D727" i="1"/>
  <c r="D711" i="1"/>
  <c r="R715" i="1"/>
  <c r="T715" i="1" s="1"/>
  <c r="U715" i="1" s="1"/>
  <c r="R714" i="1"/>
  <c r="T714" i="1" s="1"/>
  <c r="U714" i="1" s="1"/>
  <c r="R713" i="1"/>
  <c r="T713" i="1" s="1"/>
  <c r="U713" i="1" s="1"/>
  <c r="L676" i="1"/>
  <c r="T676" i="1" s="1"/>
  <c r="U676" i="1" s="1"/>
  <c r="L730" i="1" l="1"/>
  <c r="T730" i="1" s="1"/>
  <c r="U730" i="1" s="1"/>
  <c r="L722" i="1"/>
  <c r="T722" i="1" s="1"/>
  <c r="U722" i="1" s="1"/>
  <c r="D721" i="1" l="1"/>
  <c r="D722" i="1"/>
  <c r="D730" i="1"/>
  <c r="D702" i="1"/>
  <c r="D691" i="1"/>
  <c r="D713" i="1"/>
  <c r="D714" i="1"/>
  <c r="D715" i="1"/>
  <c r="D716" i="1"/>
  <c r="L712" i="1" l="1"/>
  <c r="T712" i="1" s="1"/>
  <c r="U712" i="1" s="1"/>
  <c r="H20" i="50"/>
  <c r="C25" i="50"/>
  <c r="D712" i="1"/>
  <c r="C22" i="50"/>
  <c r="R710" i="1" l="1"/>
  <c r="T710" i="1" s="1"/>
  <c r="U710" i="1" s="1"/>
  <c r="C21" i="50" l="1"/>
  <c r="L701" i="1"/>
  <c r="T701" i="1" s="1"/>
  <c r="U701" i="1" s="1"/>
  <c r="L700" i="1"/>
  <c r="T700" i="1" s="1"/>
  <c r="U700" i="1" s="1"/>
  <c r="R689" i="1" l="1"/>
  <c r="T689" i="1" s="1"/>
  <c r="U689" i="1" s="1"/>
  <c r="R688" i="1"/>
  <c r="T688" i="1" s="1"/>
  <c r="U688" i="1" s="1"/>
  <c r="R686" i="1"/>
  <c r="T686" i="1" s="1"/>
  <c r="U686" i="1" s="1"/>
  <c r="R685" i="1"/>
  <c r="T685" i="1" s="1"/>
  <c r="U685" i="1" s="1"/>
  <c r="D685" i="1"/>
  <c r="D686" i="1"/>
  <c r="D687" i="1"/>
  <c r="D688" i="1"/>
  <c r="D689" i="1"/>
  <c r="D690" i="1"/>
  <c r="D700" i="1"/>
  <c r="D701" i="1"/>
  <c r="D705" i="1"/>
  <c r="D684" i="1"/>
  <c r="D706" i="1"/>
  <c r="D707" i="1"/>
  <c r="D708" i="1"/>
  <c r="D709" i="1"/>
  <c r="R697" i="1" l="1"/>
  <c r="T697" i="1" s="1"/>
  <c r="U697" i="1" s="1"/>
  <c r="R696" i="1"/>
  <c r="T696" i="1" s="1"/>
  <c r="U696" i="1" s="1"/>
  <c r="R694" i="1"/>
  <c r="T694" i="1" s="1"/>
  <c r="U694" i="1" s="1"/>
  <c r="R693" i="1"/>
  <c r="T693" i="1" s="1"/>
  <c r="U693" i="1" s="1"/>
  <c r="D682" i="1"/>
  <c r="D692" i="1"/>
  <c r="D693" i="1"/>
  <c r="D694" i="1"/>
  <c r="D695" i="1"/>
  <c r="D696" i="1"/>
  <c r="D697" i="1"/>
  <c r="D698" i="1"/>
  <c r="D683" i="1"/>
  <c r="D667" i="1"/>
  <c r="D699" i="1"/>
  <c r="D703" i="1"/>
  <c r="D704" i="1"/>
  <c r="D710" i="1"/>
  <c r="L680" i="1"/>
  <c r="T680" i="1" s="1"/>
  <c r="U680" i="1" s="1"/>
  <c r="L675" i="1"/>
  <c r="T675" i="1" s="1"/>
  <c r="U675" i="1" s="1"/>
  <c r="L674" i="1"/>
  <c r="T674" i="1" s="1"/>
  <c r="U674" i="1" s="1"/>
  <c r="L678" i="1"/>
  <c r="T678" i="1" s="1"/>
  <c r="U678" i="1" s="1"/>
  <c r="L679" i="1"/>
  <c r="T679" i="1" s="1"/>
  <c r="U679" i="1" s="1"/>
  <c r="L673" i="1"/>
  <c r="T673" i="1" s="1"/>
  <c r="U673" i="1" s="1"/>
  <c r="L681" i="1"/>
  <c r="T681" i="1" s="1"/>
  <c r="U681" i="1" s="1"/>
  <c r="L672" i="1"/>
  <c r="T672" i="1" s="1"/>
  <c r="U672" i="1" s="1"/>
  <c r="L329" i="1"/>
  <c r="T329" i="1" s="1"/>
  <c r="U329" i="1" s="1"/>
  <c r="L624" i="1" l="1"/>
  <c r="T624" i="1" s="1"/>
  <c r="U624" i="1" s="1"/>
  <c r="L644" i="1" l="1"/>
  <c r="T644" i="1" s="1"/>
  <c r="U644" i="1" s="1"/>
  <c r="L665" i="1"/>
  <c r="T665" i="1" s="1"/>
  <c r="U665" i="1" s="1"/>
  <c r="L664" i="1"/>
  <c r="T664" i="1" s="1"/>
  <c r="U664" i="1" s="1"/>
  <c r="L663" i="1"/>
  <c r="T663" i="1" s="1"/>
  <c r="U663" i="1" s="1"/>
  <c r="D663" i="1"/>
  <c r="D664" i="1"/>
  <c r="D665" i="1"/>
  <c r="D644" i="1"/>
  <c r="D666" i="1"/>
  <c r="D669" i="1"/>
  <c r="D670" i="1"/>
  <c r="D671" i="1"/>
  <c r="D672" i="1"/>
  <c r="D676" i="1"/>
  <c r="D681" i="1"/>
  <c r="D673" i="1"/>
  <c r="D674" i="1"/>
  <c r="D675" i="1"/>
  <c r="D677" i="1"/>
  <c r="D678" i="1"/>
  <c r="C3" i="50"/>
  <c r="R661" i="1" l="1"/>
  <c r="T661" i="1" s="1"/>
  <c r="U661" i="1" s="1"/>
  <c r="D585" i="1" l="1"/>
  <c r="S658" i="1"/>
  <c r="T658" i="1" s="1"/>
  <c r="U658" i="1" s="1"/>
  <c r="I14" i="49"/>
  <c r="I12" i="49"/>
  <c r="I8" i="49"/>
  <c r="I13" i="49"/>
  <c r="I11" i="49"/>
  <c r="I10" i="49"/>
  <c r="I9" i="49"/>
  <c r="I7" i="49"/>
  <c r="R653" i="1"/>
  <c r="R652" i="1"/>
  <c r="R655" i="1"/>
  <c r="T655" i="1" s="1"/>
  <c r="U655" i="1" s="1"/>
  <c r="L654" i="1"/>
  <c r="T654" i="1" s="1"/>
  <c r="U654" i="1" s="1"/>
  <c r="L653" i="1"/>
  <c r="T653" i="1" s="1"/>
  <c r="U653" i="1" s="1"/>
  <c r="L652" i="1"/>
  <c r="T652" i="1" s="1"/>
  <c r="U652" i="1" s="1"/>
  <c r="L651" i="1"/>
  <c r="T651" i="1" s="1"/>
  <c r="U651" i="1" s="1"/>
  <c r="D652" i="1"/>
  <c r="D653" i="1"/>
  <c r="D654" i="1"/>
  <c r="D655" i="1"/>
  <c r="D656" i="1"/>
  <c r="D657" i="1"/>
  <c r="D658" i="1"/>
  <c r="D643" i="1"/>
  <c r="D659" i="1"/>
  <c r="D642" i="1"/>
  <c r="D576" i="1"/>
  <c r="D660" i="1"/>
  <c r="D661" i="1"/>
  <c r="D679" i="1"/>
  <c r="D680" i="1"/>
  <c r="R645" i="1"/>
  <c r="T645" i="1" s="1"/>
  <c r="U645" i="1" s="1"/>
  <c r="L648" i="1"/>
  <c r="T648" i="1" s="1"/>
  <c r="U648" i="1" s="1"/>
  <c r="L641" i="1" l="1"/>
  <c r="T641" i="1" s="1"/>
  <c r="U641" i="1" s="1"/>
  <c r="D640" i="1"/>
  <c r="D641" i="1"/>
  <c r="D646" i="1"/>
  <c r="D647" i="1"/>
  <c r="D648" i="1"/>
  <c r="D649" i="1"/>
  <c r="D650" i="1"/>
  <c r="D651" i="1"/>
  <c r="L640" i="1"/>
  <c r="T640" i="1" s="1"/>
  <c r="U640" i="1" s="1"/>
  <c r="S312" i="1" l="1"/>
  <c r="T312" i="1" s="1"/>
  <c r="U312" i="1" s="1"/>
  <c r="R503" i="1"/>
  <c r="T503" i="1" s="1"/>
  <c r="U503" i="1" s="1"/>
  <c r="D634" i="1"/>
  <c r="D635" i="1"/>
  <c r="D636" i="1"/>
  <c r="D637" i="1"/>
  <c r="D638" i="1"/>
  <c r="D639" i="1"/>
  <c r="D645" i="1"/>
  <c r="C26" i="49" l="1"/>
  <c r="R631" i="1"/>
  <c r="T631" i="1" s="1"/>
  <c r="U631" i="1" s="1"/>
  <c r="R630" i="1"/>
  <c r="T630" i="1" s="1"/>
  <c r="U630" i="1" s="1"/>
  <c r="R627" i="1"/>
  <c r="T627" i="1" s="1"/>
  <c r="U627" i="1" s="1"/>
  <c r="R626" i="1"/>
  <c r="T626" i="1" s="1"/>
  <c r="U626" i="1" s="1"/>
  <c r="L600" i="1" l="1"/>
  <c r="T600" i="1" s="1"/>
  <c r="U600" i="1" s="1"/>
  <c r="L583" i="1" l="1"/>
  <c r="T583" i="1" s="1"/>
  <c r="U583" i="1" s="1"/>
  <c r="L614" i="1" l="1"/>
  <c r="T614" i="1" s="1"/>
  <c r="U614" i="1" s="1"/>
  <c r="L615" i="1"/>
  <c r="T615" i="1" s="1"/>
  <c r="U615" i="1" s="1"/>
  <c r="L603" i="1"/>
  <c r="T603" i="1" s="1"/>
  <c r="U603" i="1" s="1"/>
  <c r="D615" i="1"/>
  <c r="D614" i="1"/>
  <c r="D604" i="1"/>
  <c r="D603" i="1"/>
  <c r="D613" i="1"/>
  <c r="Q621" i="1"/>
  <c r="T621" i="1" s="1"/>
  <c r="U621" i="1" s="1"/>
  <c r="Q620" i="1"/>
  <c r="T620" i="1" s="1"/>
  <c r="U620" i="1" s="1"/>
  <c r="Q618" i="1"/>
  <c r="T618" i="1" s="1"/>
  <c r="U618" i="1" s="1"/>
  <c r="Q617" i="1"/>
  <c r="T617" i="1" s="1"/>
  <c r="U617" i="1" s="1"/>
  <c r="D623" i="1"/>
  <c r="D625" i="1"/>
  <c r="D626" i="1"/>
  <c r="D627" i="1"/>
  <c r="D628" i="1"/>
  <c r="D629" i="1"/>
  <c r="D630" i="1"/>
  <c r="D631" i="1"/>
  <c r="D632" i="1"/>
  <c r="D624" i="1"/>
  <c r="D633" i="1"/>
  <c r="S1004" i="1" l="1"/>
  <c r="R588" i="1"/>
  <c r="T588" i="1" s="1"/>
  <c r="U588" i="1" s="1"/>
  <c r="R587" i="1"/>
  <c r="T587" i="1" s="1"/>
  <c r="U587" i="1" s="1"/>
  <c r="R607" i="1"/>
  <c r="T607" i="1" s="1"/>
  <c r="U607" i="1" s="1"/>
  <c r="R606" i="1"/>
  <c r="T606" i="1" s="1"/>
  <c r="U606" i="1" s="1"/>
  <c r="R610" i="1"/>
  <c r="T610" i="1" s="1"/>
  <c r="U610" i="1" s="1"/>
  <c r="R609" i="1"/>
  <c r="T609" i="1" s="1"/>
  <c r="U609" i="1" s="1"/>
  <c r="C22" i="49"/>
  <c r="D588" i="1"/>
  <c r="D589" i="1"/>
  <c r="D605" i="1"/>
  <c r="D606" i="1"/>
  <c r="D607" i="1"/>
  <c r="D608" i="1"/>
  <c r="D609" i="1"/>
  <c r="D610" i="1"/>
  <c r="D611" i="1"/>
  <c r="D602" i="1"/>
  <c r="D612" i="1"/>
  <c r="D616" i="1"/>
  <c r="D617" i="1"/>
  <c r="D618" i="1"/>
  <c r="D619" i="1"/>
  <c r="D620" i="1"/>
  <c r="D621" i="1"/>
  <c r="D622" i="1"/>
  <c r="L599" i="1" l="1"/>
  <c r="T599" i="1" s="1"/>
  <c r="U599" i="1" s="1"/>
  <c r="D586" i="1"/>
  <c r="D599" i="1"/>
  <c r="D601" i="1"/>
  <c r="L598" i="1"/>
  <c r="T598" i="1" s="1"/>
  <c r="U598" i="1" s="1"/>
  <c r="L514" i="1"/>
  <c r="T514" i="1" s="1"/>
  <c r="U514" i="1" s="1"/>
  <c r="L432" i="1"/>
  <c r="T432" i="1" s="1"/>
  <c r="U432" i="1" s="1"/>
  <c r="L251" i="1"/>
  <c r="T251" i="1" s="1"/>
  <c r="U251" i="1" s="1"/>
  <c r="L584" i="1"/>
  <c r="T584" i="1" s="1"/>
  <c r="U584" i="1" s="1"/>
  <c r="L593" i="1"/>
  <c r="T593" i="1" s="1"/>
  <c r="U593" i="1" s="1"/>
  <c r="L592" i="1"/>
  <c r="T592" i="1" s="1"/>
  <c r="U592" i="1" s="1"/>
  <c r="L591" i="1"/>
  <c r="T591" i="1" s="1"/>
  <c r="U591" i="1" s="1"/>
  <c r="L486" i="1"/>
  <c r="T486" i="1" s="1"/>
  <c r="U486" i="1" s="1"/>
  <c r="L485" i="1"/>
  <c r="T485" i="1" s="1"/>
  <c r="U485" i="1" s="1"/>
  <c r="L525" i="1"/>
  <c r="T525" i="1" s="1"/>
  <c r="U525" i="1" s="1"/>
  <c r="L523" i="1"/>
  <c r="T523" i="1" s="1"/>
  <c r="U523" i="1" s="1"/>
  <c r="L524" i="1"/>
  <c r="T524" i="1" s="1"/>
  <c r="U524" i="1" s="1"/>
  <c r="L582" i="1" l="1"/>
  <c r="T582" i="1" s="1"/>
  <c r="U582" i="1" s="1"/>
  <c r="R580" i="1" l="1"/>
  <c r="T580" i="1" s="1"/>
  <c r="U580" i="1" s="1"/>
  <c r="R579" i="1"/>
  <c r="T579" i="1" s="1"/>
  <c r="U579" i="1" s="1"/>
  <c r="C7" i="49"/>
  <c r="I9" i="48"/>
  <c r="L577" i="1"/>
  <c r="T577" i="1" s="1"/>
  <c r="U577" i="1" s="1"/>
  <c r="D579" i="1" l="1"/>
  <c r="D580" i="1"/>
  <c r="D581" i="1"/>
  <c r="D582" i="1"/>
  <c r="D583" i="1"/>
  <c r="D584" i="1"/>
  <c r="D523" i="1"/>
  <c r="D524" i="1"/>
  <c r="D525" i="1"/>
  <c r="D485" i="1"/>
  <c r="D486" i="1"/>
  <c r="D591" i="1"/>
  <c r="D590" i="1"/>
  <c r="D592" i="1"/>
  <c r="D593" i="1"/>
  <c r="D594" i="1"/>
  <c r="D595" i="1"/>
  <c r="D596" i="1"/>
  <c r="L575" i="1"/>
  <c r="T575" i="1" s="1"/>
  <c r="U575" i="1" s="1"/>
  <c r="L573" i="1"/>
  <c r="T573" i="1" s="1"/>
  <c r="U573" i="1" s="1"/>
  <c r="L574" i="1"/>
  <c r="T574" i="1" s="1"/>
  <c r="U574" i="1" s="1"/>
  <c r="I15" i="48" l="1"/>
  <c r="I14" i="48"/>
  <c r="I13" i="48"/>
  <c r="I12" i="48"/>
  <c r="I8" i="48"/>
  <c r="D563" i="1"/>
  <c r="D564" i="1"/>
  <c r="D565" i="1"/>
  <c r="D566" i="1"/>
  <c r="D522" i="1"/>
  <c r="D567" i="1"/>
  <c r="D568" i="1"/>
  <c r="D506" i="1"/>
  <c r="D526" i="1"/>
  <c r="D573" i="1"/>
  <c r="D574" i="1"/>
  <c r="D575" i="1"/>
  <c r="D577" i="1"/>
  <c r="D578" i="1"/>
  <c r="D597" i="1"/>
  <c r="D598" i="1"/>
  <c r="D587" i="1"/>
  <c r="R557" i="1"/>
  <c r="R559" i="1"/>
  <c r="R560" i="1"/>
  <c r="R558" i="1"/>
  <c r="R561" i="1"/>
  <c r="T561" i="1" s="1"/>
  <c r="U561" i="1" s="1"/>
  <c r="L560" i="1"/>
  <c r="L559" i="1"/>
  <c r="T559" i="1" s="1"/>
  <c r="U559" i="1" s="1"/>
  <c r="L558" i="1"/>
  <c r="T558" i="1" s="1"/>
  <c r="U558" i="1" s="1"/>
  <c r="L557" i="1"/>
  <c r="T557" i="1" s="1"/>
  <c r="U557" i="1" s="1"/>
  <c r="D556" i="1"/>
  <c r="D557" i="1"/>
  <c r="D558" i="1"/>
  <c r="D559" i="1"/>
  <c r="D560" i="1"/>
  <c r="D561" i="1"/>
  <c r="D562" i="1"/>
  <c r="R529" i="1"/>
  <c r="T529" i="1" s="1"/>
  <c r="U529" i="1" s="1"/>
  <c r="R528" i="1"/>
  <c r="T528" i="1" s="1"/>
  <c r="U528" i="1" s="1"/>
  <c r="D552" i="1"/>
  <c r="R551" i="1"/>
  <c r="T551" i="1" s="1"/>
  <c r="U551" i="1" s="1"/>
  <c r="D551" i="1"/>
  <c r="R550" i="1"/>
  <c r="T550" i="1" s="1"/>
  <c r="U550" i="1" s="1"/>
  <c r="D550" i="1"/>
  <c r="D549" i="1"/>
  <c r="T560" i="1" l="1"/>
  <c r="U560" i="1" s="1"/>
  <c r="R553" i="1"/>
  <c r="T553" i="1" s="1"/>
  <c r="U553" i="1" s="1"/>
  <c r="R555" i="1"/>
  <c r="T555" i="1" s="1"/>
  <c r="U555" i="1" s="1"/>
  <c r="R554" i="1"/>
  <c r="T554" i="1" s="1"/>
  <c r="U554" i="1" s="1"/>
  <c r="D527" i="1"/>
  <c r="D528" i="1"/>
  <c r="D529" i="1"/>
  <c r="D530" i="1"/>
  <c r="D535" i="1"/>
  <c r="D536" i="1"/>
  <c r="D570" i="1"/>
  <c r="D571" i="1"/>
  <c r="D572" i="1"/>
  <c r="C21" i="48"/>
  <c r="I11" i="48" s="1"/>
  <c r="L532" i="1"/>
  <c r="T532" i="1" s="1"/>
  <c r="U532" i="1" s="1"/>
  <c r="L569" i="1"/>
  <c r="T569" i="1" s="1"/>
  <c r="U569" i="1" s="1"/>
  <c r="R545" i="1"/>
  <c r="T545" i="1" s="1"/>
  <c r="U545" i="1" s="1"/>
  <c r="R546" i="1"/>
  <c r="T546" i="1" s="1"/>
  <c r="U546" i="1" s="1"/>
  <c r="R548" i="1"/>
  <c r="T548" i="1" s="1"/>
  <c r="U548" i="1" s="1"/>
  <c r="D542" i="1"/>
  <c r="D543" i="1"/>
  <c r="D544" i="1"/>
  <c r="D545" i="1"/>
  <c r="D546" i="1"/>
  <c r="D547" i="1"/>
  <c r="Q539" i="1"/>
  <c r="T539" i="1" s="1"/>
  <c r="U539" i="1" s="1"/>
  <c r="Q538" i="1"/>
  <c r="T538" i="1" s="1"/>
  <c r="U538" i="1" s="1"/>
  <c r="S533" i="1" l="1"/>
  <c r="T533" i="1" s="1"/>
  <c r="U533" i="1" s="1"/>
  <c r="S993" i="1" l="1"/>
  <c r="R470" i="1"/>
  <c r="T470" i="1" s="1"/>
  <c r="U470" i="1" s="1"/>
  <c r="D503" i="1"/>
  <c r="C14" i="48"/>
  <c r="C11" i="48"/>
  <c r="C9" i="48" l="1"/>
  <c r="I7" i="48" s="1"/>
  <c r="C8" i="48"/>
  <c r="I10" i="48" s="1"/>
  <c r="L511" i="1"/>
  <c r="T511" i="1" s="1"/>
  <c r="U511" i="1" s="1"/>
  <c r="L512" i="1"/>
  <c r="T512" i="1" s="1"/>
  <c r="U512" i="1" s="1"/>
  <c r="R428" i="1"/>
  <c r="T428" i="1" s="1"/>
  <c r="U428" i="1" s="1"/>
  <c r="L509" i="1" l="1"/>
  <c r="T509" i="1" s="1"/>
  <c r="U509" i="1" s="1"/>
  <c r="L505" i="1"/>
  <c r="T505" i="1" s="1"/>
  <c r="U505" i="1" s="1"/>
  <c r="L504" i="1"/>
  <c r="T504" i="1" s="1"/>
  <c r="U504" i="1" s="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2" i="1"/>
  <c r="D473" i="1"/>
  <c r="D474" i="1"/>
  <c r="D475" i="1"/>
  <c r="D476" i="1"/>
  <c r="D477" i="1"/>
  <c r="D478" i="1"/>
  <c r="D479" i="1"/>
  <c r="D480" i="1"/>
  <c r="D481" i="1"/>
  <c r="D482" i="1"/>
  <c r="D483" i="1"/>
  <c r="D484" i="1"/>
  <c r="D487" i="1"/>
  <c r="D488" i="1"/>
  <c r="D489" i="1"/>
  <c r="D490" i="1"/>
  <c r="D491" i="1"/>
  <c r="D492" i="1"/>
  <c r="D493" i="1"/>
  <c r="D494" i="1"/>
  <c r="D495" i="1"/>
  <c r="D496" i="1"/>
  <c r="D497" i="1"/>
  <c r="D498" i="1"/>
  <c r="D499" i="1"/>
  <c r="D500" i="1"/>
  <c r="D502" i="1"/>
  <c r="D504" i="1"/>
  <c r="D505" i="1"/>
  <c r="D507" i="1"/>
  <c r="D508" i="1"/>
  <c r="D509" i="1"/>
  <c r="D510" i="1"/>
  <c r="D511" i="1"/>
  <c r="D512" i="1"/>
  <c r="D514" i="1"/>
  <c r="D515" i="1"/>
  <c r="D516" i="1"/>
  <c r="D517" i="1"/>
  <c r="D501" i="1"/>
  <c r="D518" i="1"/>
  <c r="D519" i="1"/>
  <c r="D520" i="1"/>
  <c r="D513" i="1"/>
  <c r="D521" i="1"/>
  <c r="D470" i="1"/>
  <c r="D471" i="1"/>
  <c r="D600" i="1"/>
  <c r="D531" i="1"/>
  <c r="D533" i="1"/>
  <c r="D534" i="1"/>
  <c r="D537" i="1"/>
  <c r="D538" i="1"/>
  <c r="D539" i="1"/>
  <c r="D540" i="1"/>
  <c r="D541" i="1"/>
  <c r="D548" i="1"/>
  <c r="D569" i="1"/>
  <c r="D532" i="1"/>
  <c r="D553" i="1"/>
  <c r="D554" i="1"/>
  <c r="D555" i="1"/>
  <c r="D374" i="1"/>
  <c r="D375" i="1"/>
  <c r="R482" i="1" l="1"/>
  <c r="T482" i="1" s="1"/>
  <c r="U482" i="1" s="1"/>
  <c r="R483" i="1"/>
  <c r="T483" i="1" s="1"/>
  <c r="U483" i="1" s="1"/>
  <c r="R484" i="1"/>
  <c r="T484" i="1" s="1"/>
  <c r="U484" i="1" s="1"/>
  <c r="R480" i="1"/>
  <c r="T480" i="1" s="1"/>
  <c r="U480" i="1" s="1"/>
  <c r="L478" i="1" l="1"/>
  <c r="T478" i="1" s="1"/>
  <c r="U478" i="1" s="1"/>
  <c r="L386" i="1"/>
  <c r="T386" i="1" s="1"/>
  <c r="U386" i="1" s="1"/>
  <c r="L296" i="1"/>
  <c r="T296" i="1" s="1"/>
  <c r="U296" i="1" s="1"/>
  <c r="L225" i="1"/>
  <c r="T225" i="1" s="1"/>
  <c r="U225" i="1" s="1"/>
  <c r="R440" i="1"/>
  <c r="T440" i="1" s="1"/>
  <c r="U440" i="1" s="1"/>
  <c r="R476" i="1" l="1"/>
  <c r="T476" i="1" s="1"/>
  <c r="U476" i="1" s="1"/>
  <c r="R475" i="1"/>
  <c r="T475" i="1" s="1"/>
  <c r="U475" i="1" s="1"/>
  <c r="L472" i="1" l="1"/>
  <c r="T472" i="1" s="1"/>
  <c r="U472" i="1" s="1"/>
  <c r="L473" i="1"/>
  <c r="T473" i="1" s="1"/>
  <c r="U473" i="1" s="1"/>
  <c r="R461" i="1"/>
  <c r="T461" i="1" s="1"/>
  <c r="U461" i="1" s="1"/>
  <c r="R466" i="1"/>
  <c r="R468" i="1"/>
  <c r="R467" i="1"/>
  <c r="R465" i="1"/>
  <c r="R469" i="1" l="1"/>
  <c r="T469" i="1" s="1"/>
  <c r="U469" i="1" s="1"/>
  <c r="L468" i="1"/>
  <c r="T468" i="1" s="1"/>
  <c r="U468" i="1" s="1"/>
  <c r="L467" i="1"/>
  <c r="T467" i="1" s="1"/>
  <c r="U467" i="1" s="1"/>
  <c r="L466" i="1"/>
  <c r="T466" i="1" s="1"/>
  <c r="U466" i="1" s="1"/>
  <c r="L465" i="1"/>
  <c r="T465" i="1" s="1"/>
  <c r="U465" i="1" s="1"/>
  <c r="R463" i="1"/>
  <c r="T463" i="1" s="1"/>
  <c r="U463" i="1" s="1"/>
  <c r="R487" i="1"/>
  <c r="T487" i="1" s="1"/>
  <c r="U487" i="1" s="1"/>
  <c r="R488" i="1"/>
  <c r="T488" i="1" s="1"/>
  <c r="U488" i="1" s="1"/>
  <c r="R489" i="1"/>
  <c r="T489" i="1" s="1"/>
  <c r="U489" i="1" s="1"/>
  <c r="R490" i="1"/>
  <c r="T490" i="1" s="1"/>
  <c r="U490" i="1" s="1"/>
  <c r="R491" i="1"/>
  <c r="T491" i="1" s="1"/>
  <c r="U491" i="1" s="1"/>
  <c r="R492" i="1"/>
  <c r="T492" i="1" s="1"/>
  <c r="U492" i="1" s="1"/>
  <c r="C225" i="1"/>
  <c r="C296" i="1"/>
  <c r="D225" i="1"/>
  <c r="D296" i="1"/>
  <c r="D386" i="1"/>
  <c r="C28" i="47" l="1"/>
  <c r="I10" i="47" s="1"/>
  <c r="I11" i="47"/>
  <c r="I9" i="47"/>
  <c r="I8" i="47"/>
  <c r="I7" i="47"/>
  <c r="I6" i="47"/>
  <c r="Q451" i="1"/>
  <c r="T451" i="1" s="1"/>
  <c r="U451" i="1" s="1"/>
  <c r="Q450" i="1"/>
  <c r="T450" i="1" s="1"/>
  <c r="U450" i="1" s="1"/>
  <c r="R363" i="1" l="1"/>
  <c r="T363" i="1" s="1"/>
  <c r="U363" i="1" s="1"/>
  <c r="R367" i="1"/>
  <c r="T367" i="1" s="1"/>
  <c r="U367" i="1" s="1"/>
  <c r="R369" i="1"/>
  <c r="T369" i="1" s="1"/>
  <c r="U369" i="1" s="1"/>
  <c r="R371" i="1"/>
  <c r="R372" i="1"/>
  <c r="R373" i="1"/>
  <c r="R374" i="1"/>
  <c r="R375" i="1"/>
  <c r="T375" i="1" s="1"/>
  <c r="U375" i="1" s="1"/>
  <c r="R385" i="1"/>
  <c r="T385" i="1" s="1"/>
  <c r="U385" i="1" s="1"/>
  <c r="R400" i="1"/>
  <c r="T400" i="1" s="1"/>
  <c r="U400" i="1" s="1"/>
  <c r="R401" i="1"/>
  <c r="T401" i="1" s="1"/>
  <c r="U401" i="1" s="1"/>
  <c r="R418" i="1"/>
  <c r="T418" i="1" s="1"/>
  <c r="U418" i="1" s="1"/>
  <c r="R419" i="1"/>
  <c r="T419" i="1" s="1"/>
  <c r="U419" i="1" s="1"/>
  <c r="R420" i="1"/>
  <c r="T420" i="1" s="1"/>
  <c r="U420" i="1" s="1"/>
  <c r="R422" i="1"/>
  <c r="T422" i="1" s="1"/>
  <c r="U422" i="1" s="1"/>
  <c r="R423" i="1"/>
  <c r="T423" i="1" s="1"/>
  <c r="U423" i="1" s="1"/>
  <c r="R425" i="1"/>
  <c r="T425" i="1" s="1"/>
  <c r="U425" i="1" s="1"/>
  <c r="R426" i="1"/>
  <c r="T426" i="1" s="1"/>
  <c r="U426" i="1" s="1"/>
  <c r="R429" i="1"/>
  <c r="T429" i="1" s="1"/>
  <c r="U429" i="1" s="1"/>
  <c r="R437" i="1"/>
  <c r="T437" i="1" s="1"/>
  <c r="U437" i="1" s="1"/>
  <c r="L443" i="1" l="1"/>
  <c r="T443" i="1" s="1"/>
  <c r="U443" i="1" s="1"/>
  <c r="L439" i="1" l="1"/>
  <c r="T439" i="1" s="1"/>
  <c r="U439" i="1" s="1"/>
  <c r="L438" i="1"/>
  <c r="T438" i="1" s="1"/>
  <c r="U438" i="1" s="1"/>
  <c r="L435" i="1"/>
  <c r="T435" i="1" s="1"/>
  <c r="U435" i="1" s="1"/>
  <c r="L384" i="1"/>
  <c r="T384" i="1" s="1"/>
  <c r="U384" i="1" s="1"/>
  <c r="L417" i="1"/>
  <c r="T417" i="1" s="1"/>
  <c r="U417" i="1" s="1"/>
  <c r="L416" i="1"/>
  <c r="T416" i="1" s="1"/>
  <c r="U416" i="1" s="1"/>
  <c r="L414" i="1"/>
  <c r="T414" i="1" s="1"/>
  <c r="U414" i="1" s="1"/>
  <c r="L406" i="1"/>
  <c r="T406" i="1" s="1"/>
  <c r="U406" i="1" s="1"/>
  <c r="L405" i="1"/>
  <c r="T405" i="1" s="1"/>
  <c r="U405" i="1" s="1"/>
  <c r="C13" i="47"/>
  <c r="Q408" i="1"/>
  <c r="T408" i="1" s="1"/>
  <c r="U408" i="1" s="1"/>
  <c r="Q410" i="1"/>
  <c r="T410" i="1" s="1"/>
  <c r="U410" i="1" s="1"/>
  <c r="Q409" i="1"/>
  <c r="T409" i="1" s="1"/>
  <c r="U409" i="1" s="1"/>
  <c r="C12" i="47"/>
  <c r="Q395" i="1"/>
  <c r="T395" i="1" s="1"/>
  <c r="U395" i="1" s="1"/>
  <c r="Q394" i="1"/>
  <c r="T394" i="1" s="1"/>
  <c r="U394" i="1" s="1"/>
  <c r="Q392" i="1"/>
  <c r="T392" i="1" s="1"/>
  <c r="U392" i="1" s="1"/>
  <c r="Q391" i="1"/>
  <c r="T391" i="1" s="1"/>
  <c r="U391" i="1" s="1"/>
  <c r="D390" i="1"/>
  <c r="D391" i="1"/>
  <c r="D392" i="1"/>
  <c r="D393" i="1"/>
  <c r="D394" i="1"/>
  <c r="D395" i="1"/>
  <c r="D396" i="1"/>
  <c r="D388" i="1"/>
  <c r="D385" i="1"/>
  <c r="D389" i="1"/>
  <c r="L383" i="1" l="1"/>
  <c r="T383" i="1" s="1"/>
  <c r="U383" i="1" s="1"/>
  <c r="C4" i="47"/>
  <c r="C3" i="47"/>
  <c r="R1000" i="1"/>
  <c r="D354" i="1"/>
  <c r="D335" i="1"/>
  <c r="L378" i="1"/>
  <c r="T378" i="1" s="1"/>
  <c r="U378" i="1" s="1"/>
  <c r="D378" i="1"/>
  <c r="L374" i="1"/>
  <c r="T374" i="1" s="1"/>
  <c r="U374" i="1" s="1"/>
  <c r="L373" i="1"/>
  <c r="T373" i="1" s="1"/>
  <c r="U373" i="1" s="1"/>
  <c r="L372" i="1"/>
  <c r="T372" i="1" s="1"/>
  <c r="U372" i="1" s="1"/>
  <c r="L371" i="1"/>
  <c r="T371" i="1" s="1"/>
  <c r="U371" i="1" s="1"/>
  <c r="C22" i="46" l="1"/>
  <c r="I8" i="46" s="1"/>
  <c r="Q360" i="1"/>
  <c r="T360" i="1" s="1"/>
  <c r="U360" i="1" s="1"/>
  <c r="Q359" i="1"/>
  <c r="T359" i="1" s="1"/>
  <c r="U359" i="1" s="1"/>
  <c r="D361" i="1"/>
  <c r="D362" i="1"/>
  <c r="D363" i="1"/>
  <c r="D364" i="1"/>
  <c r="D365" i="1"/>
  <c r="D366" i="1"/>
  <c r="D367" i="1"/>
  <c r="D368" i="1"/>
  <c r="D369" i="1"/>
  <c r="D370" i="1"/>
  <c r="D371" i="1"/>
  <c r="D372" i="1"/>
  <c r="D373" i="1"/>
  <c r="C307" i="1"/>
  <c r="D376" i="1"/>
  <c r="D377" i="1"/>
  <c r="D379" i="1"/>
  <c r="D380" i="1"/>
  <c r="D381" i="1"/>
  <c r="D307" i="1"/>
  <c r="D311" i="1"/>
  <c r="D382" i="1"/>
  <c r="D387" i="1"/>
  <c r="D383" i="1"/>
  <c r="D384" i="1"/>
  <c r="D287" i="1"/>
  <c r="L353" i="1"/>
  <c r="T353" i="1" s="1"/>
  <c r="U353" i="1" s="1"/>
  <c r="R352" i="1"/>
  <c r="T352" i="1" s="1"/>
  <c r="U352" i="1" s="1"/>
  <c r="L350" i="1"/>
  <c r="T350" i="1" s="1"/>
  <c r="U350" i="1" s="1"/>
  <c r="L349" i="1"/>
  <c r="T349" i="1" s="1"/>
  <c r="U349" i="1" s="1"/>
  <c r="Q346" i="1"/>
  <c r="T346" i="1" s="1"/>
  <c r="U346" i="1" s="1"/>
  <c r="Q345" i="1"/>
  <c r="T345" i="1" s="1"/>
  <c r="U345" i="1" s="1"/>
  <c r="Q343" i="1"/>
  <c r="T343" i="1" s="1"/>
  <c r="U343" i="1" s="1"/>
  <c r="Q342" i="1"/>
  <c r="T342" i="1" s="1"/>
  <c r="U342" i="1" s="1"/>
  <c r="Q340" i="1"/>
  <c r="T340" i="1" s="1"/>
  <c r="U340" i="1" s="1"/>
  <c r="Q339" i="1"/>
  <c r="T339" i="1" s="1"/>
  <c r="U339" i="1" s="1"/>
  <c r="L282" i="1"/>
  <c r="T282" i="1" s="1"/>
  <c r="U282" i="1" s="1"/>
  <c r="R337" i="1" l="1"/>
  <c r="T337" i="1" s="1"/>
  <c r="U337" i="1" s="1"/>
  <c r="D336" i="1"/>
  <c r="D337" i="1"/>
  <c r="D338" i="1"/>
  <c r="D339" i="1"/>
  <c r="D340" i="1"/>
  <c r="D341" i="1"/>
  <c r="D342" i="1"/>
  <c r="D343" i="1"/>
  <c r="D344" i="1"/>
  <c r="D345" i="1"/>
  <c r="D346" i="1"/>
  <c r="D347" i="1"/>
  <c r="D348" i="1"/>
  <c r="D349" i="1"/>
  <c r="D350" i="1"/>
  <c r="D351" i="1"/>
  <c r="D352" i="1"/>
  <c r="D355" i="1"/>
  <c r="D353" i="1"/>
  <c r="D356" i="1"/>
  <c r="D357" i="1"/>
  <c r="D358" i="1"/>
  <c r="D334" i="1"/>
  <c r="D359" i="1"/>
  <c r="D360" i="1"/>
  <c r="C15" i="46"/>
  <c r="C13" i="46"/>
  <c r="I7" i="46" s="1"/>
  <c r="C12" i="46"/>
  <c r="C9" i="46"/>
  <c r="C7" i="46"/>
  <c r="C6" i="46"/>
  <c r="I10" i="46" s="1"/>
  <c r="C4" i="46"/>
  <c r="C3" i="46"/>
  <c r="I9" i="46" s="1"/>
  <c r="E2" i="46"/>
  <c r="E3" i="46" s="1"/>
  <c r="E4" i="46" l="1"/>
  <c r="E5" i="46" s="1"/>
  <c r="E6" i="46"/>
  <c r="E7" i="46" s="1"/>
  <c r="E8" i="46" s="1"/>
  <c r="E9" i="46" s="1"/>
  <c r="E10" i="46" s="1"/>
  <c r="E11" i="46" s="1"/>
  <c r="E12" i="46" s="1"/>
  <c r="E13" i="46" s="1"/>
  <c r="E14" i="46" s="1"/>
  <c r="E15" i="46" s="1"/>
  <c r="E16" i="46" s="1"/>
  <c r="E17" i="46" s="1"/>
  <c r="E18" i="46" s="1"/>
  <c r="E19" i="46" s="1"/>
  <c r="E20" i="46" s="1"/>
  <c r="E21" i="46" s="1"/>
  <c r="E22" i="46" s="1"/>
  <c r="E2" i="47" s="1"/>
  <c r="E3" i="47" s="1"/>
  <c r="E4" i="47" s="1"/>
  <c r="E5" i="47" s="1"/>
  <c r="E6" i="47" s="1"/>
  <c r="E7" i="47" s="1"/>
  <c r="E8" i="47" s="1"/>
  <c r="E9" i="47" s="1"/>
  <c r="E10" i="47" s="1"/>
  <c r="E11" i="47" s="1"/>
  <c r="E12" i="47" s="1"/>
  <c r="E13" i="47" s="1"/>
  <c r="E14" i="47" s="1"/>
  <c r="E15" i="47" s="1"/>
  <c r="E16" i="47" s="1"/>
  <c r="E17" i="47" s="1"/>
  <c r="E18" i="47" s="1"/>
  <c r="E19" i="47" s="1"/>
  <c r="E20" i="47" s="1"/>
  <c r="E21" i="47" s="1"/>
  <c r="E22" i="47" s="1"/>
  <c r="E23" i="47" s="1"/>
  <c r="E24" i="47" s="1"/>
  <c r="E25" i="47" s="1"/>
  <c r="E26" i="47" s="1"/>
  <c r="E27" i="47" s="1"/>
  <c r="E28" i="47" s="1"/>
  <c r="E2" i="48" s="1"/>
  <c r="E3" i="48" s="1"/>
  <c r="E4" i="48" s="1"/>
  <c r="E5" i="48" s="1"/>
  <c r="E6" i="48" s="1"/>
  <c r="E7" i="48" s="1"/>
  <c r="E8" i="48" s="1"/>
  <c r="E9" i="48" s="1"/>
  <c r="E10" i="48" s="1"/>
  <c r="E11" i="48" s="1"/>
  <c r="E12" i="48" s="1"/>
  <c r="E13" i="48" s="1"/>
  <c r="E14" i="48" s="1"/>
  <c r="E15" i="48" s="1"/>
  <c r="I6" i="46"/>
  <c r="L320" i="1"/>
  <c r="T320" i="1" s="1"/>
  <c r="U320" i="1" s="1"/>
  <c r="L324" i="1"/>
  <c r="T324" i="1" s="1"/>
  <c r="U324" i="1" s="1"/>
  <c r="L323" i="1"/>
  <c r="T323" i="1" s="1"/>
  <c r="U323" i="1" s="1"/>
  <c r="E16" i="48" l="1"/>
  <c r="E17" i="48" s="1"/>
  <c r="E18" i="48" s="1"/>
  <c r="E19" i="48" s="1"/>
  <c r="E20" i="48" s="1"/>
  <c r="E21" i="48" s="1"/>
  <c r="E22" i="48" s="1"/>
  <c r="E2" i="49" s="1"/>
  <c r="E3" i="49" s="1"/>
  <c r="E4" i="49" s="1"/>
  <c r="E5" i="49" s="1"/>
  <c r="E6" i="49" s="1"/>
  <c r="E7" i="49" s="1"/>
  <c r="E8" i="49" s="1"/>
  <c r="E9" i="49" s="1"/>
  <c r="E10" i="49" s="1"/>
  <c r="E11" i="49" s="1"/>
  <c r="E12" i="49" s="1"/>
  <c r="E13" i="49" s="1"/>
  <c r="E14" i="49" s="1"/>
  <c r="E15" i="49" s="1"/>
  <c r="E16" i="49" s="1"/>
  <c r="E17" i="49" s="1"/>
  <c r="E18" i="49" s="1"/>
  <c r="E19" i="49" s="1"/>
  <c r="E20" i="49" s="1"/>
  <c r="E21" i="49" s="1"/>
  <c r="E22" i="49" s="1"/>
  <c r="E23" i="49" s="1"/>
  <c r="E24" i="49" s="1"/>
  <c r="E25" i="49" s="1"/>
  <c r="E26" i="49" s="1"/>
  <c r="E27" i="49" s="1"/>
  <c r="E28" i="49" s="1"/>
  <c r="E29" i="49" s="1"/>
  <c r="E30" i="49" s="1"/>
  <c r="E31" i="49" s="1"/>
  <c r="E32" i="49" s="1"/>
  <c r="E33" i="49" s="1"/>
  <c r="E34" i="49" s="1"/>
  <c r="E2" i="50" s="1"/>
  <c r="E3" i="50" s="1"/>
  <c r="E4" i="50" s="1"/>
  <c r="E5" i="50" s="1"/>
  <c r="E6" i="50" s="1"/>
  <c r="E7" i="50" s="1"/>
  <c r="E8" i="50" s="1"/>
  <c r="E9" i="50" s="1"/>
  <c r="E10" i="50" s="1"/>
  <c r="E11" i="50" s="1"/>
  <c r="E12" i="50" s="1"/>
  <c r="E13" i="50" s="1"/>
  <c r="E14" i="50" s="1"/>
  <c r="E15" i="50" s="1"/>
  <c r="E16" i="50" s="1"/>
  <c r="E17" i="50" s="1"/>
  <c r="E18" i="50" s="1"/>
  <c r="E19" i="50" s="1"/>
  <c r="E20" i="50" s="1"/>
  <c r="E21" i="50" s="1"/>
  <c r="E22" i="50" s="1"/>
  <c r="E23" i="50" s="1"/>
  <c r="E24" i="50" s="1"/>
  <c r="E25" i="50" s="1"/>
  <c r="E26" i="50" s="1"/>
  <c r="E27" i="50" s="1"/>
  <c r="E28" i="50" s="1"/>
  <c r="E29" i="50" s="1"/>
  <c r="E30" i="50" s="1"/>
  <c r="E31" i="50" s="1"/>
  <c r="E2" i="51" s="1"/>
  <c r="E3" i="51" s="1"/>
  <c r="E4" i="51" s="1"/>
  <c r="E5" i="51" s="1"/>
  <c r="E6" i="51" s="1"/>
  <c r="E7" i="51" s="1"/>
  <c r="R327" i="1"/>
  <c r="T327" i="1" s="1"/>
  <c r="U327" i="1" s="1"/>
  <c r="R326" i="1"/>
  <c r="T326" i="1" s="1"/>
  <c r="U326" i="1" s="1"/>
  <c r="L316" i="1"/>
  <c r="T316" i="1" s="1"/>
  <c r="U316" i="1" s="1"/>
  <c r="L315" i="1"/>
  <c r="T315" i="1" s="1"/>
  <c r="U315" i="1" s="1"/>
  <c r="L159" i="1"/>
  <c r="T159" i="1" s="1"/>
  <c r="U159" i="1" s="1"/>
  <c r="L76" i="1"/>
  <c r="T76" i="1" s="1"/>
  <c r="U76" i="1" s="1"/>
  <c r="L16" i="1"/>
  <c r="T16" i="1" s="1"/>
  <c r="U16" i="1" s="1"/>
  <c r="L294" i="1"/>
  <c r="T294" i="1" s="1"/>
  <c r="U294" i="1" s="1"/>
  <c r="L214" i="1" l="1"/>
  <c r="T214" i="1" s="1"/>
  <c r="U214" i="1" s="1"/>
  <c r="C295" i="1"/>
  <c r="D315" i="1"/>
  <c r="D316" i="1"/>
  <c r="D318" i="1"/>
  <c r="D319" i="1"/>
  <c r="D320" i="1"/>
  <c r="D321" i="1"/>
  <c r="D322" i="1"/>
  <c r="D295" i="1"/>
  <c r="D325" i="1"/>
  <c r="D326" i="1"/>
  <c r="D327" i="1"/>
  <c r="D328" i="1"/>
  <c r="D330" i="1"/>
  <c r="D323" i="1"/>
  <c r="D324" i="1"/>
  <c r="D329" i="1"/>
  <c r="D332" i="1"/>
  <c r="D331" i="1"/>
  <c r="D333" i="1"/>
  <c r="R273" i="1" l="1"/>
  <c r="R274" i="1"/>
  <c r="R275" i="1"/>
  <c r="R276" i="1"/>
  <c r="R277" i="1"/>
  <c r="T277" i="1" s="1"/>
  <c r="U277" i="1" s="1"/>
  <c r="R292" i="1"/>
  <c r="T292" i="1" s="1"/>
  <c r="U292" i="1" s="1"/>
  <c r="R301" i="1"/>
  <c r="T301" i="1" s="1"/>
  <c r="U301" i="1" s="1"/>
  <c r="R302" i="1"/>
  <c r="T302" i="1" s="1"/>
  <c r="U302" i="1" s="1"/>
  <c r="R304" i="1"/>
  <c r="T304" i="1" s="1"/>
  <c r="U304" i="1" s="1"/>
  <c r="R305" i="1"/>
  <c r="T305" i="1" s="1"/>
  <c r="U305" i="1" s="1"/>
  <c r="R309" i="1"/>
  <c r="T309" i="1" s="1"/>
  <c r="U309" i="1" s="1"/>
  <c r="R310" i="1"/>
  <c r="T310" i="1" s="1"/>
  <c r="U310" i="1" s="1"/>
  <c r="R265" i="1"/>
  <c r="T265" i="1" s="1"/>
  <c r="U265" i="1" s="1"/>
  <c r="R266" i="1"/>
  <c r="T266" i="1" s="1"/>
  <c r="U266" i="1" s="1"/>
  <c r="R267" i="1"/>
  <c r="T267" i="1" s="1"/>
  <c r="U267" i="1" s="1"/>
  <c r="D267" i="1"/>
  <c r="D268" i="1"/>
  <c r="D269" i="1"/>
  <c r="R213" i="1"/>
  <c r="T213" i="1" s="1"/>
  <c r="U213" i="1" s="1"/>
  <c r="R212" i="1"/>
  <c r="T212" i="1" s="1"/>
  <c r="U212" i="1" s="1"/>
  <c r="R228" i="1" l="1"/>
  <c r="T228" i="1" s="1"/>
  <c r="U228" i="1" s="1"/>
  <c r="R257" i="1"/>
  <c r="T257" i="1" s="1"/>
  <c r="U257" i="1" s="1"/>
  <c r="R258" i="1"/>
  <c r="T258" i="1" s="1"/>
  <c r="U258" i="1" s="1"/>
  <c r="D259" i="1"/>
  <c r="C259" i="1"/>
  <c r="D258" i="1"/>
  <c r="C258" i="1"/>
  <c r="D257" i="1"/>
  <c r="C257" i="1"/>
  <c r="D256" i="1"/>
  <c r="C256" i="1"/>
  <c r="R254" i="1"/>
  <c r="T254" i="1" s="1"/>
  <c r="U254" i="1" s="1"/>
  <c r="R253" i="1"/>
  <c r="T253" i="1" s="1"/>
  <c r="U253" i="1" s="1"/>
  <c r="D255" i="1"/>
  <c r="C255" i="1"/>
  <c r="D254" i="1"/>
  <c r="C254" i="1"/>
  <c r="D253" i="1"/>
  <c r="C253" i="1"/>
  <c r="D252" i="1"/>
  <c r="C252" i="1"/>
  <c r="C23" i="45"/>
  <c r="D285" i="1" l="1"/>
  <c r="C285" i="1"/>
  <c r="D284" i="1"/>
  <c r="C284" i="1"/>
  <c r="I9" i="45"/>
  <c r="I6" i="45"/>
  <c r="C13" i="45"/>
  <c r="C286" i="1"/>
  <c r="C287" i="1"/>
  <c r="C308" i="1"/>
  <c r="C309" i="1"/>
  <c r="C268" i="1"/>
  <c r="C269" i="1"/>
  <c r="C227" i="1"/>
  <c r="C228" i="1"/>
  <c r="C229" i="1"/>
  <c r="C230" i="1"/>
  <c r="C212" i="1"/>
  <c r="C213" i="1"/>
  <c r="D286" i="1"/>
  <c r="D308" i="1"/>
  <c r="D309" i="1"/>
  <c r="D310" i="1"/>
  <c r="D227" i="1"/>
  <c r="D228" i="1"/>
  <c r="D229" i="1"/>
  <c r="D230" i="1"/>
  <c r="D212" i="1"/>
  <c r="D213" i="1"/>
  <c r="D312" i="1"/>
  <c r="D313" i="1"/>
  <c r="D317" i="1"/>
  <c r="L293" i="1"/>
  <c r="T293" i="1" s="1"/>
  <c r="U293" i="1" s="1"/>
  <c r="C301" i="1" l="1"/>
  <c r="C302" i="1"/>
  <c r="C303" i="1"/>
  <c r="C304" i="1"/>
  <c r="C305" i="1"/>
  <c r="C306" i="1"/>
  <c r="C288" i="1"/>
  <c r="C289" i="1"/>
  <c r="C290" i="1"/>
  <c r="C291" i="1"/>
  <c r="C292" i="1"/>
  <c r="C293" i="1"/>
  <c r="C294" i="1"/>
  <c r="C263" i="1"/>
  <c r="D301" i="1"/>
  <c r="D302" i="1"/>
  <c r="D303" i="1"/>
  <c r="D304" i="1"/>
  <c r="D305" i="1"/>
  <c r="D306" i="1"/>
  <c r="D288" i="1"/>
  <c r="D289" i="1"/>
  <c r="D290" i="1"/>
  <c r="D291" i="1"/>
  <c r="D292" i="1"/>
  <c r="D293" i="1"/>
  <c r="D294" i="1"/>
  <c r="D263" i="1"/>
  <c r="C25" i="45"/>
  <c r="L283" i="1"/>
  <c r="T283" i="1" s="1"/>
  <c r="U283" i="1" s="1"/>
  <c r="L280" i="1"/>
  <c r="T280" i="1" s="1"/>
  <c r="U280" i="1" s="1"/>
  <c r="L276" i="1"/>
  <c r="T276" i="1" s="1"/>
  <c r="U276" i="1" s="1"/>
  <c r="L275" i="1"/>
  <c r="T275" i="1" s="1"/>
  <c r="U275" i="1" s="1"/>
  <c r="L274" i="1"/>
  <c r="T274" i="1" s="1"/>
  <c r="U274" i="1" s="1"/>
  <c r="L273" i="1"/>
  <c r="T273" i="1" s="1"/>
  <c r="U273" i="1" s="1"/>
  <c r="C274" i="1"/>
  <c r="C275" i="1"/>
  <c r="C276" i="1"/>
  <c r="C277" i="1"/>
  <c r="C278" i="1"/>
  <c r="C279" i="1"/>
  <c r="C280" i="1"/>
  <c r="C281" i="1"/>
  <c r="C282" i="1"/>
  <c r="C283" i="1"/>
  <c r="C297" i="1"/>
  <c r="C298" i="1"/>
  <c r="C299" i="1"/>
  <c r="C300" i="1"/>
  <c r="D274" i="1"/>
  <c r="D275" i="1"/>
  <c r="D276" i="1"/>
  <c r="D277" i="1"/>
  <c r="D278" i="1"/>
  <c r="D279" i="1"/>
  <c r="D280" i="1"/>
  <c r="D281" i="1"/>
  <c r="D282" i="1"/>
  <c r="D283" i="1"/>
  <c r="D297" i="1"/>
  <c r="D298" i="1"/>
  <c r="D299" i="1"/>
  <c r="D300" i="1"/>
  <c r="D314" i="1"/>
  <c r="C20" i="45" l="1"/>
  <c r="L260" i="1" l="1"/>
  <c r="T260" i="1" s="1"/>
  <c r="U260" i="1" s="1"/>
  <c r="L250" i="1" l="1"/>
  <c r="T250" i="1" s="1"/>
  <c r="U250" i="1" s="1"/>
  <c r="L249" i="1"/>
  <c r="T249" i="1" s="1"/>
  <c r="U249" i="1" s="1"/>
  <c r="L247" i="1"/>
  <c r="T247" i="1" s="1"/>
  <c r="U247" i="1" s="1"/>
  <c r="D250" i="1"/>
  <c r="C250" i="1"/>
  <c r="D249" i="1"/>
  <c r="C249" i="1"/>
  <c r="L243" i="1" l="1"/>
  <c r="T243" i="1" s="1"/>
  <c r="U243" i="1" s="1"/>
  <c r="L242" i="1"/>
  <c r="T242" i="1" s="1"/>
  <c r="U242" i="1" s="1"/>
  <c r="C11" i="45" l="1"/>
  <c r="I7" i="45" s="1"/>
  <c r="C6" i="45"/>
  <c r="I5" i="45" s="1"/>
  <c r="R231" i="1"/>
  <c r="T231" i="1" s="1"/>
  <c r="U231" i="1" s="1"/>
  <c r="R236" i="1"/>
  <c r="T236" i="1" s="1"/>
  <c r="U236" i="1" s="1"/>
  <c r="R235" i="1"/>
  <c r="T235" i="1" s="1"/>
  <c r="U235" i="1" s="1"/>
  <c r="R234" i="1"/>
  <c r="T234" i="1" s="1"/>
  <c r="U234" i="1" s="1"/>
  <c r="R233" i="1"/>
  <c r="T233" i="1" s="1"/>
  <c r="U233" i="1" s="1"/>
  <c r="R232" i="1"/>
  <c r="T232" i="1" s="1"/>
  <c r="U232" i="1" s="1"/>
  <c r="C240" i="1"/>
  <c r="C242" i="1"/>
  <c r="C243" i="1"/>
  <c r="C244" i="1"/>
  <c r="C238" i="1"/>
  <c r="C241" i="1"/>
  <c r="C239" i="1"/>
  <c r="C245" i="1"/>
  <c r="C246" i="1"/>
  <c r="C247" i="1"/>
  <c r="C248" i="1"/>
  <c r="C251" i="1"/>
  <c r="C260" i="1"/>
  <c r="C261" i="1"/>
  <c r="C262" i="1"/>
  <c r="C264" i="1"/>
  <c r="C265" i="1"/>
  <c r="C266" i="1"/>
  <c r="C267" i="1"/>
  <c r="C270" i="1"/>
  <c r="C271" i="1"/>
  <c r="C272" i="1"/>
  <c r="D240" i="1"/>
  <c r="D242" i="1"/>
  <c r="D243" i="1"/>
  <c r="D244" i="1"/>
  <c r="D238" i="1"/>
  <c r="D241" i="1"/>
  <c r="D239" i="1"/>
  <c r="D245" i="1"/>
  <c r="D246" i="1"/>
  <c r="D247" i="1"/>
  <c r="D248" i="1"/>
  <c r="D251" i="1"/>
  <c r="D260" i="1"/>
  <c r="D261" i="1"/>
  <c r="D262" i="1"/>
  <c r="D264" i="1"/>
  <c r="D265" i="1"/>
  <c r="D266" i="1"/>
  <c r="D270" i="1"/>
  <c r="D271" i="1"/>
  <c r="D272" i="1"/>
  <c r="C7" i="45"/>
  <c r="I10" i="45" s="1"/>
  <c r="C5" i="45" l="1"/>
  <c r="I8" i="45" s="1"/>
  <c r="L224" i="1"/>
  <c r="T224" i="1" s="1"/>
  <c r="U224" i="1" s="1"/>
  <c r="L223" i="1"/>
  <c r="T223" i="1" s="1"/>
  <c r="U223" i="1" s="1"/>
  <c r="L226" i="1" l="1"/>
  <c r="T226" i="1" s="1"/>
  <c r="U226" i="1" s="1"/>
  <c r="L222" i="1"/>
  <c r="T222" i="1" s="1"/>
  <c r="U222" i="1" s="1"/>
  <c r="R216" i="1"/>
  <c r="T216" i="1" s="1"/>
  <c r="U216" i="1" s="1"/>
  <c r="S997" i="1"/>
  <c r="S998" i="1"/>
  <c r="R201" i="1"/>
  <c r="R202" i="1"/>
  <c r="R203" i="1"/>
  <c r="R204" i="1"/>
  <c r="R205" i="1"/>
  <c r="T205" i="1" s="1"/>
  <c r="U205" i="1" s="1"/>
  <c r="R219" i="1"/>
  <c r="T219" i="1" s="1"/>
  <c r="U219" i="1" s="1"/>
  <c r="R221" i="1"/>
  <c r="T221" i="1" s="1"/>
  <c r="U221" i="1" s="1"/>
  <c r="R153" i="1"/>
  <c r="T153" i="1" s="1"/>
  <c r="U153" i="1" s="1"/>
  <c r="R111" i="1"/>
  <c r="T111" i="1" s="1"/>
  <c r="U111" i="1" s="1"/>
  <c r="R112" i="1"/>
  <c r="T112" i="1" s="1"/>
  <c r="U112" i="1" s="1"/>
  <c r="R116" i="1"/>
  <c r="T116" i="1" s="1"/>
  <c r="U116" i="1" s="1"/>
  <c r="R117" i="1"/>
  <c r="T117" i="1" s="1"/>
  <c r="U117" i="1" s="1"/>
  <c r="R125" i="1"/>
  <c r="T125" i="1" s="1"/>
  <c r="U125" i="1" s="1"/>
  <c r="R126" i="1"/>
  <c r="T126" i="1" s="1"/>
  <c r="U126" i="1" s="1"/>
  <c r="R140" i="1"/>
  <c r="R141" i="1"/>
  <c r="R142" i="1"/>
  <c r="R143" i="1"/>
  <c r="R144" i="1"/>
  <c r="R145" i="1"/>
  <c r="T145" i="1" s="1"/>
  <c r="U145" i="1" s="1"/>
  <c r="R149" i="1"/>
  <c r="T149" i="1" s="1"/>
  <c r="U149" i="1" s="1"/>
  <c r="R151" i="1"/>
  <c r="T151" i="1" s="1"/>
  <c r="U151" i="1" s="1"/>
  <c r="R156" i="1"/>
  <c r="T156" i="1" s="1"/>
  <c r="U156" i="1" s="1"/>
  <c r="R177" i="1"/>
  <c r="T177" i="1" s="1"/>
  <c r="U177" i="1" s="1"/>
  <c r="R185" i="1"/>
  <c r="T185" i="1" s="1"/>
  <c r="U185" i="1" s="1"/>
  <c r="C200" i="1"/>
  <c r="D200" i="1"/>
  <c r="D146" i="1"/>
  <c r="D147" i="1"/>
  <c r="D148" i="1"/>
  <c r="D149" i="1"/>
  <c r="D150" i="1"/>
  <c r="D151" i="1"/>
  <c r="D152" i="1"/>
  <c r="D153" i="1"/>
  <c r="D154" i="1"/>
  <c r="D155" i="1"/>
  <c r="D156" i="1"/>
  <c r="D157" i="1"/>
  <c r="D158" i="1"/>
  <c r="D160" i="1"/>
  <c r="D161" i="1"/>
  <c r="D162" i="1"/>
  <c r="D163" i="1"/>
  <c r="D164" i="1"/>
  <c r="D165" i="1"/>
  <c r="D166" i="1"/>
  <c r="D167" i="1"/>
  <c r="D168" i="1"/>
  <c r="D169" i="1"/>
  <c r="D170" i="1"/>
  <c r="D171" i="1"/>
  <c r="D172" i="1"/>
  <c r="D173" i="1"/>
  <c r="D174" i="1"/>
  <c r="D175" i="1"/>
  <c r="D176" i="1"/>
  <c r="D177" i="1"/>
  <c r="D178" i="1"/>
  <c r="D179" i="1"/>
  <c r="D180" i="1"/>
  <c r="D181" i="1"/>
  <c r="D183" i="1"/>
  <c r="D184" i="1"/>
  <c r="D185" i="1"/>
  <c r="D186" i="1"/>
  <c r="D187" i="1"/>
  <c r="D188" i="1"/>
  <c r="D189" i="1"/>
  <c r="D190" i="1"/>
  <c r="D191" i="1"/>
  <c r="D192" i="1"/>
  <c r="D193" i="1"/>
  <c r="D196" i="1"/>
  <c r="D215" i="1"/>
  <c r="D216" i="1"/>
  <c r="D217" i="1"/>
  <c r="D218" i="1"/>
  <c r="D219" i="1"/>
  <c r="D220" i="1"/>
  <c r="D221" i="1"/>
  <c r="D197" i="1"/>
  <c r="D198" i="1"/>
  <c r="D199" i="1"/>
  <c r="D201" i="1"/>
  <c r="D202" i="1"/>
  <c r="D203" i="1"/>
  <c r="D204" i="1"/>
  <c r="D205" i="1"/>
  <c r="D206" i="1"/>
  <c r="D207" i="1"/>
  <c r="D208" i="1"/>
  <c r="D209" i="1"/>
  <c r="D210" i="1"/>
  <c r="D211" i="1"/>
  <c r="D214" i="1"/>
  <c r="D222" i="1"/>
  <c r="C79" i="1"/>
  <c r="D79" i="1"/>
  <c r="I6" i="44" l="1"/>
  <c r="I7" i="44"/>
  <c r="C208" i="1"/>
  <c r="C209" i="1"/>
  <c r="C210" i="1"/>
  <c r="C161" i="1"/>
  <c r="C214" i="1"/>
  <c r="C80" i="1"/>
  <c r="C211" i="1"/>
  <c r="C222" i="1"/>
  <c r="C226" i="1"/>
  <c r="C223" i="1"/>
  <c r="C16" i="1"/>
  <c r="C76" i="1"/>
  <c r="C159" i="1"/>
  <c r="C224" i="1"/>
  <c r="C231" i="1"/>
  <c r="C232" i="1"/>
  <c r="C233" i="1"/>
  <c r="C234" i="1"/>
  <c r="C235" i="1"/>
  <c r="C236" i="1"/>
  <c r="C237" i="1"/>
  <c r="D80" i="1"/>
  <c r="D226" i="1"/>
  <c r="D223" i="1"/>
  <c r="D16" i="1"/>
  <c r="D76" i="1"/>
  <c r="D159" i="1"/>
  <c r="D224" i="1"/>
  <c r="D231" i="1"/>
  <c r="D232" i="1"/>
  <c r="D233" i="1"/>
  <c r="D234" i="1"/>
  <c r="D235" i="1"/>
  <c r="D236" i="1"/>
  <c r="D237" i="1"/>
  <c r="Q192" i="1"/>
  <c r="T192" i="1" s="1"/>
  <c r="U192" i="1" s="1"/>
  <c r="L179" i="1"/>
  <c r="T179" i="1" s="1"/>
  <c r="U179" i="1" s="1"/>
  <c r="L176" i="1"/>
  <c r="T176" i="1" s="1"/>
  <c r="U176" i="1" s="1"/>
  <c r="C112" i="1"/>
  <c r="C113" i="1"/>
  <c r="C114" i="1"/>
  <c r="C120" i="1"/>
  <c r="C115" i="1"/>
  <c r="C116" i="1"/>
  <c r="C117" i="1"/>
  <c r="C118" i="1"/>
  <c r="C124" i="1"/>
  <c r="C125" i="1"/>
  <c r="C126" i="1"/>
  <c r="C127" i="1"/>
  <c r="C151" i="1"/>
  <c r="C157" i="1"/>
  <c r="C176" i="1"/>
  <c r="C177" i="1"/>
  <c r="C178" i="1"/>
  <c r="C179" i="1"/>
  <c r="C182" i="1"/>
  <c r="C198" i="1"/>
  <c r="C199" i="1"/>
  <c r="C273" i="1"/>
  <c r="D112" i="1"/>
  <c r="D113" i="1"/>
  <c r="D114" i="1"/>
  <c r="D120" i="1"/>
  <c r="D115" i="1"/>
  <c r="D116" i="1"/>
  <c r="D117" i="1"/>
  <c r="D118" i="1"/>
  <c r="D124" i="1"/>
  <c r="D125" i="1"/>
  <c r="D126" i="1"/>
  <c r="D127" i="1"/>
  <c r="D182" i="1"/>
  <c r="D273" i="1"/>
  <c r="L201" i="1" l="1"/>
  <c r="T201" i="1" s="1"/>
  <c r="U201" i="1" s="1"/>
  <c r="L202" i="1"/>
  <c r="T202" i="1" s="1"/>
  <c r="U202" i="1" s="1"/>
  <c r="L203" i="1"/>
  <c r="T203" i="1" s="1"/>
  <c r="U203" i="1" s="1"/>
  <c r="L204" i="1"/>
  <c r="T204" i="1" s="1"/>
  <c r="U204" i="1" s="1"/>
  <c r="C206" i="1" l="1"/>
  <c r="C205" i="1"/>
  <c r="C204" i="1"/>
  <c r="C203" i="1"/>
  <c r="C202" i="1"/>
  <c r="C201" i="1"/>
  <c r="L196" i="1"/>
  <c r="T196" i="1" s="1"/>
  <c r="U196" i="1" s="1"/>
  <c r="L172" i="1" l="1"/>
  <c r="T172" i="1" s="1"/>
  <c r="U172" i="1" s="1"/>
  <c r="C17" i="44" l="1"/>
  <c r="C18" i="44"/>
  <c r="C193" i="1" l="1"/>
  <c r="C184" i="1"/>
  <c r="C185" i="1"/>
  <c r="C172" i="1"/>
  <c r="C196" i="1"/>
  <c r="C207" i="1"/>
  <c r="C215" i="1"/>
  <c r="C216" i="1"/>
  <c r="C217" i="1"/>
  <c r="C218" i="1"/>
  <c r="C219" i="1"/>
  <c r="C220" i="1"/>
  <c r="C221" i="1"/>
  <c r="C106" i="1"/>
  <c r="C197" i="1"/>
  <c r="C110" i="1"/>
  <c r="C111" i="1"/>
  <c r="D106" i="1"/>
  <c r="D110" i="1"/>
  <c r="D111" i="1"/>
  <c r="Q190" i="1"/>
  <c r="T190" i="1" s="1"/>
  <c r="U190" i="1" s="1"/>
  <c r="Q189" i="1"/>
  <c r="T189" i="1" s="1"/>
  <c r="U189" i="1" s="1"/>
  <c r="Q188" i="1"/>
  <c r="T188" i="1" s="1"/>
  <c r="U188" i="1" s="1"/>
  <c r="Q187" i="1"/>
  <c r="T187" i="1" s="1"/>
  <c r="U187" i="1" s="1"/>
  <c r="L175" i="1" l="1"/>
  <c r="T175" i="1" s="1"/>
  <c r="U175" i="1" s="1"/>
  <c r="L183" i="1" l="1"/>
  <c r="T183" i="1" s="1"/>
  <c r="U183" i="1" s="1"/>
  <c r="L180" i="1"/>
  <c r="T180" i="1" s="1"/>
  <c r="U180" i="1" s="1"/>
  <c r="L170" i="1"/>
  <c r="T170" i="1" s="1"/>
  <c r="U170" i="1" s="1"/>
  <c r="L173" i="1"/>
  <c r="T173" i="1" s="1"/>
  <c r="U173" i="1" s="1"/>
  <c r="L174" i="1"/>
  <c r="T174" i="1" s="1"/>
  <c r="U174" i="1" s="1"/>
  <c r="C183" i="1"/>
  <c r="C180" i="1"/>
  <c r="C174" i="1"/>
  <c r="C173" i="1"/>
  <c r="C171" i="1"/>
  <c r="C170" i="1"/>
  <c r="C169" i="1"/>
  <c r="C168" i="1"/>
  <c r="C13" i="44"/>
  <c r="C12" i="44"/>
  <c r="L165" i="1"/>
  <c r="T165" i="1" s="1"/>
  <c r="U165" i="1" s="1"/>
  <c r="L164" i="1"/>
  <c r="T164" i="1" s="1"/>
  <c r="U164" i="1" s="1"/>
  <c r="D85" i="1"/>
  <c r="D86" i="1"/>
  <c r="D87" i="1"/>
  <c r="D88" i="1"/>
  <c r="D89" i="1"/>
  <c r="D90" i="1"/>
  <c r="D91" i="1"/>
  <c r="D92" i="1"/>
  <c r="D93" i="1"/>
  <c r="D94" i="1"/>
  <c r="D95" i="1"/>
  <c r="D96" i="1"/>
  <c r="D97" i="1"/>
  <c r="D98" i="1"/>
  <c r="D99" i="1"/>
  <c r="D100" i="1"/>
  <c r="D101" i="1"/>
  <c r="D102" i="1"/>
  <c r="D103" i="1"/>
  <c r="D104" i="1"/>
  <c r="D105" i="1"/>
  <c r="D107" i="1"/>
  <c r="D108" i="1"/>
  <c r="D109" i="1"/>
  <c r="D119" i="1"/>
  <c r="D121" i="1"/>
  <c r="D122" i="1"/>
  <c r="D123" i="1"/>
  <c r="D128" i="1"/>
  <c r="D129" i="1"/>
  <c r="D130" i="1"/>
  <c r="D131" i="1"/>
  <c r="D132" i="1"/>
  <c r="D133" i="1"/>
  <c r="D134" i="1"/>
  <c r="D135" i="1"/>
  <c r="D136" i="1"/>
  <c r="D137" i="1"/>
  <c r="D138" i="1"/>
  <c r="D139" i="1"/>
  <c r="D140" i="1"/>
  <c r="D141" i="1"/>
  <c r="D142" i="1"/>
  <c r="D143" i="1"/>
  <c r="D144" i="1"/>
  <c r="D145" i="1"/>
  <c r="R65" i="1"/>
  <c r="C7" i="44" l="1"/>
  <c r="I5" i="44" s="1"/>
  <c r="C5" i="44" l="1"/>
  <c r="I10" i="44" s="1"/>
  <c r="L158" i="1"/>
  <c r="T158" i="1" s="1"/>
  <c r="U158" i="1" s="1"/>
  <c r="C158" i="1"/>
  <c r="C160" i="1"/>
  <c r="C162" i="1"/>
  <c r="C163" i="1"/>
  <c r="C164" i="1"/>
  <c r="C165" i="1"/>
  <c r="C166" i="1"/>
  <c r="C167" i="1"/>
  <c r="C181" i="1"/>
  <c r="C175" i="1"/>
  <c r="C186" i="1"/>
  <c r="C187" i="1"/>
  <c r="C188" i="1"/>
  <c r="C189" i="1"/>
  <c r="C190" i="1"/>
  <c r="C191" i="1"/>
  <c r="L140" i="1" l="1"/>
  <c r="T140" i="1" s="1"/>
  <c r="U140" i="1" s="1"/>
  <c r="C140" i="1"/>
  <c r="L141" i="1"/>
  <c r="T141" i="1" s="1"/>
  <c r="U141" i="1" s="1"/>
  <c r="L142" i="1"/>
  <c r="T142" i="1" s="1"/>
  <c r="U142" i="1" s="1"/>
  <c r="L143" i="1"/>
  <c r="T143" i="1" s="1"/>
  <c r="U143" i="1" s="1"/>
  <c r="L144" i="1"/>
  <c r="T144" i="1" s="1"/>
  <c r="U144" i="1" s="1"/>
  <c r="C152" i="1" l="1"/>
  <c r="C153" i="1"/>
  <c r="C154" i="1"/>
  <c r="C155" i="1"/>
  <c r="C156" i="1"/>
  <c r="C148" i="1"/>
  <c r="I10" i="43" l="1"/>
  <c r="L147" i="1"/>
  <c r="T147" i="1" s="1"/>
  <c r="U147" i="1" s="1"/>
  <c r="C141" i="1"/>
  <c r="C142" i="1"/>
  <c r="C143" i="1"/>
  <c r="C144" i="1"/>
  <c r="C145" i="1"/>
  <c r="C146" i="1"/>
  <c r="C137" i="1"/>
  <c r="C138" i="1"/>
  <c r="C139" i="1"/>
  <c r="C78" i="1"/>
  <c r="C81" i="1"/>
  <c r="C149" i="1"/>
  <c r="C150" i="1"/>
  <c r="C192" i="1"/>
  <c r="D78" i="1"/>
  <c r="D81" i="1"/>
  <c r="L136" i="1"/>
  <c r="T136" i="1" s="1"/>
  <c r="U136" i="1" s="1"/>
  <c r="C123" i="1"/>
  <c r="C128" i="1"/>
  <c r="C129" i="1"/>
  <c r="C130" i="1"/>
  <c r="C131" i="1"/>
  <c r="C132" i="1"/>
  <c r="C133" i="1"/>
  <c r="C134" i="1"/>
  <c r="C135" i="1"/>
  <c r="C136" i="1"/>
  <c r="C147" i="1"/>
  <c r="Q135" i="1"/>
  <c r="T135" i="1" s="1"/>
  <c r="U135" i="1" s="1"/>
  <c r="Q133" i="1"/>
  <c r="T133" i="1" s="1"/>
  <c r="U133" i="1" s="1"/>
  <c r="Q132" i="1"/>
  <c r="T132" i="1" s="1"/>
  <c r="U132" i="1" s="1"/>
  <c r="Q130" i="1"/>
  <c r="T130" i="1" s="1"/>
  <c r="U130" i="1" s="1"/>
  <c r="Q129" i="1"/>
  <c r="T129" i="1" s="1"/>
  <c r="U129" i="1" s="1"/>
  <c r="C28" i="43"/>
  <c r="C27" i="43"/>
  <c r="C26" i="43" l="1"/>
  <c r="C23" i="43"/>
  <c r="L119" i="1" l="1"/>
  <c r="T119" i="1" s="1"/>
  <c r="U119" i="1" s="1"/>
  <c r="L109" i="1"/>
  <c r="T109" i="1" s="1"/>
  <c r="U109" i="1" s="1"/>
  <c r="L35" i="1"/>
  <c r="T35" i="1" s="1"/>
  <c r="U35" i="1" s="1"/>
  <c r="L108" i="1"/>
  <c r="T108" i="1" s="1"/>
  <c r="U108" i="1" s="1"/>
  <c r="L107" i="1"/>
  <c r="T107" i="1" s="1"/>
  <c r="U107" i="1" s="1"/>
  <c r="C24" i="43"/>
  <c r="I11" i="43" s="1"/>
  <c r="L104" i="1"/>
  <c r="T104" i="1" s="1"/>
  <c r="U104" i="1" s="1"/>
  <c r="L100" i="1"/>
  <c r="T100" i="1" s="1"/>
  <c r="U100" i="1" s="1"/>
  <c r="L99" i="1"/>
  <c r="T99" i="1" s="1"/>
  <c r="U99" i="1" s="1"/>
  <c r="C105" i="1"/>
  <c r="C104" i="1"/>
  <c r="C103" i="1"/>
  <c r="C102" i="1"/>
  <c r="C100" i="1"/>
  <c r="C99" i="1"/>
  <c r="C98" i="1"/>
  <c r="L75" i="1"/>
  <c r="T75" i="1" s="1"/>
  <c r="U75" i="1" s="1"/>
  <c r="C20" i="43"/>
  <c r="R95" i="1"/>
  <c r="T95" i="1" s="1"/>
  <c r="U95" i="1" s="1"/>
  <c r="R94" i="1"/>
  <c r="T94" i="1" s="1"/>
  <c r="U94" i="1" s="1"/>
  <c r="R91" i="1"/>
  <c r="T91" i="1" s="1"/>
  <c r="U91" i="1" s="1"/>
  <c r="R92" i="1"/>
  <c r="T92" i="1" s="1"/>
  <c r="U92" i="1" s="1"/>
  <c r="R992" i="1"/>
  <c r="T992" i="1" s="1"/>
  <c r="U992" i="1" s="1"/>
  <c r="C95" i="1" l="1"/>
  <c r="C96" i="1"/>
  <c r="C101" i="1"/>
  <c r="C75" i="1"/>
  <c r="C107" i="1"/>
  <c r="C108" i="1"/>
  <c r="C109" i="1"/>
  <c r="C119" i="1"/>
  <c r="C121" i="1"/>
  <c r="C122" i="1"/>
  <c r="D75" i="1"/>
  <c r="C17" i="43"/>
  <c r="I9" i="43" s="1"/>
  <c r="C14" i="43"/>
  <c r="Q88" i="1"/>
  <c r="T88" i="1" s="1"/>
  <c r="U88" i="1" s="1"/>
  <c r="Q86" i="1"/>
  <c r="T86" i="1" s="1"/>
  <c r="U86" i="1" s="1"/>
  <c r="Q87" i="1"/>
  <c r="T87" i="1" s="1"/>
  <c r="U87" i="1" s="1"/>
  <c r="C88" i="1"/>
  <c r="Q84" i="1"/>
  <c r="T84" i="1" s="1"/>
  <c r="U84" i="1" s="1"/>
  <c r="Q83" i="1"/>
  <c r="T83" i="1" s="1"/>
  <c r="U83" i="1" s="1"/>
  <c r="C11" i="43" l="1"/>
  <c r="I12" i="43" s="1"/>
  <c r="C8" i="43"/>
  <c r="I7" i="43" s="1"/>
  <c r="C64" i="1"/>
  <c r="D64" i="1"/>
  <c r="R68" i="1"/>
  <c r="R67" i="1"/>
  <c r="R66" i="1"/>
  <c r="R62" i="1" l="1"/>
  <c r="T62" i="1" s="1"/>
  <c r="U62" i="1" s="1"/>
  <c r="R61" i="1"/>
  <c r="T61" i="1" s="1"/>
  <c r="U61" i="1" s="1"/>
  <c r="R60" i="1"/>
  <c r="T60" i="1" s="1"/>
  <c r="U60" i="1" s="1"/>
  <c r="C72" i="1"/>
  <c r="C73" i="1"/>
  <c r="C74" i="1"/>
  <c r="C19" i="1"/>
  <c r="D72" i="1"/>
  <c r="D73" i="1"/>
  <c r="D74" i="1"/>
  <c r="D19" i="1"/>
  <c r="C18" i="1"/>
  <c r="C77" i="1"/>
  <c r="C82" i="1"/>
  <c r="C83" i="1"/>
  <c r="D18" i="1"/>
  <c r="D77" i="1"/>
  <c r="D82" i="1"/>
  <c r="D83" i="1"/>
  <c r="C84" i="1"/>
  <c r="C85" i="1"/>
  <c r="C86" i="1"/>
  <c r="C87" i="1"/>
  <c r="D84" i="1"/>
  <c r="C89" i="1"/>
  <c r="C97" i="1"/>
  <c r="C90" i="1"/>
  <c r="C91" i="1"/>
  <c r="C92" i="1"/>
  <c r="J5" i="42"/>
  <c r="L40" i="1" l="1"/>
  <c r="T40" i="1" s="1"/>
  <c r="U40" i="1" s="1"/>
  <c r="L38" i="1"/>
  <c r="T38" i="1" s="1"/>
  <c r="U38" i="1" s="1"/>
  <c r="L30" i="1"/>
  <c r="T30" i="1" s="1"/>
  <c r="U30" i="1" s="1"/>
  <c r="L29" i="1"/>
  <c r="T29" i="1" s="1"/>
  <c r="U29" i="1" s="1"/>
  <c r="L25" i="1"/>
  <c r="T25" i="1" s="1"/>
  <c r="U25" i="1" s="1"/>
  <c r="L22" i="1"/>
  <c r="T22" i="1" s="1"/>
  <c r="U22" i="1" s="1"/>
  <c r="L21" i="1"/>
  <c r="T21" i="1" s="1"/>
  <c r="U21" i="1" s="1"/>
  <c r="L15" i="1"/>
  <c r="T15" i="1" s="1"/>
  <c r="R69" i="1"/>
  <c r="T69" i="1" s="1"/>
  <c r="U69" i="1" s="1"/>
  <c r="R54" i="1"/>
  <c r="T54" i="1" s="1"/>
  <c r="U54" i="1" s="1"/>
  <c r="R58" i="1"/>
  <c r="T58" i="1" s="1"/>
  <c r="U58" i="1" s="1"/>
  <c r="R43" i="1"/>
  <c r="T43" i="1" s="1"/>
  <c r="U43" i="1" s="1"/>
  <c r="R42" i="1"/>
  <c r="T42" i="1" s="1"/>
  <c r="U42" i="1" s="1"/>
  <c r="C34" i="1"/>
  <c r="D34" i="1"/>
  <c r="U15" i="1" l="1"/>
  <c r="L50" i="1"/>
  <c r="T50" i="1" s="1"/>
  <c r="U50" i="1" s="1"/>
  <c r="Q47" i="1"/>
  <c r="T47" i="1" s="1"/>
  <c r="U47" i="1" s="1"/>
  <c r="Q46" i="1"/>
  <c r="T46" i="1" s="1"/>
  <c r="U46" i="1" s="1"/>
  <c r="Q993" i="1" l="1"/>
  <c r="C45" i="1"/>
  <c r="C46" i="1"/>
  <c r="C47" i="1"/>
  <c r="C48" i="1"/>
  <c r="C49" i="1"/>
  <c r="C50" i="1"/>
  <c r="C17" i="1"/>
  <c r="C51" i="1"/>
  <c r="C52" i="1"/>
  <c r="C26" i="1"/>
  <c r="C36" i="1"/>
  <c r="C37" i="1"/>
  <c r="C41" i="1"/>
  <c r="C42" i="1"/>
  <c r="C43" i="1"/>
  <c r="C44" i="1"/>
  <c r="C93" i="1"/>
  <c r="C94" i="1"/>
  <c r="D45" i="1"/>
  <c r="D46" i="1"/>
  <c r="D47" i="1"/>
  <c r="D48" i="1"/>
  <c r="D49" i="1"/>
  <c r="D50" i="1"/>
  <c r="D17" i="1"/>
  <c r="D51" i="1"/>
  <c r="D52" i="1"/>
  <c r="D26" i="1"/>
  <c r="D36" i="1"/>
  <c r="D37" i="1"/>
  <c r="D41" i="1"/>
  <c r="D42" i="1"/>
  <c r="D43" i="1"/>
  <c r="D44" i="1"/>
  <c r="C71" i="1"/>
  <c r="D71" i="1"/>
  <c r="C21" i="42"/>
  <c r="L68" i="1"/>
  <c r="T68" i="1" s="1"/>
  <c r="U68" i="1" s="1"/>
  <c r="L67" i="1"/>
  <c r="T67" i="1" s="1"/>
  <c r="U67" i="1" s="1"/>
  <c r="L66" i="1"/>
  <c r="T66" i="1" s="1"/>
  <c r="U66" i="1" s="1"/>
  <c r="L65" i="1"/>
  <c r="T65" i="1" s="1"/>
  <c r="U65" i="1" s="1"/>
  <c r="L63" i="1"/>
  <c r="T63" i="1" s="1"/>
  <c r="U63" i="1" s="1"/>
  <c r="L993" i="1" l="1"/>
  <c r="C20" i="42"/>
  <c r="C19" i="42"/>
  <c r="C15" i="42"/>
  <c r="C14" i="42"/>
  <c r="R33" i="1" l="1"/>
  <c r="T33" i="1" s="1"/>
  <c r="U33" i="1" s="1"/>
  <c r="R32" i="1"/>
  <c r="T32" i="1" s="1"/>
  <c r="U32" i="1" s="1"/>
  <c r="R993" i="1" l="1"/>
  <c r="T993" i="1" s="1"/>
  <c r="C30" i="1"/>
  <c r="C53" i="1"/>
  <c r="C35" i="1"/>
  <c r="C38" i="1"/>
  <c r="D30" i="1"/>
  <c r="D53" i="1"/>
  <c r="D35" i="1"/>
  <c r="D38" i="1"/>
  <c r="C40" i="1"/>
  <c r="C31" i="1"/>
  <c r="C32" i="1"/>
  <c r="C33" i="1"/>
  <c r="C39" i="1"/>
  <c r="D40" i="1"/>
  <c r="D31" i="1"/>
  <c r="D32" i="1"/>
  <c r="D33" i="1"/>
  <c r="D39" i="1"/>
  <c r="C63" i="1"/>
  <c r="C65" i="1"/>
  <c r="C66" i="1"/>
  <c r="C67" i="1"/>
  <c r="C68" i="1"/>
  <c r="D63" i="1"/>
  <c r="D65" i="1"/>
  <c r="D66" i="1"/>
  <c r="D67" i="1"/>
  <c r="D68" i="1"/>
  <c r="C69" i="1"/>
  <c r="C70" i="1"/>
  <c r="C54" i="1"/>
  <c r="C55" i="1"/>
  <c r="C56" i="1"/>
  <c r="D69" i="1"/>
  <c r="D70" i="1"/>
  <c r="D54" i="1"/>
  <c r="D55" i="1"/>
  <c r="D56" i="1"/>
  <c r="C29" i="1"/>
  <c r="C57" i="1"/>
  <c r="C58" i="1"/>
  <c r="C59" i="1"/>
  <c r="C60" i="1"/>
  <c r="C61" i="1"/>
  <c r="C62" i="1"/>
  <c r="D29" i="1"/>
  <c r="D57" i="1"/>
  <c r="D58" i="1"/>
  <c r="D59" i="1"/>
  <c r="D60" i="1"/>
  <c r="D61" i="1"/>
  <c r="D62" i="1"/>
  <c r="C12" i="42" l="1"/>
  <c r="I7" i="42" s="1"/>
  <c r="C10" i="42" l="1"/>
  <c r="C7" i="42"/>
  <c r="I10" i="42" s="1"/>
  <c r="C3" i="42"/>
  <c r="C6" i="42"/>
  <c r="I8" i="42" s="1"/>
  <c r="C4" i="42"/>
  <c r="I6" i="42" s="1"/>
  <c r="C8" i="42"/>
  <c r="E3" i="42" l="1"/>
  <c r="E4" i="42" s="1"/>
  <c r="E5" i="42" s="1"/>
  <c r="E6" i="42" s="1"/>
  <c r="E7" i="42" s="1"/>
  <c r="E8" i="42" s="1"/>
  <c r="E9" i="42" s="1"/>
  <c r="E10" i="42" s="1"/>
  <c r="E11" i="42" s="1"/>
  <c r="E12" i="42" s="1"/>
  <c r="E13" i="42" s="1"/>
  <c r="E14" i="42" s="1"/>
  <c r="E15" i="42" s="1"/>
  <c r="E16" i="42" s="1"/>
  <c r="E17" i="42" s="1"/>
  <c r="E18" i="42" s="1"/>
  <c r="E19" i="42" s="1"/>
  <c r="E20" i="42" s="1"/>
  <c r="E21" i="42" s="1"/>
  <c r="E22" i="42" s="1"/>
  <c r="E23" i="42" s="1"/>
  <c r="E24" i="42" s="1"/>
  <c r="E2" i="43" s="1"/>
  <c r="I5" i="42"/>
  <c r="E3" i="43" l="1"/>
  <c r="E4" i="43" s="1"/>
  <c r="E5" i="43" s="1"/>
  <c r="E6" i="43" s="1"/>
  <c r="E7" i="43" s="1"/>
  <c r="E8" i="43" s="1"/>
  <c r="E9" i="43" s="1"/>
  <c r="E10" i="43" s="1"/>
  <c r="E11" i="43" s="1"/>
  <c r="E12" i="43" s="1"/>
  <c r="E13" i="43" s="1"/>
  <c r="E14" i="43" s="1"/>
  <c r="E15" i="43" s="1"/>
  <c r="E16" i="43" s="1"/>
  <c r="E17" i="43" s="1"/>
  <c r="E18" i="43" s="1"/>
  <c r="E19" i="43" s="1"/>
  <c r="E20" i="43" s="1"/>
  <c r="E21" i="43" s="1"/>
  <c r="E22" i="43" s="1"/>
  <c r="E23" i="43" s="1"/>
  <c r="E24" i="43" s="1"/>
  <c r="E25" i="43" s="1"/>
  <c r="E26" i="43" s="1"/>
  <c r="E27" i="43" s="1"/>
  <c r="E28" i="43" s="1"/>
  <c r="E2" i="44" s="1"/>
  <c r="E3" i="44" s="1"/>
  <c r="E4" i="44" s="1"/>
  <c r="E5" i="44" s="1"/>
  <c r="E6" i="44" s="1"/>
  <c r="E7" i="44" s="1"/>
  <c r="E8" i="44" s="1"/>
  <c r="E9" i="44" s="1"/>
  <c r="E10" i="44" s="1"/>
  <c r="E11" i="44" s="1"/>
  <c r="E12" i="44" s="1"/>
  <c r="E13" i="44" s="1"/>
  <c r="E14" i="44" s="1"/>
  <c r="E15" i="44" s="1"/>
  <c r="E16" i="44" s="1"/>
  <c r="E17" i="44" s="1"/>
  <c r="E18" i="44" s="1"/>
  <c r="E19" i="44" s="1"/>
  <c r="E20" i="44" s="1"/>
  <c r="E21" i="44" s="1"/>
  <c r="E22" i="44" s="1"/>
  <c r="E23" i="44" s="1"/>
  <c r="E24" i="44" s="1"/>
  <c r="E25" i="44" s="1"/>
  <c r="E26" i="44" s="1"/>
  <c r="E2" i="45" s="1"/>
  <c r="E3" i="45" s="1"/>
  <c r="E4" i="45" s="1"/>
  <c r="E5" i="45" s="1"/>
  <c r="E6" i="45" s="1"/>
  <c r="E7" i="45" s="1"/>
  <c r="E8" i="45" s="1"/>
  <c r="E9" i="45" s="1"/>
  <c r="E10" i="45" s="1"/>
  <c r="E11" i="45" s="1"/>
  <c r="E12" i="45" s="1"/>
  <c r="E13" i="45" s="1"/>
  <c r="E14" i="45" s="1"/>
  <c r="E15" i="45" s="1"/>
  <c r="E16" i="45" s="1"/>
  <c r="E17" i="45" s="1"/>
  <c r="E18" i="45" s="1"/>
  <c r="E19" i="45" s="1"/>
  <c r="E20" i="45" s="1"/>
  <c r="E21" i="45" s="1"/>
  <c r="E22" i="45" s="1"/>
  <c r="E23" i="45" s="1"/>
  <c r="E24" i="45" s="1"/>
  <c r="E25" i="45" s="1"/>
  <c r="D15" i="1" l="1"/>
  <c r="D27" i="1"/>
  <c r="D28" i="1"/>
  <c r="D20" i="1"/>
  <c r="D21" i="1"/>
  <c r="D22" i="1"/>
  <c r="D23" i="1"/>
  <c r="D24" i="1"/>
  <c r="D25" i="1"/>
  <c r="C15" i="1" l="1"/>
  <c r="C27" i="1"/>
  <c r="C28" i="1"/>
  <c r="C20" i="1"/>
  <c r="C21" i="1"/>
  <c r="C22" i="1"/>
  <c r="C23" i="1"/>
  <c r="C24" i="1"/>
  <c r="C25" i="1"/>
  <c r="C25" i="11" l="1"/>
  <c r="C26" i="11"/>
  <c r="C27" i="11"/>
  <c r="C28" i="11"/>
  <c r="C29" i="11"/>
  <c r="B25" i="11"/>
  <c r="B26" i="11"/>
  <c r="B27" i="11"/>
  <c r="B28" i="11"/>
  <c r="B29" i="11"/>
  <c r="A19" i="11"/>
  <c r="A20" i="11"/>
  <c r="A21" i="11"/>
  <c r="A22" i="11"/>
  <c r="A23" i="11"/>
  <c r="A24" i="11"/>
  <c r="A25" i="11"/>
  <c r="A26" i="11"/>
  <c r="A27" i="11"/>
  <c r="A28" i="11"/>
  <c r="A29" i="11"/>
  <c r="A18" i="11"/>
  <c r="I15" i="2"/>
  <c r="J15" i="2" s="1"/>
  <c r="I14" i="2"/>
  <c r="J14" i="2" s="1"/>
  <c r="J16" i="2" s="1"/>
  <c r="G16" i="2" l="1"/>
  <c r="E16" i="2"/>
  <c r="F16" i="2"/>
  <c r="L994" i="1" l="1"/>
  <c r="P994" i="1"/>
  <c r="M994" i="1"/>
  <c r="Q994" i="1"/>
  <c r="N994" i="1"/>
  <c r="O994" i="1"/>
  <c r="S994" i="1"/>
  <c r="R994" i="1"/>
  <c r="T99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Mariam Kamal</author>
    <author>Rana Emad</author>
  </authors>
  <commentList>
    <comment ref="E80" authorId="0" shapeId="0" xr:uid="{A5DD0A4C-A36E-480A-9372-53E243BD4702}">
      <text>
        <r>
          <rPr>
            <b/>
            <sz val="9"/>
            <color rgb="FF000000"/>
            <rFont val="Tahoma"/>
            <family val="2"/>
          </rPr>
          <t>Mariam Kamal:</t>
        </r>
        <r>
          <rPr>
            <sz val="9"/>
            <color rgb="FF000000"/>
            <rFont val="Tahoma"/>
            <family val="2"/>
          </rPr>
          <t xml:space="preserve">
يتم اعطاؤه 50 في ابريل/25</t>
        </r>
      </text>
    </comment>
    <comment ref="E150" authorId="1" shapeId="0" xr:uid="{782732A2-D095-498B-A65E-488CD6E50F1D}">
      <text>
        <r>
          <rPr>
            <b/>
            <sz val="9"/>
            <color indexed="81"/>
            <rFont val="Tahoma"/>
            <family val="2"/>
          </rPr>
          <t>Rana Emad:</t>
        </r>
        <r>
          <rPr>
            <sz val="9"/>
            <color indexed="81"/>
            <rFont val="Tahoma"/>
            <family val="2"/>
          </rPr>
          <t xml:space="preserve">
اشتراك سنوي للموقع الالكتروني للاقرارات الضريبية</t>
        </r>
      </text>
    </comment>
    <comment ref="E181" authorId="0" shapeId="0" xr:uid="{30B390E3-745F-4529-A6A4-480995AC23F0}">
      <text>
        <r>
          <rPr>
            <b/>
            <sz val="9"/>
            <color indexed="81"/>
            <rFont val="Tahoma"/>
            <family val="2"/>
          </rPr>
          <t>Mariam Kamal:</t>
        </r>
        <r>
          <rPr>
            <sz val="9"/>
            <color indexed="81"/>
            <rFont val="Tahoma"/>
            <family val="2"/>
          </rPr>
          <t xml:space="preserve">
deduct From March&amp; April</t>
        </r>
      </text>
    </comment>
    <comment ref="E244" authorId="0" shapeId="0" xr:uid="{7ACC08E5-36A3-44E8-8041-08FAFDCFFC51}">
      <text>
        <r>
          <rPr>
            <b/>
            <sz val="9"/>
            <color rgb="FF000000"/>
            <rFont val="Tahoma"/>
            <family val="2"/>
          </rPr>
          <t>Mariam Kamal:</t>
        </r>
        <r>
          <rPr>
            <sz val="9"/>
            <color rgb="FF000000"/>
            <rFont val="Tahoma"/>
            <family val="2"/>
          </rPr>
          <t xml:space="preserve">
يتم اعطاؤه 50 في يوليو/25</t>
        </r>
      </text>
    </comment>
    <comment ref="L600" authorId="0" shapeId="0" xr:uid="{3D120BB4-596E-447F-BF4F-27C979700DF9}">
      <text>
        <r>
          <rPr>
            <b/>
            <sz val="9"/>
            <color indexed="81"/>
            <rFont val="Tahoma"/>
            <family val="2"/>
          </rPr>
          <t>Mariam Kamal:</t>
        </r>
        <r>
          <rPr>
            <sz val="9"/>
            <color indexed="81"/>
            <rFont val="Tahoma"/>
            <family val="2"/>
          </rPr>
          <t xml:space="preserve">
345charge 
</t>
        </r>
      </text>
    </comment>
    <comment ref="E705" authorId="0" shapeId="0" xr:uid="{95D55072-EE81-4215-AAC0-766FFAFCDAD9}">
      <text>
        <r>
          <rPr>
            <b/>
            <sz val="9"/>
            <color indexed="81"/>
            <rFont val="Tahoma"/>
            <family val="2"/>
          </rPr>
          <t>Mariam Kamal:</t>
        </r>
        <r>
          <rPr>
            <sz val="9"/>
            <color indexed="81"/>
            <rFont val="Tahoma"/>
            <family val="2"/>
          </rPr>
          <t xml:space="preserve">
deduct From Sep&amp;oct</t>
        </r>
      </text>
    </comment>
    <comment ref="E709" authorId="1" shapeId="0" xr:uid="{2AD13DF5-390D-4F6D-ACA2-4C2737434282}">
      <text>
        <r>
          <rPr>
            <b/>
            <sz val="9"/>
            <color rgb="FF000000"/>
            <rFont val="Tahoma"/>
            <family val="2"/>
          </rPr>
          <t>Rana Emad:</t>
        </r>
        <r>
          <rPr>
            <sz val="9"/>
            <color rgb="FF000000"/>
            <rFont val="Tahoma"/>
            <family val="2"/>
          </rPr>
          <t xml:space="preserve">
تم التحويل من حسابنا بالبنك الي حساب الهيئة القومية للتأمينات الاجتماعية مباشرة دفعة مقدمة والباقي يتم سداده اقساط 100000 شهريا قبل يوم 15
</t>
        </r>
      </text>
    </comment>
    <comment ref="E749" authorId="0" shapeId="0" xr:uid="{9EA167ED-05C2-4BB7-B250-7A59A0B00111}">
      <text>
        <r>
          <rPr>
            <b/>
            <sz val="9"/>
            <color indexed="81"/>
            <rFont val="Tahoma"/>
            <family val="2"/>
          </rPr>
          <t>Mariam Kamal:</t>
        </r>
        <r>
          <rPr>
            <sz val="9"/>
            <color indexed="81"/>
            <rFont val="Tahoma"/>
            <family val="2"/>
          </rPr>
          <t xml:space="preserve">
deduct From
Oct 13000
Nov 13000
Dec 14000</t>
        </r>
      </text>
    </comment>
    <comment ref="E760" authorId="1" shapeId="0" xr:uid="{BA7A0B20-AAFB-4DE6-8E22-072DF8EAE54D}">
      <text>
        <r>
          <rPr>
            <b/>
            <sz val="9"/>
            <color rgb="FF000000"/>
            <rFont val="Tahoma"/>
            <family val="2"/>
          </rPr>
          <t>Rana Emad:</t>
        </r>
        <r>
          <rPr>
            <sz val="9"/>
            <color rgb="FF000000"/>
            <rFont val="Tahoma"/>
            <family val="2"/>
          </rPr>
          <t xml:space="preserve">
تم التحويل من حسابنا بالبنك الي حساب الهيئة القومية للتأمينات الاجتماعية مباشرة دفعة مقدمة والباقي يتم سداده اقساط 100000 شهريا قبل يوم 15
</t>
        </r>
      </text>
    </comment>
    <comment ref="E862" authorId="1" shapeId="0" xr:uid="{505382A1-1FBA-4F39-9EA1-8CFC0063602E}">
      <text>
        <r>
          <rPr>
            <b/>
            <sz val="9"/>
            <color rgb="FF000000"/>
            <rFont val="Tahoma"/>
            <family val="2"/>
          </rPr>
          <t>Rana Emad:</t>
        </r>
        <r>
          <rPr>
            <sz val="9"/>
            <color rgb="FF000000"/>
            <rFont val="Tahoma"/>
            <family val="2"/>
          </rPr>
          <t xml:space="preserve">
تم التحويل من حسابنا بالبنك الي حساب الهيئة القومية للتأمينات الاجتماعية مباشرة دفعة مقدمة والباقي يتم سداده اقساط 100000 شهريا قبل يوم 15
</t>
        </r>
      </text>
    </comment>
    <comment ref="E886" authorId="0" shapeId="0" xr:uid="{B08143CD-1ADF-4E04-B83F-6F6B421FF9F6}">
      <text>
        <r>
          <rPr>
            <b/>
            <sz val="9"/>
            <color indexed="81"/>
            <rFont val="Tahoma"/>
            <family val="2"/>
          </rPr>
          <t>Mariam Kamal:</t>
        </r>
        <r>
          <rPr>
            <sz val="9"/>
            <color indexed="81"/>
            <rFont val="Tahoma"/>
            <family val="2"/>
          </rPr>
          <t xml:space="preserve">
deduct From
Salary Nov</t>
        </r>
      </text>
    </comment>
    <comment ref="E889" authorId="0" shapeId="0" xr:uid="{DA6DAEFC-5940-4FC6-A7BA-8A59D0C0910D}">
      <text>
        <r>
          <rPr>
            <b/>
            <sz val="9"/>
            <color indexed="81"/>
            <rFont val="Tahoma"/>
            <family val="2"/>
          </rPr>
          <t>Mariam Kamal:</t>
        </r>
        <r>
          <rPr>
            <sz val="9"/>
            <color indexed="81"/>
            <rFont val="Tahoma"/>
            <family val="2"/>
          </rPr>
          <t xml:space="preserve">
deduct From
Salary Nov</t>
        </r>
      </text>
    </comment>
    <comment ref="R904" authorId="0" shapeId="0" xr:uid="{0FA9C640-236F-4EAF-93B7-EA8AEF6F6D55}">
      <text>
        <r>
          <rPr>
            <b/>
            <sz val="9"/>
            <color indexed="81"/>
            <rFont val="Tahoma"/>
            <family val="2"/>
          </rPr>
          <t>Mariam Kamal:</t>
        </r>
        <r>
          <rPr>
            <sz val="9"/>
            <color indexed="81"/>
            <rFont val="Tahoma"/>
            <family val="2"/>
          </rPr>
          <t xml:space="preserve">
التامين الخاص بشادي يتم احتسابه في شهر ديسمبر حيث انه اخذ مرتبه الكامل ولم يتم الخصم
</t>
        </r>
      </text>
    </comment>
    <comment ref="E937" authorId="1" shapeId="0" xr:uid="{48AE9065-6FB1-4FC6-9AEC-C18AFF59E137}">
      <text>
        <r>
          <rPr>
            <b/>
            <sz val="9"/>
            <color rgb="FF000000"/>
            <rFont val="Tahoma"/>
            <family val="2"/>
          </rPr>
          <t>Rana Emad:</t>
        </r>
        <r>
          <rPr>
            <sz val="9"/>
            <color rgb="FF000000"/>
            <rFont val="Tahoma"/>
            <family val="2"/>
          </rPr>
          <t xml:space="preserve">
تم التحويل من حسابنا بالبنك الي حساب الهيئة القومية للتأمينات الاجتماعية مباشرة دفعة مقدمة والباقي يتم سداده اقساط 100000 شهريا قبل يوم 15
</t>
        </r>
      </text>
    </comment>
    <comment ref="E959" authorId="0" shapeId="0" xr:uid="{E2FE2661-EDE9-4F2D-A099-010BD3CFAEA0}">
      <text>
        <r>
          <rPr>
            <b/>
            <sz val="9"/>
            <color indexed="81"/>
            <rFont val="Tahoma"/>
            <family val="2"/>
          </rPr>
          <t>Mariam Kamal:</t>
        </r>
        <r>
          <rPr>
            <sz val="9"/>
            <color indexed="81"/>
            <rFont val="Tahoma"/>
            <family val="2"/>
          </rPr>
          <t xml:space="preserve">
 Dec 10000
Jan 10000
Feb 10000
Mar 10000
يتم تحويل المرتب بالكامل كل شهر وبعدها هي هتحول الـ10000 لحساب سامر </t>
        </r>
      </text>
    </comment>
  </commentList>
</comments>
</file>

<file path=xl/sharedStrings.xml><?xml version="1.0" encoding="utf-8"?>
<sst xmlns="http://schemas.openxmlformats.org/spreadsheetml/2006/main" count="5722" uniqueCount="966">
  <si>
    <t>Aura Systems</t>
  </si>
  <si>
    <t>Item</t>
  </si>
  <si>
    <t>Ref</t>
  </si>
  <si>
    <t>Date</t>
  </si>
  <si>
    <t>Samer</t>
  </si>
  <si>
    <t>Simon</t>
  </si>
  <si>
    <t>Fadi</t>
  </si>
  <si>
    <t>Total</t>
  </si>
  <si>
    <t>Expenses Report</t>
  </si>
  <si>
    <t>Domain</t>
  </si>
  <si>
    <t>Currency</t>
  </si>
  <si>
    <t>USD</t>
  </si>
  <si>
    <t>EGP</t>
  </si>
  <si>
    <t>GBP</t>
  </si>
  <si>
    <t>EUR</t>
  </si>
  <si>
    <t>Total (EGP)</t>
  </si>
  <si>
    <t>Rate</t>
  </si>
  <si>
    <t>Currency Converter</t>
  </si>
  <si>
    <t>Seed Money</t>
  </si>
  <si>
    <t>Investment Report</t>
  </si>
  <si>
    <t>Office Deposit</t>
  </si>
  <si>
    <t>Business Cards</t>
  </si>
  <si>
    <t>Chairs</t>
  </si>
  <si>
    <t>Rent</t>
  </si>
  <si>
    <t>Kitchen Cabinets</t>
  </si>
  <si>
    <t>Lighting</t>
  </si>
  <si>
    <t>Type</t>
  </si>
  <si>
    <t>CapEx</t>
  </si>
  <si>
    <t>Sunk</t>
  </si>
  <si>
    <t>OpEx</t>
  </si>
  <si>
    <t>Cost of Sales</t>
  </si>
  <si>
    <t>Printers</t>
  </si>
  <si>
    <t>Office Supplies</t>
  </si>
  <si>
    <t>UPS</t>
  </si>
  <si>
    <t>Payroll</t>
  </si>
  <si>
    <t>Tips</t>
  </si>
  <si>
    <t>Balance Swap</t>
  </si>
  <si>
    <t>Investment</t>
  </si>
  <si>
    <t>Category</t>
  </si>
  <si>
    <t>Legal</t>
  </si>
  <si>
    <t>Delivery</t>
  </si>
  <si>
    <t>Comissions</t>
  </si>
  <si>
    <t>Desk Surfaces</t>
  </si>
  <si>
    <t>Month</t>
  </si>
  <si>
    <t>Year</t>
  </si>
  <si>
    <t>Appliances</t>
  </si>
  <si>
    <t>Software Tools</t>
  </si>
  <si>
    <t>Routers</t>
  </si>
  <si>
    <t>Fingerprint</t>
  </si>
  <si>
    <t>USB Modem</t>
  </si>
  <si>
    <t>Laptops</t>
  </si>
  <si>
    <t>Electric Supplies</t>
  </si>
  <si>
    <t>Heater</t>
  </si>
  <si>
    <t>Storage</t>
  </si>
  <si>
    <t>Templates</t>
  </si>
  <si>
    <t>Consumables</t>
  </si>
  <si>
    <t>Services</t>
  </si>
  <si>
    <t>Bills</t>
  </si>
  <si>
    <t>Comment</t>
  </si>
  <si>
    <t>Office Tools</t>
  </si>
  <si>
    <t>Category List</t>
  </si>
  <si>
    <t>Values in EGP</t>
  </si>
  <si>
    <t>Cash</t>
  </si>
  <si>
    <t>Expenses Log</t>
  </si>
  <si>
    <t>Marketing</t>
  </si>
  <si>
    <t>* Please use types and categories according to categories list defined in the next sheet, if you want to add a new category, consult with your financial manager</t>
  </si>
  <si>
    <t>Salaries</t>
  </si>
  <si>
    <t xml:space="preserve">* For payments in foreign currencies, please multiply the value in the foreign currency by the rate column and select the corresponding currency in the curr column </t>
  </si>
  <si>
    <t>* All financial numbers are in EGP unless otherwise indicated</t>
  </si>
  <si>
    <t>Bathroom Supplies</t>
  </si>
  <si>
    <t>Legal Documents</t>
  </si>
  <si>
    <t>Office Preparations</t>
  </si>
  <si>
    <t>Air Conditioning</t>
  </si>
  <si>
    <t>Income</t>
  </si>
  <si>
    <t>Collection</t>
  </si>
  <si>
    <t>Hosting</t>
  </si>
  <si>
    <t>imprest fund</t>
  </si>
  <si>
    <t>Inv #</t>
  </si>
  <si>
    <t>NA</t>
  </si>
  <si>
    <t>MISSING</t>
  </si>
  <si>
    <t>DIGITAL</t>
  </si>
  <si>
    <t>Moving a balance from one account to another</t>
  </si>
  <si>
    <t>Description</t>
  </si>
  <si>
    <t>Partner salary payment</t>
  </si>
  <si>
    <t>Tax</t>
  </si>
  <si>
    <t>Payroll Tax</t>
  </si>
  <si>
    <t>Deduction Tax</t>
  </si>
  <si>
    <t>Income Tax</t>
  </si>
  <si>
    <t>Outsourcing</t>
  </si>
  <si>
    <t>Sales Comissions</t>
  </si>
  <si>
    <t>VAT</t>
  </si>
  <si>
    <t>Funding</t>
  </si>
  <si>
    <t>Other</t>
  </si>
  <si>
    <t>Websites</t>
  </si>
  <si>
    <t>Outsourced Projects</t>
  </si>
  <si>
    <t>Bank Charges</t>
  </si>
  <si>
    <t>CapEx Cash</t>
  </si>
  <si>
    <t>Borrowing</t>
  </si>
  <si>
    <t>Refund</t>
  </si>
  <si>
    <t>When one account borrows from another</t>
  </si>
  <si>
    <t>When one account refunds an amount borrowed</t>
  </si>
  <si>
    <t>Transportation</t>
  </si>
  <si>
    <t>Products</t>
  </si>
  <si>
    <t>Support Contracts</t>
  </si>
  <si>
    <t>Ads</t>
  </si>
  <si>
    <t>Videos</t>
  </si>
  <si>
    <t>Presentations</t>
  </si>
  <si>
    <t>Ads Spend</t>
  </si>
  <si>
    <t>Subscriptions</t>
  </si>
  <si>
    <t>Plugins</t>
  </si>
  <si>
    <t>Domains</t>
  </si>
  <si>
    <t>Utilities</t>
  </si>
  <si>
    <t>Internet</t>
  </si>
  <si>
    <t>Hard Drives</t>
  </si>
  <si>
    <t>Telephones</t>
  </si>
  <si>
    <t>Sub Category</t>
  </si>
  <si>
    <t>Department</t>
  </si>
  <si>
    <t>Sub Categories</t>
  </si>
  <si>
    <t xml:space="preserve">Building, </t>
  </si>
  <si>
    <t>Internal, External</t>
  </si>
  <si>
    <t>Collection, Meeting, Delivery, Shopping</t>
  </si>
  <si>
    <t>Customer</t>
  </si>
  <si>
    <t>Desks</t>
  </si>
  <si>
    <t>Custom Development</t>
  </si>
  <si>
    <t>Digital Retainer Contracts</t>
  </si>
  <si>
    <t>Branding &amp; Design</t>
  </si>
  <si>
    <t>Content Creation</t>
  </si>
  <si>
    <t>Hosting Spend</t>
  </si>
  <si>
    <t>Margins</t>
  </si>
  <si>
    <t>Row Labels</t>
  </si>
  <si>
    <t>Grand Total</t>
  </si>
  <si>
    <t>Column Labels</t>
  </si>
  <si>
    <t>Absolute Total</t>
  </si>
  <si>
    <t>Sum of Absolute Total</t>
  </si>
  <si>
    <t>Jan</t>
  </si>
  <si>
    <t>Cost of Sales Total</t>
  </si>
  <si>
    <t>OpEx Total</t>
  </si>
  <si>
    <t>Tax Total</t>
  </si>
  <si>
    <t>Count of Absolute Total</t>
  </si>
  <si>
    <t>Financial Dashboard</t>
  </si>
  <si>
    <t>Performance Against Targets</t>
  </si>
  <si>
    <t>Adel</t>
  </si>
  <si>
    <t>Office</t>
  </si>
  <si>
    <t>VAT Spend</t>
  </si>
  <si>
    <t>Social Insurance</t>
  </si>
  <si>
    <t>Domains Spend</t>
  </si>
  <si>
    <t>Balance</t>
  </si>
  <si>
    <t>Credit</t>
  </si>
  <si>
    <t>Debit</t>
  </si>
  <si>
    <t>Phone mail</t>
  </si>
  <si>
    <t>Feb</t>
  </si>
  <si>
    <t>Mar</t>
  </si>
  <si>
    <t>Apr</t>
  </si>
  <si>
    <t>May</t>
  </si>
  <si>
    <t>Jun</t>
  </si>
  <si>
    <t>Jul</t>
  </si>
  <si>
    <t>Aug</t>
  </si>
  <si>
    <t>Sep</t>
  </si>
  <si>
    <t>Oct</t>
  </si>
  <si>
    <t>Nov</t>
  </si>
  <si>
    <t>Dec</t>
  </si>
  <si>
    <t>Payroll Total</t>
  </si>
  <si>
    <t>Other Total</t>
  </si>
  <si>
    <t>(blank)</t>
  </si>
  <si>
    <t>(blank) Total</t>
  </si>
  <si>
    <t>'</t>
  </si>
  <si>
    <t>Various Consumables-City Market</t>
  </si>
  <si>
    <t xml:space="preserve">Nodust </t>
  </si>
  <si>
    <t>keys-Nermin</t>
  </si>
  <si>
    <t>flasha asansier-Nermin</t>
  </si>
  <si>
    <t>Note Book - Nagah</t>
  </si>
  <si>
    <t>Various Consumables-Negmt Heliopolies</t>
  </si>
  <si>
    <t>Ebrahim Transportation-Negmt Heliopolies</t>
  </si>
  <si>
    <t>Ebrahim Transportation-Bank &amp; T2minat</t>
  </si>
  <si>
    <t>Coffee-City Market</t>
  </si>
  <si>
    <t>Aura</t>
  </si>
  <si>
    <t>External</t>
  </si>
  <si>
    <t>Turni</t>
  </si>
  <si>
    <t>Turni Contabo -Jan/25</t>
  </si>
  <si>
    <t xml:space="preserve">Bank Pays Samer </t>
  </si>
  <si>
    <t>Samer Pays Fadi</t>
  </si>
  <si>
    <t>Bank Funding</t>
  </si>
  <si>
    <t>Online Tools</t>
  </si>
  <si>
    <t>Adobe.com -Jan/25</t>
  </si>
  <si>
    <t>ondoor</t>
  </si>
  <si>
    <t>Smart Furniture</t>
  </si>
  <si>
    <t>Cloudways Jan/25-Paypal</t>
  </si>
  <si>
    <t>CloudwaysLTD Mosta MT-Jan/25</t>
  </si>
  <si>
    <t>Atlassian-Jira(Jan/25)</t>
  </si>
  <si>
    <t>BISM</t>
  </si>
  <si>
    <t>Internal</t>
  </si>
  <si>
    <t>Aura-demo Hosting(Jan/25) Aura.llc-Hetzner</t>
  </si>
  <si>
    <t>Turni Benefit Hosting(Jan/25)-Hetzner</t>
  </si>
  <si>
    <t>Charges CBX Package</t>
  </si>
  <si>
    <t>Fees</t>
  </si>
  <si>
    <t>Atlassian-Jira(Jan/25)-Bitbucket</t>
  </si>
  <si>
    <t>Zoom Subscription - Jan/25</t>
  </si>
  <si>
    <t>ChatGPT Account Jan/25</t>
  </si>
  <si>
    <t>Postman Basic (Monthly)- Jan/25</t>
  </si>
  <si>
    <t>Bank</t>
  </si>
  <si>
    <t>منصة مصر للتعليم</t>
  </si>
  <si>
    <t>GISS Landing page Final payment 60% -Tax Deduction</t>
  </si>
  <si>
    <t>GISS Landing page Final payment 60%-VAT</t>
  </si>
  <si>
    <t>GISS Landing page Final payment 60% (inv101308)</t>
  </si>
  <si>
    <t>coffee&amp;Milk -City Market</t>
  </si>
  <si>
    <t>Water-City Market</t>
  </si>
  <si>
    <t>Cash Funding</t>
  </si>
  <si>
    <t>Milk-City Market</t>
  </si>
  <si>
    <t>Karim (Freelance)</t>
  </si>
  <si>
    <t>.Net</t>
  </si>
  <si>
    <t>Software Team</t>
  </si>
  <si>
    <t>General Team</t>
  </si>
  <si>
    <t>Website Team</t>
  </si>
  <si>
    <t>Medical</t>
  </si>
  <si>
    <t>Insurance</t>
  </si>
  <si>
    <t>PHP Jan/25 Payroll</t>
  </si>
  <si>
    <t>General Jan/25 Payroll</t>
  </si>
  <si>
    <t>Websites Jan/25 Payroll</t>
  </si>
  <si>
    <t>.Net Jan/25 Payroll</t>
  </si>
  <si>
    <t>Medical insurance Jan/25</t>
  </si>
  <si>
    <t>Monad Salary Jan/25</t>
  </si>
  <si>
    <t>Bank VAT Transfer Charge</t>
  </si>
  <si>
    <t>Payroll Tax Spend</t>
  </si>
  <si>
    <t>Bank Tax Transfer Charge</t>
  </si>
  <si>
    <t>Dec/24 PHP VAT</t>
  </si>
  <si>
    <t>Dec/24 Website VAT</t>
  </si>
  <si>
    <t>Dec/24 Mobile VAT</t>
  </si>
  <si>
    <t>Dec/24 .Net VAT</t>
  </si>
  <si>
    <t>Tax-Dec/24- ضرائب كسب العمل</t>
  </si>
  <si>
    <t>Eslam Salary Jan/25</t>
  </si>
  <si>
    <t>Deduction Tax Spend</t>
  </si>
  <si>
    <t>Bank Deduction Tax Transfer Charge</t>
  </si>
  <si>
    <t>Deduction Tax (period Oct,Nov,Dec /24)</t>
  </si>
  <si>
    <t>Custom Software</t>
  </si>
  <si>
    <t>Check</t>
  </si>
  <si>
    <t>Alfa Electronics</t>
  </si>
  <si>
    <t>Alfa Electronics Second payment(inv101305)</t>
  </si>
  <si>
    <t>Alfa Electronics payment-VAT</t>
  </si>
  <si>
    <t>Alfa Electronics payment-Tax Deduction</t>
  </si>
  <si>
    <t>Alfa Electronics payment(inv101304)Nov/24</t>
  </si>
  <si>
    <t>Cash Pays Bank</t>
  </si>
  <si>
    <t>Recover of unpaid fees</t>
  </si>
  <si>
    <t xml:space="preserve">We Internet Recharge </t>
  </si>
  <si>
    <t>We</t>
  </si>
  <si>
    <t>Cash Deposit Fees Hayah/EEP Payment</t>
  </si>
  <si>
    <t>income</t>
  </si>
  <si>
    <t>IScore</t>
  </si>
  <si>
    <t>Iscore payment الشركة المصرية للاستعلام الائتماني-VAT</t>
  </si>
  <si>
    <t>Iscore payment الشركة المصرية للاستعلام الائتماني- Tax Deduction</t>
  </si>
  <si>
    <t>Cash Deposit Fees Iscore Payment</t>
  </si>
  <si>
    <t>Iscore payment الشركة المصرية للاستعلام الائتماني (inv101307) Q4</t>
  </si>
  <si>
    <t>Turni Server Management(inv101312)-Dec24</t>
  </si>
  <si>
    <t>Domain TedxBISM</t>
  </si>
  <si>
    <t>samer Card</t>
  </si>
  <si>
    <t xml:space="preserve">Various Consumables </t>
  </si>
  <si>
    <t xml:space="preserve">Ebrahim Transportation-Bank </t>
  </si>
  <si>
    <t>Gas Jan/25</t>
  </si>
  <si>
    <t>Food&amp;Drink</t>
  </si>
  <si>
    <t>Higene</t>
  </si>
  <si>
    <t>Gas</t>
  </si>
  <si>
    <t>Ebrahim Transportation-Bank</t>
  </si>
  <si>
    <t>Gas Feb/25</t>
  </si>
  <si>
    <t>Samer Pays Margins</t>
  </si>
  <si>
    <t>Alfa Electronics payment(inv101312)Dec/24</t>
  </si>
  <si>
    <t>Alfa Electronics Last payment(inv101305)</t>
  </si>
  <si>
    <t>Alfa Electronics First payment(inv101314)</t>
  </si>
  <si>
    <t>Milk&amp;Water-City Market</t>
  </si>
  <si>
    <t>nermin</t>
  </si>
  <si>
    <t>ebrahim</t>
  </si>
  <si>
    <t>Ebrahim Transportation-T2minat x 2</t>
  </si>
  <si>
    <t>SAI payment (Smart Website Support) -VAT</t>
  </si>
  <si>
    <t>SAI payment (Smart Website Support) -Tax Deduction</t>
  </si>
  <si>
    <t>Mobile App</t>
  </si>
  <si>
    <t>SAI payment (Smart Mobile App Support) -VAT</t>
  </si>
  <si>
    <t>SAI payment (Smart Mobile App Support) -Tax Deduction</t>
  </si>
  <si>
    <t>Check Collection Fees Smart Payment</t>
  </si>
  <si>
    <t>Check Collection</t>
  </si>
  <si>
    <t>SAI payment (Smart Website Support)-inv 101297</t>
  </si>
  <si>
    <t>SAI payment (Smart Mobile App Support)-inv 101298</t>
  </si>
  <si>
    <t>مطابق</t>
  </si>
  <si>
    <t>mariam</t>
  </si>
  <si>
    <t>naga7</t>
  </si>
  <si>
    <t>Turni Contabo - Feb/25</t>
  </si>
  <si>
    <t>Adobe.com -Feb/25</t>
  </si>
  <si>
    <t>CloudwaysLTD Mosta MT-Feb/25</t>
  </si>
  <si>
    <t>Cloudways Feb/25-Paypal</t>
  </si>
  <si>
    <t>Postman Basic (Monthly)- Feb/25</t>
  </si>
  <si>
    <t>ChatGPT Account Feb/25</t>
  </si>
  <si>
    <t>Atlassian-Jira(Feb/25)</t>
  </si>
  <si>
    <t>Aura-demo Hosting(Feb/25) Aura.llc-Hetzner</t>
  </si>
  <si>
    <t>Turni Benefit Hosting(Feb/25)-Hetzner</t>
  </si>
  <si>
    <t>Atlassian-Jira(Feb/25)-Bitbucket</t>
  </si>
  <si>
    <t>Zoom Subscription - Feb/25</t>
  </si>
  <si>
    <t>Plumbing tool</t>
  </si>
  <si>
    <t>Alfa Electronics Second payment(inv101314)</t>
  </si>
  <si>
    <t xml:space="preserve">Electricity </t>
  </si>
  <si>
    <t>Electricity</t>
  </si>
  <si>
    <t>30mariam</t>
  </si>
  <si>
    <t>Ebrahim Transportation-Bank x 2</t>
  </si>
  <si>
    <t>Alfa Electronics Last payment(inv101314)</t>
  </si>
  <si>
    <t>Alfa Electronics payment(inv101325)Jan/25</t>
  </si>
  <si>
    <t>Alfa Electronics First payment(inv101327)</t>
  </si>
  <si>
    <t>Turni Server Management(inv101325)-Jan/25</t>
  </si>
  <si>
    <t>Monad Salary Feb/25</t>
  </si>
  <si>
    <t>Medical insurance Feb/25</t>
  </si>
  <si>
    <t>.Net Feb/25 Payroll</t>
  </si>
  <si>
    <t>Websites Feb/25 Payroll</t>
  </si>
  <si>
    <t>General Feb/25 Payroll</t>
  </si>
  <si>
    <t>PHP Feb/25 Payroll</t>
  </si>
  <si>
    <t>plumping tools+msn3ya</t>
  </si>
  <si>
    <t>Jan/25 PHP VAT</t>
  </si>
  <si>
    <t>Jan/25 Website VAT</t>
  </si>
  <si>
    <t>Jan/25 Mobile VAT</t>
  </si>
  <si>
    <t>Jan/25 .Net VAT</t>
  </si>
  <si>
    <t>Tax-Jan/25- ضرائب كسب العمل</t>
  </si>
  <si>
    <t>Annual Subscription Fees</t>
  </si>
  <si>
    <t>Turni Contabo - Mar/25</t>
  </si>
  <si>
    <t>lasq</t>
  </si>
  <si>
    <t>بدون فاتورة</t>
  </si>
  <si>
    <t>Mark</t>
  </si>
  <si>
    <t>Milk - City Market</t>
  </si>
  <si>
    <t>Cloudways Mar/25-Paypal</t>
  </si>
  <si>
    <t>Adobe.com -Mar/25</t>
  </si>
  <si>
    <t>CloudwaysLTD Mosta MT-Mar/25</t>
  </si>
  <si>
    <t>Alfa Electronics Second payment(inv101327)</t>
  </si>
  <si>
    <t>fisha solasia</t>
  </si>
  <si>
    <t>Sham3 fltr</t>
  </si>
  <si>
    <t>Nescafe- City Market</t>
  </si>
  <si>
    <t>Nermin Imprest</t>
  </si>
  <si>
    <t>Postman Basic (Monthly)- Mar/25</t>
  </si>
  <si>
    <t>ChatGPT Account Mar/25</t>
  </si>
  <si>
    <t>Atlassian-Jira(Mar/25)</t>
  </si>
  <si>
    <t>Aura-demo Hosting(Mar/25) Aura.llc-Hetzner</t>
  </si>
  <si>
    <t>Turni Benefit Hosting(Mar/25)-Hetzner</t>
  </si>
  <si>
    <t>Atlassian-Jira(Mar/25)-Bitbucket</t>
  </si>
  <si>
    <t>Zoom Subscription - Mar/25</t>
  </si>
  <si>
    <t>JETIMPEXINC-Crocoblock Membership-Unlimited Websites</t>
  </si>
  <si>
    <t>Alfa Electronics Last payment(inv101327)</t>
  </si>
  <si>
    <t>Rent From 1/4/2025 to 30/6/2025</t>
  </si>
  <si>
    <t>Alfa Electronics Third payment(inv101327)</t>
  </si>
  <si>
    <t>Medical Insurance Payment For alfa</t>
  </si>
  <si>
    <t>Vezloo</t>
  </si>
  <si>
    <t>Vezloo 60% Final payment (inv101311)</t>
  </si>
  <si>
    <t>Vezloo 60% Final payment -VAT</t>
  </si>
  <si>
    <t>Milk&amp;Coffemate -City Market</t>
  </si>
  <si>
    <t>flasha asansier-lydia</t>
  </si>
  <si>
    <t>key-lydia</t>
  </si>
  <si>
    <t>Notebook&amp;pens</t>
  </si>
  <si>
    <t>milk&amp;Coffee-5l -City Market</t>
  </si>
  <si>
    <t>Elementor License</t>
  </si>
  <si>
    <t>WordPress</t>
  </si>
  <si>
    <t>Eftar Rmadan</t>
  </si>
  <si>
    <t>Food &amp; Drink</t>
  </si>
  <si>
    <t>PHP Mar/25 Payroll</t>
  </si>
  <si>
    <t>General Mar/25 Payroll</t>
  </si>
  <si>
    <t>Websites Mar/25 Payroll</t>
  </si>
  <si>
    <t>.Net Mar/25 Payroll</t>
  </si>
  <si>
    <t>Medical insurance Mar/25</t>
  </si>
  <si>
    <t>Monad Salary Mar/25</t>
  </si>
  <si>
    <t>lydia Salary Mar/25</t>
  </si>
  <si>
    <t>Feb/25 Website VAT</t>
  </si>
  <si>
    <t>Feb/25 Mobile VAT</t>
  </si>
  <si>
    <t>Feb/25 .Net VAT</t>
  </si>
  <si>
    <t>Tax-Feb/25- ضرائب كسب العمل</t>
  </si>
  <si>
    <t>المصرية الرائدة للخدمات التعليمية والثقافية BISM</t>
  </si>
  <si>
    <t>Cash Deposit Fees SILS Payment</t>
  </si>
  <si>
    <t>Domain TedxBISM Payment (inv101310)</t>
  </si>
  <si>
    <t>Domain TedxBISM Payment -VAT</t>
  </si>
  <si>
    <t>Domain TedxBISM Payment  - Tax Deduction</t>
  </si>
  <si>
    <t>Safe Egypt</t>
  </si>
  <si>
    <t>Cash Deposit Fees Safe Egypt Payment</t>
  </si>
  <si>
    <t>Safe Egypt Plugins Payment Inv101318</t>
  </si>
  <si>
    <t>Safe Egypt Plugins Payment - VAT</t>
  </si>
  <si>
    <t>Safe Egypt Plugins Payment - Tax Deduction</t>
  </si>
  <si>
    <t>Hayah/EEP payment -VAT</t>
  </si>
  <si>
    <t>Hayah/EEP payment -Tax Deduction</t>
  </si>
  <si>
    <t xml:space="preserve">Overdraft Commission on 28/2 &amp; Debit Interests on 28/2 </t>
  </si>
  <si>
    <t>Min Balance Fees</t>
  </si>
  <si>
    <t>Fulbright</t>
  </si>
  <si>
    <t>Cash Deposit Fees Fulbright Payment</t>
  </si>
  <si>
    <t>Fulbright Website Upgrade Payment- (inv101331)</t>
  </si>
  <si>
    <t>Fulbright Website Upgrade- VAT</t>
  </si>
  <si>
    <t xml:space="preserve">Fulbright Website Upgrade </t>
  </si>
  <si>
    <t>statement till 25/3</t>
  </si>
  <si>
    <t xml:space="preserve">Gas </t>
  </si>
  <si>
    <t>EGL Hosting</t>
  </si>
  <si>
    <t>EGL</t>
  </si>
  <si>
    <t>doorman Apr/25</t>
  </si>
  <si>
    <t>Doorman Feb-Mar-Apr25</t>
  </si>
  <si>
    <t>doorman Feb/24 Imprest Mar,Apr/25</t>
  </si>
  <si>
    <t>Doorman Apr/25</t>
  </si>
  <si>
    <t>Feb/25 PHP VAT</t>
  </si>
  <si>
    <t>statement till 6/2</t>
  </si>
  <si>
    <t>Turni Contabo - Apr/25</t>
  </si>
  <si>
    <t>Annual License</t>
  </si>
  <si>
    <t>Turni + Benefit (Jan/25)</t>
  </si>
  <si>
    <t>Turni + Benefit (Feb/25)</t>
  </si>
  <si>
    <t>Turni + Benefit (Mar/25)</t>
  </si>
  <si>
    <t>Turni + Benefit (Apr/25)</t>
  </si>
  <si>
    <t>coffee - City Market</t>
  </si>
  <si>
    <t>Gas Apr/25</t>
  </si>
  <si>
    <t>SAI payment (Smart Website Support)-inv 101315&amp;101322&amp;101328</t>
  </si>
  <si>
    <t>SAI payment (Smart Mobile App Support)-inv 101316&amp;101323&amp;101329</t>
  </si>
  <si>
    <t>Doorman May-Jun-Jul25</t>
  </si>
  <si>
    <t>Adobe.com -Apr/25</t>
  </si>
  <si>
    <t>Cloudways Apr/25-Paypal</t>
  </si>
  <si>
    <t>CloudwaysLTD Mosta MT-Apr/25</t>
  </si>
  <si>
    <t>doorman May/25 Imprest Jun&amp;Jul/25</t>
  </si>
  <si>
    <t xml:space="preserve"> </t>
  </si>
  <si>
    <t>Postman Basic (Monthly)- Apr/25</t>
  </si>
  <si>
    <t>ChatGPT Account Apr/25</t>
  </si>
  <si>
    <t>Atlassian-Jira(Apr/25)</t>
  </si>
  <si>
    <t>Aura-demo Hosting(Apr/25) Aura.llc-Hetzner</t>
  </si>
  <si>
    <t>Turni Benefit Hosting(Apr/25)-Hetzner</t>
  </si>
  <si>
    <t>Flasha asansier lydia</t>
  </si>
  <si>
    <t>Atlassian-Jira(Apr/25)-Bitbucket</t>
  </si>
  <si>
    <t>Air conditioning cleaning</t>
  </si>
  <si>
    <t>Zoom Subscription - Apr/25</t>
  </si>
  <si>
    <t>Alfa Electronics Second payment(inv101338)</t>
  </si>
  <si>
    <t>Tax-Mar/25- ضرائب كسب العمل</t>
  </si>
  <si>
    <t>Deduction Tax (period Jan,Feb,Mar /25)</t>
  </si>
  <si>
    <t>Ebrahim Transportation- Office</t>
  </si>
  <si>
    <t>Alfa Electronics First payment(inv101338)</t>
  </si>
  <si>
    <t>Key-monad</t>
  </si>
  <si>
    <t>Ebrahim Transportation-Bank(2times)</t>
  </si>
  <si>
    <t>PHP Apr/25 Payroll</t>
  </si>
  <si>
    <t>General Apr/25 Payroll</t>
  </si>
  <si>
    <t>Websites Apr/25 Payroll</t>
  </si>
  <si>
    <t>.Net Apr/25 Payroll</t>
  </si>
  <si>
    <t>Medical insurance Apr/25</t>
  </si>
  <si>
    <t>Monad Salary Apr/25</t>
  </si>
  <si>
    <t>lydia Salary Apr/25</t>
  </si>
  <si>
    <t>Auar</t>
  </si>
  <si>
    <t>Payguru Payment Inv(101334)&amp;(101320)</t>
  </si>
  <si>
    <t xml:space="preserve"> TREND ÖDEME KURULUŞU A.Ş.</t>
  </si>
  <si>
    <t>Payguru Payment -VAT</t>
  </si>
  <si>
    <t>Gas May/25</t>
  </si>
  <si>
    <t>Building Maintenance For 6months(May/25:Oct/25)</t>
  </si>
  <si>
    <t>SAI payment (Smart Website Support)-inv 101342</t>
  </si>
  <si>
    <t>SAI payment (Smart Mobile App Support)-inv 101343</t>
  </si>
  <si>
    <t>Mar/25 PHP VAT</t>
  </si>
  <si>
    <t>Mar/25 Website VAT</t>
  </si>
  <si>
    <t>Mar/25 Mobile VAT</t>
  </si>
  <si>
    <t>Mar/25 .Net VAT</t>
  </si>
  <si>
    <t>Turni Contabo - May/25</t>
  </si>
  <si>
    <t>Turni + Benefit (May/25)</t>
  </si>
  <si>
    <t xml:space="preserve">A4 Paper </t>
  </si>
  <si>
    <t>Unisafe</t>
  </si>
  <si>
    <t>Safe Egypt Website Payment Inv101332</t>
  </si>
  <si>
    <t>Safe Egypt Website Payment - VAT</t>
  </si>
  <si>
    <t>Safe Egypt Website Payment - Tax Deduction</t>
  </si>
  <si>
    <t>Safe Egypt Website Payment Inv101341</t>
  </si>
  <si>
    <t>Unisafe Website Payment Inv101347</t>
  </si>
  <si>
    <t>Unisafe Website Payment - VAT</t>
  </si>
  <si>
    <t>Unisafe Website Payment - Tax Deduction</t>
  </si>
  <si>
    <t>Fulbright Website Upgrade Payment- (inv101330)</t>
  </si>
  <si>
    <t>Charges Current Acc-corpor &amp; Mail Fees</t>
  </si>
  <si>
    <t>Overdraft Commission on 31/3 &amp; Debit Interests on 31/3 &amp; Return Total Amount on 31/3</t>
  </si>
  <si>
    <t>statement till 28/4</t>
  </si>
  <si>
    <t>Tawsili</t>
  </si>
  <si>
    <t xml:space="preserve">Tawsili 20% Downpayment </t>
  </si>
  <si>
    <t>milk - City Market</t>
  </si>
  <si>
    <t>CloudwaysLTD Mosta MT-May/25</t>
  </si>
  <si>
    <t>Postman Basic (Monthly)- May/25</t>
  </si>
  <si>
    <t>ChatGPT Account May/25</t>
  </si>
  <si>
    <t>Adobe.com -May/25</t>
  </si>
  <si>
    <t>Cloudways May/25-Paypal</t>
  </si>
  <si>
    <t>Atlassian-Jira(May/25)</t>
  </si>
  <si>
    <t>9 NoteBook + 5 Pens</t>
  </si>
  <si>
    <t>2 small Bottle of Water</t>
  </si>
  <si>
    <t>Domain Renewal (1year) aura.llc</t>
  </si>
  <si>
    <t>Iscore payment الشركة المصرية للاستعلام الائتماني (inv101346) Q1</t>
  </si>
  <si>
    <t>Aura-demo Hosting(May/25) Aura.llc-Hetzner</t>
  </si>
  <si>
    <t>Turni Benefit Hosting(May/25)-Hetzner</t>
  </si>
  <si>
    <t>Atlassian-Jira(May/25)-Bitbucket</t>
  </si>
  <si>
    <t>Sharkawi Commission</t>
  </si>
  <si>
    <t>Water&amp;Nescafe City Market</t>
  </si>
  <si>
    <t>Boostrz.io Branding Guide
Phase 1 Payment Inv101292</t>
  </si>
  <si>
    <t>Boostrz.io Branding Guide
Phase 1 Payment - VAT</t>
  </si>
  <si>
    <t>liv tech Consulting LLC</t>
  </si>
  <si>
    <t>Alfa Electronics payment(inv101340)Feb/25</t>
  </si>
  <si>
    <t>Alfa Electronics payment(inv101353)Mar/25</t>
  </si>
  <si>
    <t>Alfa Electronics Last payment(inv101338)</t>
  </si>
  <si>
    <t>Alfa Electronics First payment(inv101349)</t>
  </si>
  <si>
    <t>Turni Server Management(inv101340)-Feb/25</t>
  </si>
  <si>
    <t>Turni Server Management(inv101353)-Mar/25</t>
  </si>
  <si>
    <t>Hm2 Payment inv101357</t>
  </si>
  <si>
    <t>Hm2 Payment -VAT</t>
  </si>
  <si>
    <t>Hm2</t>
  </si>
  <si>
    <t>Water - City Market</t>
  </si>
  <si>
    <t>Zoom Subscription - May/25</t>
  </si>
  <si>
    <t>Alfa Electronics Second payment(inv101349)</t>
  </si>
  <si>
    <t>Alfa Electronics Last payment(inv101233)</t>
  </si>
  <si>
    <t>Alfa Electronics First payment(inv101245)</t>
  </si>
  <si>
    <t>Apr/25 PHP VAT</t>
  </si>
  <si>
    <t>Apr/25 Website VAT</t>
  </si>
  <si>
    <t>Apr/25 Mobile VAT</t>
  </si>
  <si>
    <t>Apr/25 .Net VAT</t>
  </si>
  <si>
    <t>Tax-Apr/25- ضرائب كسب العمل</t>
  </si>
  <si>
    <t>lydia Salary May25</t>
  </si>
  <si>
    <t>Medical insurance May/25</t>
  </si>
  <si>
    <t>PHP May/25 Payroll</t>
  </si>
  <si>
    <t>General May25 Payroll</t>
  </si>
  <si>
    <t>Websites May/25 Payroll</t>
  </si>
  <si>
    <t>.Net May/25 Payroll</t>
  </si>
  <si>
    <t>mobile App</t>
  </si>
  <si>
    <t>Mark Salary May25</t>
  </si>
  <si>
    <t>Kirolos Salary May25</t>
  </si>
  <si>
    <t>Cash Deposit Fees Liv tech Payment</t>
  </si>
  <si>
    <t>statement till 29/5</t>
  </si>
  <si>
    <t>Gas Jun/25</t>
  </si>
  <si>
    <t>Turni Contabo - June/25</t>
  </si>
  <si>
    <t>Turni + Benefit (June/25)</t>
  </si>
  <si>
    <t>Alfa Electronics payment(inv101361)Apr/25</t>
  </si>
  <si>
    <t>Alfa Electronics Last payment(inv101349)</t>
  </si>
  <si>
    <t>Alfa Electronics First payment(inv101360)</t>
  </si>
  <si>
    <t>Cash Pays Bank&amp;Margins</t>
  </si>
  <si>
    <t>SSE Website Payment - VAT</t>
  </si>
  <si>
    <t>SSE Website Payment - Tax Deduction</t>
  </si>
  <si>
    <t>SSE Website Payment Inv101336&amp;101337&amp;101351</t>
  </si>
  <si>
    <t>Salama Structural Engineers</t>
  </si>
  <si>
    <t>Ebrahim Transportation-SSE</t>
  </si>
  <si>
    <t>Cash Pays Bank &amp; Margins</t>
  </si>
  <si>
    <t>cash</t>
  </si>
  <si>
    <t>Adobe.com -Jun/25</t>
  </si>
  <si>
    <t>Cloudways Jun/25-Paypal</t>
  </si>
  <si>
    <t>CloudwaysLTD Mosta MT-Jun/25</t>
  </si>
  <si>
    <t>Postman Basic (Monthly)- Jun/25</t>
  </si>
  <si>
    <t>ChatGPT Account Jun/25</t>
  </si>
  <si>
    <t>Atlassian-Jira(Jun/25)</t>
  </si>
  <si>
    <t>Aura-demo Hosting(Jun/25) Aura.llc-Hetzner</t>
  </si>
  <si>
    <t>Turni Benefit Hosting(Jun/25)-Hetzner</t>
  </si>
  <si>
    <t>SAI payment (Smart Website Support)-inv 101354</t>
  </si>
  <si>
    <t>SAI payment (Smart Mobile App Support)-inv 101355</t>
  </si>
  <si>
    <t>SAI payment (Smart Website Support)-inv 101362</t>
  </si>
  <si>
    <t>SAI payment (Smart Mobile App Support)-inv 101363</t>
  </si>
  <si>
    <t>Ebrahim Transportation-Samer</t>
  </si>
  <si>
    <t>Cups</t>
  </si>
  <si>
    <t>plumbing Fees</t>
  </si>
  <si>
    <t>Hm2 Hosting Renew</t>
  </si>
  <si>
    <t>hosting Spend</t>
  </si>
  <si>
    <t>Hm2 Hosting Payment (Inv 101368)</t>
  </si>
  <si>
    <t>Hm2 Hosting Payment -VAT</t>
  </si>
  <si>
    <t>Modern Touch Hosting Renew</t>
  </si>
  <si>
    <t>Modern Touch Domain</t>
  </si>
  <si>
    <t>Modern Touch</t>
  </si>
  <si>
    <t>Alfa Electronics Second payment(inv101360)</t>
  </si>
  <si>
    <t>Atlassian-Jira(June/25)-Bitbucket</t>
  </si>
  <si>
    <t>Zoom Subscription - June/25</t>
  </si>
  <si>
    <t>Rent From 1/7/2025 to 30/9/2025</t>
  </si>
  <si>
    <t>Overdraft Commission on 31/5 &amp; Debit Interests on 31/5</t>
  </si>
  <si>
    <t>Charges Visa Debit Business</t>
  </si>
  <si>
    <t>Hayah/EEP payment (inv101319)</t>
  </si>
  <si>
    <t>Hayah/EEP payment (inv101345)</t>
  </si>
  <si>
    <t>Alfa Electronics Third payment(inv101360)</t>
  </si>
  <si>
    <t>Alfa Electronics Last payment(inv101360)</t>
  </si>
  <si>
    <t>Transfer From USD Account To EGP Account</t>
  </si>
  <si>
    <t>Plumping Fees</t>
  </si>
  <si>
    <t>Cheers</t>
  </si>
  <si>
    <t>Cheers payment -VAT</t>
  </si>
  <si>
    <t>Cheers payment -Tax Deduction</t>
  </si>
  <si>
    <t>Check Collection Fees Cheers Payment</t>
  </si>
  <si>
    <t>Cheers payment (inv 101324)Q1</t>
  </si>
  <si>
    <t>Cheers payment (inv 1011324)Q1</t>
  </si>
  <si>
    <t>Check No.51675609</t>
  </si>
  <si>
    <t>Ebrahim Transportation-Cheers &amp; Bank</t>
  </si>
  <si>
    <t>May/25 PHP VAT</t>
  </si>
  <si>
    <t>May/25 Website VAT</t>
  </si>
  <si>
    <t>May/25 Mobile VAT</t>
  </si>
  <si>
    <t>May/25 .Net VAT</t>
  </si>
  <si>
    <t>Tax-May/25- ضرائب كسب العمل</t>
  </si>
  <si>
    <t>PHP June/25 Payroll</t>
  </si>
  <si>
    <t>General June/25 Payroll</t>
  </si>
  <si>
    <t>Websites June/25 Payroll</t>
  </si>
  <si>
    <t>.Net June/25 Payroll</t>
  </si>
  <si>
    <t>Medical insurance June/25</t>
  </si>
  <si>
    <t>Mark Salary June/25</t>
  </si>
  <si>
    <t>Kirolos Salary June/25</t>
  </si>
  <si>
    <t>Lydia Salary June/25</t>
  </si>
  <si>
    <t>Turni Contabo - July/25</t>
  </si>
  <si>
    <t>Turni + Benefit (July/25)</t>
  </si>
  <si>
    <t>Safe Egypt Website Payment Inv101358</t>
  </si>
  <si>
    <t xml:space="preserve">fisha MK </t>
  </si>
  <si>
    <t>Bank (QNB)EGP</t>
  </si>
  <si>
    <t>Gas Jul/25</t>
  </si>
  <si>
    <t xml:space="preserve">7900$*50.5=398950 </t>
  </si>
  <si>
    <t>Column1</t>
  </si>
  <si>
    <t>Column2</t>
  </si>
  <si>
    <t>هذا المبلغ بحساب الدولار  وليس المصري</t>
  </si>
  <si>
    <t>AI Apr/25</t>
  </si>
  <si>
    <t>AI May/25</t>
  </si>
  <si>
    <t>AI Jun/25</t>
  </si>
  <si>
    <t>AI Jul/25</t>
  </si>
  <si>
    <t>Adobe.com -Jul/25</t>
  </si>
  <si>
    <t>Cloudways Jul/25-Paypal</t>
  </si>
  <si>
    <t>CloudwaysLTD Mosta MT-Jul/25</t>
  </si>
  <si>
    <t>Fulbright Website - VAT</t>
  </si>
  <si>
    <t>Fulbright Website Payment- (inv101366)</t>
  </si>
  <si>
    <t>Modern touch Hosting payment (inv 1011367)</t>
  </si>
  <si>
    <t>Modern touch Hosting payment -VAT</t>
  </si>
  <si>
    <t>Modern touch Hosting payment -Tax Deduction</t>
  </si>
  <si>
    <t>Boostrz First Payment (inv101359)</t>
  </si>
  <si>
    <t>Boostrz Second Payment (Inv101359)</t>
  </si>
  <si>
    <t>statement till 8/7</t>
  </si>
  <si>
    <t>Postman Basic (Monthly)- Jul/25</t>
  </si>
  <si>
    <t>ChatGPT Account Jul/25</t>
  </si>
  <si>
    <t>Atlassian-Jira(Jul/25)</t>
  </si>
  <si>
    <t>Aura-demo Hosting(Jul/25) Aura.llc-Hetzner</t>
  </si>
  <si>
    <t>Turni Benefit Hosting(Jul/25)-Hetzner</t>
  </si>
  <si>
    <t>Profits Distribution</t>
  </si>
  <si>
    <t>Bank Pays Adel</t>
  </si>
  <si>
    <t>Restock 1st Payment</t>
  </si>
  <si>
    <t>Restock</t>
  </si>
  <si>
    <t>Imprest Fund</t>
  </si>
  <si>
    <t>Profit</t>
  </si>
  <si>
    <t>Water&amp;Milk-City Market</t>
  </si>
  <si>
    <t>Msn3it Tsli7 shobak el7mam</t>
  </si>
  <si>
    <t>syant tkiefat elshrka</t>
  </si>
  <si>
    <t>we</t>
  </si>
  <si>
    <t>Return Total Amount on 30/6</t>
  </si>
  <si>
    <t>statement till 17/7</t>
  </si>
  <si>
    <t>Water City Market</t>
  </si>
  <si>
    <t>Electric Tools</t>
  </si>
  <si>
    <t>New Air Condition</t>
  </si>
  <si>
    <t>doorman Aug&amp;Sep&amp;Oct/25</t>
  </si>
  <si>
    <t>Laptop</t>
  </si>
  <si>
    <t>Alfa Electronics First payment(inv101370)</t>
  </si>
  <si>
    <t>Jun/25 PHP VAT</t>
  </si>
  <si>
    <t>Jun/25 Website VAT</t>
  </si>
  <si>
    <t>Jun/25 Mobile VAT</t>
  </si>
  <si>
    <t>Jun/25 .Net VAT</t>
  </si>
  <si>
    <t>Tax-Jun/25- ضرائب كسب العمل</t>
  </si>
  <si>
    <t>Zoom Subscription - Jul/25</t>
  </si>
  <si>
    <t>Gemini Payment(inv 101321&amp;101333&amp;101378)</t>
  </si>
  <si>
    <t>Gemini payment-VAT</t>
  </si>
  <si>
    <t>Gemini</t>
  </si>
  <si>
    <t>Gemini payment-Tax Deduction</t>
  </si>
  <si>
    <t>Hayah/EEP payment (inv101374)</t>
  </si>
  <si>
    <t>Safe Egypt Website Support Payment - VAT</t>
  </si>
  <si>
    <t>Safe Egypt Website Payment Support - Tax Deduction</t>
  </si>
  <si>
    <t>Safe Egypt Website Support Payment Inv101365</t>
  </si>
  <si>
    <t>Statement Till 31/7</t>
  </si>
  <si>
    <t>PHP Jul/25 Payroll</t>
  </si>
  <si>
    <t>General Jul/25 Payroll</t>
  </si>
  <si>
    <t>Websites Jul/25 Payroll</t>
  </si>
  <si>
    <t>.Net Jul/25 Payroll</t>
  </si>
  <si>
    <t>Mark Salary Jul/25</t>
  </si>
  <si>
    <t>Kirolos Salary Jul/25</t>
  </si>
  <si>
    <t>Lydia Salary Jul/25</t>
  </si>
  <si>
    <t>Carpenter Fees</t>
  </si>
  <si>
    <t>Air conditioning Maintenance</t>
  </si>
  <si>
    <t>Turni Contabo - Aug/25</t>
  </si>
  <si>
    <t>Turni + Benefit (Aug/25)</t>
  </si>
  <si>
    <t>AI Aug/25</t>
  </si>
  <si>
    <t>Envato</t>
  </si>
  <si>
    <t>Safe Egypt Website Support Payment Inv101371</t>
  </si>
  <si>
    <t>Aura-sys.com Hosting Renewal</t>
  </si>
  <si>
    <t>Coffee mate -City Market</t>
  </si>
  <si>
    <t>Ousso.com Hosting Payment</t>
  </si>
  <si>
    <t>Ousso.com</t>
  </si>
  <si>
    <t>Ousso.com Hosting</t>
  </si>
  <si>
    <t>Soliman Travel Hosting Payment</t>
  </si>
  <si>
    <t>Soliman Travel</t>
  </si>
  <si>
    <t>Soliman Travel Hosting</t>
  </si>
  <si>
    <t>Soliman Travel Domain</t>
  </si>
  <si>
    <t>A Smart Telecom Hosting &amp; Domain</t>
  </si>
  <si>
    <t>A Smart Telecom</t>
  </si>
  <si>
    <t>A Smart Telecom Hosting Payment</t>
  </si>
  <si>
    <t>Ebrahim Transportation-Bank-samer</t>
  </si>
  <si>
    <t>Adobe.com -Aug/25</t>
  </si>
  <si>
    <t>Cloudways Aug/25-Paypal</t>
  </si>
  <si>
    <t>CloudwaysLTD Mosta MT-Aug/25</t>
  </si>
  <si>
    <t>Check No.51675610</t>
  </si>
  <si>
    <t>Anton Salary Jul/25</t>
  </si>
  <si>
    <t>Figma(monthly)</t>
  </si>
  <si>
    <t>ChatGPT Account Aug/25</t>
  </si>
  <si>
    <t>Postman Basic (Monthly)- Aug/25</t>
  </si>
  <si>
    <t xml:space="preserve">Ebrahim&amp; Nermeen Transportation-makram </t>
  </si>
  <si>
    <t>Msharib l 3omal trkib eltakieef</t>
  </si>
  <si>
    <t>Cleening Tools-Ebrahim</t>
  </si>
  <si>
    <t>SAI payment (Smart Website Support)-inv 101372</t>
  </si>
  <si>
    <t>SAI payment (Smart Mobile App Support)-inv 101373</t>
  </si>
  <si>
    <t>Hayah/EEP payment (inv101375)</t>
  </si>
  <si>
    <t>Statement Till 12/8/2025</t>
  </si>
  <si>
    <t>Alfa Electronics Second payment(inv101370)</t>
  </si>
  <si>
    <t>Alfa Electronics Last payment(inv101370)</t>
  </si>
  <si>
    <t>Alfa Electronics First payment(inv101376)</t>
  </si>
  <si>
    <t>Alfa Electronics payment(inv101369)May/25</t>
  </si>
  <si>
    <t>Alfa Electronics payment(inv101377)Jun/25</t>
  </si>
  <si>
    <t>Ebrahim Transportation-B.Tech</t>
  </si>
  <si>
    <t>Safe Egypt Website Support Payment Inv101380</t>
  </si>
  <si>
    <t>Safe Egypt Website Support Payment Inv101381</t>
  </si>
  <si>
    <t xml:space="preserve">Plumping Fees-tsli7 sifon </t>
  </si>
  <si>
    <t>Atlassian-Jira(Jul/25)-Bitbucket</t>
  </si>
  <si>
    <t>Atlassian-Jira(Aug/25)-Bitbucket</t>
  </si>
  <si>
    <t>Aura-demo Hosting(Aug/25) Aura.llc-Hetzner</t>
  </si>
  <si>
    <t>Turni Benefit Hosting(Aug/25)-Hetzner</t>
  </si>
  <si>
    <t>Atlassian-Jira(Aug/25)</t>
  </si>
  <si>
    <t xml:space="preserve">Tawsili 20% 2nd payment </t>
  </si>
  <si>
    <t>Alfa Electronics Second payment(inv101376)</t>
  </si>
  <si>
    <t>Alfa Qflow-Payroll+CRM -Aug/25</t>
  </si>
  <si>
    <t>Aurasys.Slack.com</t>
  </si>
  <si>
    <t>Zoom Subscription - Aug/25</t>
  </si>
  <si>
    <t>Alfa Electronics Third payment(inv101376)</t>
  </si>
  <si>
    <t>Moshtrk - 7azem</t>
  </si>
  <si>
    <t>PHP Aug/25 Payroll</t>
  </si>
  <si>
    <t>General Aug/25 Payroll</t>
  </si>
  <si>
    <t>Websites Aug/25 Payroll</t>
  </si>
  <si>
    <t>.Net Aug/25 Payroll</t>
  </si>
  <si>
    <t>Medical insurance Aug/25</t>
  </si>
  <si>
    <t>Medical insurance Jul/25</t>
  </si>
  <si>
    <t>Fisha A16 - ibrahim</t>
  </si>
  <si>
    <t>Cleening Tools</t>
  </si>
  <si>
    <t>Gas Aug/25</t>
  </si>
  <si>
    <t>Tax-Jul/25- ضرائب كسب العمل</t>
  </si>
  <si>
    <t>Turni Contabo - Sep/25</t>
  </si>
  <si>
    <t>Turni + Benefit (Sep/25)</t>
  </si>
  <si>
    <t>AI Sep/25</t>
  </si>
  <si>
    <t>Atlassian2-Jira(Sep/25)</t>
  </si>
  <si>
    <t>Juice For Client</t>
  </si>
  <si>
    <t>Adobe.com -Sep/25</t>
  </si>
  <si>
    <t>Atlassian2-Jira(Aug/25)</t>
  </si>
  <si>
    <t>Atlassian-Jira(Sep/25)-Bitbucket</t>
  </si>
  <si>
    <t>Atlassian-Jira(Sep/25)</t>
  </si>
  <si>
    <t>Postman Basic (Monthly)- Sep/25</t>
  </si>
  <si>
    <t>Turni Server Management (Apr-May-June-July)/25</t>
  </si>
  <si>
    <t>Turni Server Management (Aug-Sep)/25</t>
  </si>
  <si>
    <t>Cloudways Sep/25-Paypal</t>
  </si>
  <si>
    <t>CloudwaysLTD Mosta MT-Sep/25</t>
  </si>
  <si>
    <t>ChatGPT Account Sep/25</t>
  </si>
  <si>
    <t>SAI payment (Smart Website Support)-inv 101382</t>
  </si>
  <si>
    <t>SAI payment (Smart Mobile App Support)-inv 101383</t>
  </si>
  <si>
    <t>laptop Fixing-mina</t>
  </si>
  <si>
    <t>Fixing</t>
  </si>
  <si>
    <t>Electricity - mina</t>
  </si>
  <si>
    <t>doorman Nov/25</t>
  </si>
  <si>
    <t>Alfa Electronics Last payment(inv101376)</t>
  </si>
  <si>
    <t>Alfa Electronics payment(inv101386)Jul/25</t>
  </si>
  <si>
    <t>Alfa Electronics First payment(inv101387)</t>
  </si>
  <si>
    <t>Aura-demo Hosting(Sep/25) Aura.llc-Hetzner</t>
  </si>
  <si>
    <t>Turni Benefit Hosting(Sep/25)-Hetzner</t>
  </si>
  <si>
    <t>Hazem Imprest</t>
  </si>
  <si>
    <t>Hazem Gift</t>
  </si>
  <si>
    <t>Mohamed Ibrahim Gift</t>
  </si>
  <si>
    <t>Gift</t>
  </si>
  <si>
    <t>Social insurance gift</t>
  </si>
  <si>
    <t>Bank charges</t>
  </si>
  <si>
    <t>Social Insurance Downpayment</t>
  </si>
  <si>
    <t>Ebrahim</t>
  </si>
  <si>
    <t>Mariam</t>
  </si>
  <si>
    <t>Nagah</t>
  </si>
  <si>
    <t>Claude AI Nagah&amp;Eslam</t>
  </si>
  <si>
    <t>Ebrahim Transportation -Bank-3 times</t>
  </si>
  <si>
    <t>Ebrahim Transportation - T2minat</t>
  </si>
  <si>
    <t>Zoom Subscription - Sep/25</t>
  </si>
  <si>
    <t>Alfa Electronics Second payment(inv101387)</t>
  </si>
  <si>
    <t>Lydia Salary Aug&amp; Sep/25</t>
  </si>
  <si>
    <t>Cash Deposit Fees Alfa Payment</t>
  </si>
  <si>
    <t>Cash Deposit Fees Soma Bay Payment</t>
  </si>
  <si>
    <t>Soma Bay payment -Tax Deduction</t>
  </si>
  <si>
    <t>Soma Bay payment -VAT</t>
  </si>
  <si>
    <t>Soma Bay payment (inv 101364 &amp; Inv 101384)</t>
  </si>
  <si>
    <t>Soma Bay</t>
  </si>
  <si>
    <t>Safe Egypt Website Support Payment Inv101391</t>
  </si>
  <si>
    <t>Statement Till 28/9</t>
  </si>
  <si>
    <t>Gas Sep/25</t>
  </si>
  <si>
    <t>Tax-Aug/25- ضرائب كسب العمل</t>
  </si>
  <si>
    <t>PHP Sep/25 Payroll</t>
  </si>
  <si>
    <t>General Sep/25 Payroll</t>
  </si>
  <si>
    <t>Websites Sep/25 Payroll</t>
  </si>
  <si>
    <t>.Net Sep/25 Payroll</t>
  </si>
  <si>
    <t>Medical insurance Sep/25</t>
  </si>
  <si>
    <t xml:space="preserve">Claude AI Hazem&amp;Nagah&amp;Eslam&amp;Reem&amp;Anton-Oct/25 </t>
  </si>
  <si>
    <t xml:space="preserve">Claude AI Hazem&amp;Nagah-Sep/25 </t>
  </si>
  <si>
    <t>Rent From 1/10/2025 to 31/12/2025</t>
  </si>
  <si>
    <t>Alfa Electronics Third payment(inv101387)</t>
  </si>
  <si>
    <t>Gas Oct/25</t>
  </si>
  <si>
    <t>AI Oct/25</t>
  </si>
  <si>
    <t>Turni + Benefit (Oct/25)</t>
  </si>
  <si>
    <t>Turni Contabo - Oct/25</t>
  </si>
  <si>
    <t>Ebrahim Transportation -Bank</t>
  </si>
  <si>
    <t>Shady Imprest</t>
  </si>
  <si>
    <t>Invest sinai</t>
  </si>
  <si>
    <t>Invest sinai Hosting Oct2025:Sep2026</t>
  </si>
  <si>
    <t>Invest sinai Domain Oct2025:Sep2026</t>
  </si>
  <si>
    <t>Alfa Electronics payment(inv101392)Aug/25</t>
  </si>
  <si>
    <t>Alfa Electronics Last payment(inv101387)</t>
  </si>
  <si>
    <t>Alfa Electronics First payment(inv101393)</t>
  </si>
  <si>
    <t>Ebrahim Transportation -Bank-t2minat</t>
  </si>
  <si>
    <t xml:space="preserve">7gara </t>
  </si>
  <si>
    <t xml:space="preserve">مريم </t>
  </si>
  <si>
    <t>Social Insurance First Installment</t>
  </si>
  <si>
    <t>Imkthis Egypt Website Support Payment Inv101394</t>
  </si>
  <si>
    <t>Imkthis Egypt Website Support Payment - VAT</t>
  </si>
  <si>
    <t>Imkthis</t>
  </si>
  <si>
    <t>Milk-Sugar-City Market</t>
  </si>
  <si>
    <t>Water &amp; Sugar City Market</t>
  </si>
  <si>
    <t>Mohamed Nagah Badalat</t>
  </si>
  <si>
    <t>Ebrahim Transportation &amp; tsweer -t2minat</t>
  </si>
  <si>
    <t>ابراهيم</t>
  </si>
  <si>
    <t>Badalat</t>
  </si>
  <si>
    <t>Safe Egypt Website Support Payment Inv101396</t>
  </si>
  <si>
    <t>Cloudways Oct/25-Paypal</t>
  </si>
  <si>
    <t>Atlassian-Jira(Oct/25)-Bitbucket</t>
  </si>
  <si>
    <t>CloudwaysLTD Mosta MT-Oct/25</t>
  </si>
  <si>
    <t>Atlassian2-Jira(Oct/25)</t>
  </si>
  <si>
    <t>ChatGPT Account Oct/25</t>
  </si>
  <si>
    <t>Turni Server Management (Oct)/25</t>
  </si>
  <si>
    <t>Postman Basic (Monthly)- Oct/25</t>
  </si>
  <si>
    <t>Atlassian-Jira(Oct/25)</t>
  </si>
  <si>
    <t>Adobe.com -Oct/25</t>
  </si>
  <si>
    <t>Aura-demo Hosting(Oct/25) Aura.llc-Hetzner</t>
  </si>
  <si>
    <t>Fulbright Hosting 20Oct2025:19Oct2026</t>
  </si>
  <si>
    <t>Fulbright Domain 20Oct2025:19Sep2026</t>
  </si>
  <si>
    <t>Hosting Renewal Oct/25</t>
  </si>
  <si>
    <t>مريم</t>
  </si>
  <si>
    <t>نجاح</t>
  </si>
  <si>
    <t>Building Maintenance For 6months(Nov/25:Apr/26)</t>
  </si>
  <si>
    <t>Hosting Renewal</t>
  </si>
  <si>
    <t>EEP</t>
  </si>
  <si>
    <t>4milk-City Market</t>
  </si>
  <si>
    <t>Nodust</t>
  </si>
  <si>
    <t>Turni Benefit Hosting(Oct/25)-Hetzner</t>
  </si>
  <si>
    <t>SAI payment (Smart Website Support)-inv 101389</t>
  </si>
  <si>
    <t>SAI payment (Smart Mobile App Support)-inv 101390</t>
  </si>
  <si>
    <t>Zoom Subscription - Oct/25</t>
  </si>
  <si>
    <t>Alfa Electronics Second payment(inv101393)</t>
  </si>
  <si>
    <t>Jul&amp;Aug&amp;Sep/25 PHP VAT</t>
  </si>
  <si>
    <t>Jul&amp;Aug&amp;Sep25 Website VAT</t>
  </si>
  <si>
    <t>Jul&amp;Aug&amp;Sep25 Mobile VAT</t>
  </si>
  <si>
    <t>Jul&amp;Aug&amp;Sep/25 .Net VAT</t>
  </si>
  <si>
    <t>Invest sinai Hosting Payment Inv101399</t>
  </si>
  <si>
    <t>Invest sinai Hosting Payment - VAT</t>
  </si>
  <si>
    <t>Bank Transfer Fees Invest Sinai Payment</t>
  </si>
  <si>
    <t>Fulbright Hosting Payment- (inv101402)</t>
  </si>
  <si>
    <t>Fulbright Hosting Payment- VAT</t>
  </si>
  <si>
    <t>Alfa Electronics payment(inv101404)Sep/25</t>
  </si>
  <si>
    <t>Alfa Electronics Last payment(inv101393)</t>
  </si>
  <si>
    <t>PHP Oct/25 Payroll</t>
  </si>
  <si>
    <t>General Oct/25 Payroll</t>
  </si>
  <si>
    <t>Websites Oct/25 Payroll</t>
  </si>
  <si>
    <t>.Net Oct/25 Payroll</t>
  </si>
  <si>
    <t>Medical insurance Oct/25</t>
  </si>
  <si>
    <t>Ebrahim Transportation-Bank (2 times)</t>
  </si>
  <si>
    <t>Shady</t>
  </si>
  <si>
    <t>Bank charges-SV</t>
  </si>
  <si>
    <t>3 milk-City Market</t>
  </si>
  <si>
    <t xml:space="preserve">Claude AI Hazem&amp;Nagah&amp;Eslam&amp;Reem&amp;Mina-Nov/25 </t>
  </si>
  <si>
    <t>Hayah/EEP payment (inv101395)</t>
  </si>
  <si>
    <t>Turni Contabo - Nov/25</t>
  </si>
  <si>
    <t>Turni + Benefit (Nov/25)</t>
  </si>
  <si>
    <t>AI Nov/25</t>
  </si>
  <si>
    <t xml:space="preserve">Esraa  Salary (25% Remaining) </t>
  </si>
  <si>
    <t>Adobe.com -Nov/25</t>
  </si>
  <si>
    <t>Atlassian-Jira(Nov/25)-Bitbucket</t>
  </si>
  <si>
    <t>Cloudways Nov/25-Paypal</t>
  </si>
  <si>
    <t>CloudwaysLTD Mosta MT-Nov/25</t>
  </si>
  <si>
    <t>Atlassian2-Jira(Nov/25)</t>
  </si>
  <si>
    <t>ChatGPT Account Nov/25</t>
  </si>
  <si>
    <t>Turni Server Management (Nov)/25</t>
  </si>
  <si>
    <t>Postman Basic (Monthly)- Nov/25</t>
  </si>
  <si>
    <t>Atlassian-Jira(Nov/25)</t>
  </si>
  <si>
    <t>Aura-demo Hosting(Nov/25) Aura.llc-Hetzner</t>
  </si>
  <si>
    <t>bottel of water</t>
  </si>
  <si>
    <t>Ebrahim Transportation-Doki(samer)</t>
  </si>
  <si>
    <t>Ebrahim Transportation-t2minat</t>
  </si>
  <si>
    <t>Claude AI Anton</t>
  </si>
  <si>
    <t>AnyDesk Subscription Annual</t>
  </si>
  <si>
    <t>Early Access lifetime</t>
  </si>
  <si>
    <t>moshtark-nermin</t>
  </si>
  <si>
    <t>Tax-Sep/25- ضرائب كسب العمل</t>
  </si>
  <si>
    <t>Statement Till 13/11</t>
  </si>
  <si>
    <t>Nescafe</t>
  </si>
  <si>
    <t>doorman Dec/25</t>
  </si>
  <si>
    <t>Tax-Oct25- ضرائب كسب العمل</t>
  </si>
  <si>
    <t>Imkthis Website Last payment20% - VAT</t>
  </si>
  <si>
    <t>Imkthis Website Last payment20% (inv101408)</t>
  </si>
  <si>
    <t xml:space="preserve">Tawsili 30% Downpayment </t>
  </si>
  <si>
    <t>11850$</t>
  </si>
  <si>
    <t>11000$</t>
  </si>
  <si>
    <t>تم تحويل 11000$وتبقي 850$بحساب الدولار</t>
  </si>
  <si>
    <t>Zoom Subscription - Nov/25</t>
  </si>
  <si>
    <t>Alfa Electronics First payment(inv101405)</t>
  </si>
  <si>
    <t>Alfa Electronics Second payment(inv101405)</t>
  </si>
  <si>
    <t>Coffee mate</t>
  </si>
  <si>
    <t>Rushhour Payment Without invoice</t>
  </si>
  <si>
    <t xml:space="preserve">Hosting </t>
  </si>
  <si>
    <t>Rushhour</t>
  </si>
  <si>
    <t>Rushhour Hosting &amp; Domain</t>
  </si>
  <si>
    <t>Cairotronica</t>
  </si>
  <si>
    <t>Cairotronica Hosting 20Sep2025:19Sep2026</t>
  </si>
  <si>
    <t>.Net Nov/25 Payroll</t>
  </si>
  <si>
    <t>Websites Nov/25 Payroll</t>
  </si>
  <si>
    <t>General Nov/25 Payroll</t>
  </si>
  <si>
    <t>PHP Nov/25 Payroll</t>
  </si>
  <si>
    <t>Restock Socond Payment</t>
  </si>
  <si>
    <t>Restock Payment</t>
  </si>
  <si>
    <t>Ondoor Payment</t>
  </si>
  <si>
    <t>SAI payment (Smart Website Support)-inv 101397</t>
  </si>
  <si>
    <t>SAI payment (Smart Mobile App Support)-inv 101398</t>
  </si>
  <si>
    <t>SAI payment (Smart Hosting Renewal) -VAT</t>
  </si>
  <si>
    <t>Alfa Electronics Third payment(inv101405)</t>
  </si>
  <si>
    <t>Alfa Electronics Fourth payment(inv101405)</t>
  </si>
  <si>
    <t xml:space="preserve">Medfest Hosting </t>
  </si>
  <si>
    <t>Medfest</t>
  </si>
  <si>
    <t>Turni Contabo - Dec/25</t>
  </si>
  <si>
    <t>Turni + Benefit (Dec/25)</t>
  </si>
  <si>
    <t>AI Dec/25</t>
  </si>
  <si>
    <t>doorman dec/25</t>
  </si>
  <si>
    <t>Gas Nov/25</t>
  </si>
  <si>
    <t xml:space="preserve">Claude AI Hazem&amp;Nagah&amp;Eslam&amp;Reem&amp;Mina-Dec/25 </t>
  </si>
  <si>
    <t>Fulbright Hosting Payment- (inv101410)</t>
  </si>
  <si>
    <t>EGL Hosting Payment- VAT</t>
  </si>
  <si>
    <t>Cash Deposit Fees EGL Payment</t>
  </si>
  <si>
    <t>EGL Hosting Payment- (inv101335)</t>
  </si>
  <si>
    <t>EGL Hosting payment-Tax Deduction</t>
  </si>
  <si>
    <t xml:space="preserve">متبقي 850$ </t>
  </si>
  <si>
    <t>Medical&amp;Life insurance Nov/25</t>
  </si>
  <si>
    <t>EGL Hosting Payment- (inv101419)</t>
  </si>
  <si>
    <t>Turni Server Management (Dec)/25</t>
  </si>
  <si>
    <t>Zina christmas</t>
  </si>
  <si>
    <t>Statement Till 1/12</t>
  </si>
  <si>
    <t>Statement Till 3/12</t>
  </si>
  <si>
    <t>Basket</t>
  </si>
  <si>
    <t>Social Insurance Second Installment</t>
  </si>
  <si>
    <t>Social Insurance Third Installment</t>
  </si>
  <si>
    <t>Adobe.com -Dec/25</t>
  </si>
  <si>
    <t>Atlassian-Jira(Dec/25)-Bitbucket</t>
  </si>
  <si>
    <t>Cloudways Dec/25-Paypal</t>
  </si>
  <si>
    <t>CloudwaysLTD Mosta MT-Dec/25</t>
  </si>
  <si>
    <t>Tax-Sep,Oct,Nov25- المساهمة التكافلية لصندوق اسر الشهداء</t>
  </si>
  <si>
    <t>Tax-2021- المساهمة التكافلية لصندوق اسر الشهداء</t>
  </si>
  <si>
    <t>Tax-2022- المساهمة التكافلية لصندوق اسر الشهداء</t>
  </si>
  <si>
    <t>Tax-2023- المساهمة التكافلية لصندوق اسر الشهداء</t>
  </si>
  <si>
    <t>Tax-2024- المساهمة التكافلية لصندوق اسر الشهداء</t>
  </si>
  <si>
    <t>Safe Egypt Payment - VAT</t>
  </si>
  <si>
    <t>Safe Egypt Payment Inv101418</t>
  </si>
  <si>
    <t>Glint Hosting Payment (inv101415)</t>
  </si>
  <si>
    <t>Glint Hosting Payment -VAT</t>
  </si>
  <si>
    <t>Glint</t>
  </si>
  <si>
    <t>Aura-demo Hosting(Dec/25) Aura.llc-Hetzner</t>
  </si>
  <si>
    <t>Turni Benefit Hosting(Dec/25)-Hetzner</t>
  </si>
  <si>
    <t>Turni Benefit Hosting(Nov/25)-Hetzner</t>
  </si>
  <si>
    <t>Atlassian-Jira(Dec/25)</t>
  </si>
  <si>
    <t>Postman Basic (Monthly)- Dec/25</t>
  </si>
  <si>
    <t>ChatGPT Account Dec/25</t>
  </si>
  <si>
    <t>Atlassian2-Jira(Dec/25)</t>
  </si>
  <si>
    <t>Cairotronica Payment Without invoice</t>
  </si>
  <si>
    <t>Zoom Subscription -Dec/25</t>
  </si>
  <si>
    <t>Alfa Electronics last payment-VAT(inv101405)</t>
  </si>
  <si>
    <t>Alfa Electronics payment(inv101414)Oct/25</t>
  </si>
  <si>
    <t>SAI payment (Smart Hosting Renewal)-inv 101401</t>
  </si>
  <si>
    <t>SAI payment (Smart Website Support)-inv 101409</t>
  </si>
  <si>
    <t>SAI payment (Smart Mobile App Support)-inv 101407</t>
  </si>
  <si>
    <t>SAI payment (Smart Website Support)-inv 101416</t>
  </si>
  <si>
    <t>SAI payment (Smart Mobile App Support)-inv 101417</t>
  </si>
  <si>
    <t>Alfa Qflow-Payroll+CRM - Sep/25</t>
  </si>
  <si>
    <t>Alfa Qflow-Payroll+CRM -Jul/25</t>
  </si>
  <si>
    <t>Alfa Qflow-Parking V2-Audit - Nov/25</t>
  </si>
  <si>
    <t>Alfa Qflow-Parking V2-Audit-Payroll-Wam Nextgen - Dec/25</t>
  </si>
  <si>
    <t>Alfa Qflow-Parking V2-Audit - Oct/25</t>
  </si>
  <si>
    <t>Alfa Qflow-internal - Aug2/25</t>
  </si>
  <si>
    <t xml:space="preserve">Samer Pays Bank </t>
  </si>
  <si>
    <t>Various Consumables-Carfour</t>
  </si>
  <si>
    <t>A4 Paper-2 package</t>
  </si>
  <si>
    <t>Various Consumables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</si>
</sst>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dd/mm/yyyy;@"/>
    <numFmt numFmtId="166" formatCode="0.0"/>
    <numFmt numFmtId="167" formatCode="_(* #,##0_);_(* \(#,##0\);_(* &quot;-&quot;??_);_(@_)"/>
    <numFmt numFmtId="168" formatCode="0.000%"/>
    <numFmt numFmtId="169" formatCode="_(* #,##0.000000_);_(* \(#,##0.000000\);_(* &quot;-&quot;??_);_(@_)"/>
  </numFmts>
  <fonts count="51" x14ac:knownFonts="1">
    <font>
      <sz val="12"/>
      <color theme="1"/>
      <name val="Calibri"/>
      <family val="2"/>
      <scheme val="minor"/>
    </font>
    <font>
      <sz val="12"/>
      <color theme="1"/>
      <name val="Calibri"/>
      <family val="2"/>
      <scheme val="minor"/>
    </font>
    <font>
      <b/>
      <sz val="14"/>
      <color theme="1"/>
      <name val="Century Gothic"/>
      <family val="2"/>
    </font>
    <font>
      <sz val="12"/>
      <color theme="1"/>
      <name val="Century Gothic"/>
      <family val="2"/>
    </font>
    <font>
      <b/>
      <sz val="12"/>
      <color theme="1"/>
      <name val="Century Gothic"/>
      <family val="2"/>
    </font>
    <font>
      <u/>
      <sz val="12"/>
      <color theme="10"/>
      <name val="Calibri"/>
      <family val="2"/>
      <scheme val="minor"/>
    </font>
    <font>
      <u/>
      <sz val="12"/>
      <color theme="11"/>
      <name val="Calibri"/>
      <family val="2"/>
      <scheme val="minor"/>
    </font>
    <font>
      <sz val="12"/>
      <name val="Century Gothic"/>
      <family val="2"/>
    </font>
    <font>
      <sz val="12"/>
      <color theme="1"/>
      <name val="Century Gothic"/>
      <family val="2"/>
    </font>
    <font>
      <b/>
      <sz val="12"/>
      <color theme="1"/>
      <name val="Century Gothic"/>
      <family val="2"/>
    </font>
    <font>
      <b/>
      <sz val="12"/>
      <color theme="1"/>
      <name val="Calibri"/>
      <family val="2"/>
      <scheme val="minor"/>
    </font>
    <font>
      <sz val="11"/>
      <color theme="1"/>
      <name val="Century Gothic"/>
      <family val="2"/>
    </font>
    <font>
      <sz val="12"/>
      <color theme="1"/>
      <name val="Century Gothic"/>
      <family val="1"/>
    </font>
    <font>
      <sz val="12"/>
      <color theme="1"/>
      <name val="Century Gothic"/>
      <family val="1"/>
    </font>
    <font>
      <b/>
      <sz val="12"/>
      <color theme="1"/>
      <name val="Century Gothic"/>
      <family val="1"/>
    </font>
    <font>
      <sz val="12"/>
      <color rgb="FF000000"/>
      <name val="Century Gothic"/>
      <family val="1"/>
    </font>
    <font>
      <sz val="8"/>
      <name val="Calibri"/>
      <family val="2"/>
      <scheme val="minor"/>
    </font>
    <font>
      <b/>
      <i/>
      <sz val="12"/>
      <color theme="1"/>
      <name val="Century Gothic"/>
      <family val="1"/>
    </font>
    <font>
      <b/>
      <sz val="20"/>
      <color theme="0"/>
      <name val="Century Gothic"/>
      <family val="1"/>
    </font>
    <font>
      <b/>
      <i/>
      <sz val="12"/>
      <color rgb="FFFF0000"/>
      <name val="Century Gothic"/>
      <family val="1"/>
    </font>
    <font>
      <b/>
      <sz val="12"/>
      <color theme="8" tint="-0.499984740745262"/>
      <name val="Century Gothic"/>
      <family val="2"/>
    </font>
    <font>
      <sz val="12"/>
      <color theme="1"/>
      <name val="Century Gothic"/>
      <family val="2"/>
    </font>
    <font>
      <sz val="12"/>
      <name val="Century Gothic"/>
      <family val="2"/>
    </font>
    <font>
      <b/>
      <sz val="9"/>
      <color indexed="81"/>
      <name val="Tahoma"/>
      <family val="2"/>
    </font>
    <font>
      <sz val="9"/>
      <color indexed="81"/>
      <name val="Tahoma"/>
      <family val="2"/>
    </font>
    <font>
      <sz val="12"/>
      <color rgb="FFFF0000"/>
      <name val="Calibri"/>
      <family val="2"/>
      <scheme val="minor"/>
    </font>
    <font>
      <sz val="12"/>
      <color theme="1"/>
      <name val="Century Gothic"/>
      <family val="2"/>
    </font>
    <font>
      <sz val="12"/>
      <name val="Century Gothic"/>
      <family val="2"/>
    </font>
    <font>
      <sz val="12"/>
      <name val="Century Gothic"/>
      <family val="1"/>
    </font>
    <font>
      <sz val="12"/>
      <color theme="1"/>
      <name val="Century Gothic"/>
      <family val="1"/>
    </font>
    <font>
      <sz val="12"/>
      <name val="Century Gothic"/>
      <family val="1"/>
    </font>
    <font>
      <sz val="12"/>
      <color theme="1"/>
      <name val="Century Gothic"/>
      <family val="1"/>
    </font>
    <font>
      <sz val="12"/>
      <name val="Century Gothic"/>
      <family val="1"/>
    </font>
    <font>
      <b/>
      <sz val="9"/>
      <color rgb="FF000000"/>
      <name val="Tahoma"/>
      <family val="2"/>
    </font>
    <font>
      <sz val="9"/>
      <color rgb="FF000000"/>
      <name val="Tahoma"/>
      <family val="2"/>
    </font>
    <font>
      <sz val="12"/>
      <color theme="1"/>
      <name val="Century Gothic"/>
      <family val="1"/>
    </font>
    <font>
      <sz val="12"/>
      <name val="Century Gothic"/>
      <family val="1"/>
    </font>
    <font>
      <sz val="12"/>
      <color theme="1"/>
      <name val="Century Gothic"/>
      <family val="1"/>
    </font>
    <font>
      <sz val="12"/>
      <name val="Century Gothic"/>
      <family val="1"/>
    </font>
    <font>
      <sz val="12"/>
      <color theme="1"/>
      <name val="Century Gothic"/>
      <family val="1"/>
    </font>
    <font>
      <sz val="12"/>
      <name val="Century Gothic"/>
      <family val="1"/>
    </font>
    <font>
      <sz val="12"/>
      <name val="Calibri"/>
      <family val="2"/>
      <scheme val="minor"/>
    </font>
    <font>
      <sz val="12"/>
      <color theme="1"/>
      <name val="Century Gothic"/>
      <family val="1"/>
    </font>
    <font>
      <sz val="12"/>
      <color theme="1"/>
      <name val="Century Gothic"/>
      <family val="1"/>
    </font>
    <font>
      <sz val="12"/>
      <name val="Century Gothic"/>
      <family val="1"/>
    </font>
    <font>
      <sz val="12"/>
      <color theme="1"/>
      <name val="Century Gothic"/>
      <family val="2"/>
    </font>
    <font>
      <sz val="12"/>
      <name val="Century Gothic"/>
      <family val="2"/>
    </font>
    <font>
      <sz val="12"/>
      <color theme="1"/>
      <name val="Century Gothic"/>
      <family val="2"/>
    </font>
    <font>
      <sz val="12"/>
      <name val="Century Gothic"/>
      <family val="2"/>
    </font>
    <font>
      <sz val="12"/>
      <color theme="1"/>
      <name val="Century Gothic"/>
    </font>
    <font>
      <sz val="12"/>
      <name val="Century Gothic"/>
    </font>
  </fonts>
  <fills count="11">
    <fill>
      <patternFill patternType="none"/>
    </fill>
    <fill>
      <patternFill patternType="gray125"/>
    </fill>
    <fill>
      <patternFill patternType="solid">
        <fgColor theme="9"/>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CD5B4"/>
        <bgColor rgb="FF000000"/>
      </patternFill>
    </fill>
    <fill>
      <patternFill patternType="solid">
        <fgColor theme="1" tint="0.14999847407452621"/>
        <bgColor indexed="64"/>
      </patternFill>
    </fill>
    <fill>
      <patternFill patternType="solid">
        <fgColor theme="0" tint="-0.14999847407452621"/>
        <bgColor indexed="64"/>
      </patternFill>
    </fill>
    <fill>
      <patternFill patternType="solid">
        <fgColor rgb="FFFFFF00"/>
        <bgColor indexed="64"/>
      </patternFill>
    </fill>
  </fills>
  <borders count="30">
    <border>
      <left/>
      <right/>
      <top/>
      <bottom/>
      <diagonal/>
    </border>
    <border>
      <left/>
      <right/>
      <top style="thin">
        <color auto="1"/>
      </top>
      <bottom/>
      <diagonal/>
    </border>
    <border>
      <left/>
      <right/>
      <top style="thin">
        <color auto="1"/>
      </top>
      <bottom style="thin">
        <color auto="1"/>
      </bottom>
      <diagonal/>
    </border>
    <border>
      <left/>
      <right/>
      <top/>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thin">
        <color auto="1"/>
      </left>
      <right style="thin">
        <color auto="1"/>
      </right>
      <top style="thin">
        <color indexed="64"/>
      </top>
      <bottom/>
      <diagonal/>
    </border>
    <border>
      <left style="thin">
        <color indexed="64"/>
      </left>
      <right style="thin">
        <color auto="1"/>
      </right>
      <top style="thin">
        <color auto="1"/>
      </top>
      <bottom style="thin">
        <color auto="1"/>
      </bottom>
      <diagonal/>
    </border>
    <border>
      <left style="thin">
        <color indexed="64"/>
      </left>
      <right style="thin">
        <color auto="1"/>
      </right>
      <top/>
      <bottom style="thin">
        <color auto="1"/>
      </bottom>
      <diagonal/>
    </border>
    <border>
      <left style="medium">
        <color auto="1"/>
      </left>
      <right/>
      <top style="thin">
        <color indexed="64"/>
      </top>
      <bottom style="thin">
        <color auto="1"/>
      </bottom>
      <diagonal/>
    </border>
    <border>
      <left/>
      <right style="medium">
        <color auto="1"/>
      </right>
      <top style="medium">
        <color auto="1"/>
      </top>
      <bottom/>
      <diagonal/>
    </border>
    <border>
      <left/>
      <right style="medium">
        <color indexed="64"/>
      </right>
      <top style="thin">
        <color auto="1"/>
      </top>
      <bottom style="medium">
        <color indexed="64"/>
      </bottom>
      <diagonal/>
    </border>
  </borders>
  <cellStyleXfs count="188">
    <xf numFmtId="0" fontId="0" fillId="0" borderId="0"/>
    <xf numFmtId="164"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3"/>
    <xf numFmtId="43" fontId="1" fillId="0" borderId="3" applyFont="0" applyFill="0" applyBorder="0" applyAlignment="0" applyProtection="0"/>
    <xf numFmtId="9" fontId="1" fillId="0" borderId="3" applyFont="0" applyFill="0" applyBorder="0" applyAlignment="0" applyProtection="0"/>
    <xf numFmtId="0" fontId="1" fillId="0" borderId="3"/>
    <xf numFmtId="0" fontId="1" fillId="0" borderId="3"/>
    <xf numFmtId="0" fontId="1" fillId="0" borderId="3"/>
    <xf numFmtId="43" fontId="1" fillId="0" borderId="3" applyFont="0" applyFill="0" applyBorder="0" applyAlignment="0" applyProtection="0"/>
    <xf numFmtId="0" fontId="1" fillId="0" borderId="3"/>
    <xf numFmtId="0" fontId="1" fillId="0" borderId="3"/>
    <xf numFmtId="0" fontId="1" fillId="0" borderId="3"/>
    <xf numFmtId="0" fontId="1" fillId="0" borderId="3"/>
  </cellStyleXfs>
  <cellXfs count="376">
    <xf numFmtId="0" fontId="0" fillId="0" borderId="0" xfId="0"/>
    <xf numFmtId="0" fontId="2" fillId="0" borderId="0" xfId="0" applyFont="1"/>
    <xf numFmtId="0" fontId="3" fillId="0" borderId="0" xfId="0" applyFont="1"/>
    <xf numFmtId="165" fontId="3" fillId="0" borderId="0" xfId="0" applyNumberFormat="1" applyFont="1"/>
    <xf numFmtId="0" fontId="4" fillId="0" borderId="2" xfId="0" applyFont="1" applyBorder="1"/>
    <xf numFmtId="0" fontId="4" fillId="0" borderId="1" xfId="0" applyFont="1" applyBorder="1"/>
    <xf numFmtId="0" fontId="3" fillId="0" borderId="3" xfId="0" applyFont="1" applyBorder="1"/>
    <xf numFmtId="165" fontId="3" fillId="0" borderId="3" xfId="0" applyNumberFormat="1" applyFont="1" applyBorder="1"/>
    <xf numFmtId="0" fontId="4" fillId="0" borderId="8" xfId="0" applyFont="1" applyBorder="1"/>
    <xf numFmtId="0" fontId="4" fillId="0" borderId="9" xfId="0" applyFont="1" applyBorder="1"/>
    <xf numFmtId="0" fontId="3" fillId="0" borderId="5" xfId="0" applyFont="1" applyBorder="1"/>
    <xf numFmtId="0" fontId="3" fillId="0" borderId="4" xfId="0" applyFont="1" applyBorder="1"/>
    <xf numFmtId="0" fontId="3" fillId="0" borderId="10" xfId="0" applyFont="1" applyBorder="1"/>
    <xf numFmtId="0" fontId="3" fillId="0" borderId="11" xfId="0" applyFont="1" applyBorder="1"/>
    <xf numFmtId="0" fontId="4" fillId="2" borderId="6" xfId="0" applyFont="1" applyFill="1" applyBorder="1"/>
    <xf numFmtId="0" fontId="4" fillId="2" borderId="7" xfId="0" applyFont="1" applyFill="1" applyBorder="1"/>
    <xf numFmtId="0" fontId="4" fillId="2" borderId="0" xfId="0" applyFont="1" applyFill="1"/>
    <xf numFmtId="0" fontId="3" fillId="2" borderId="0" xfId="0" applyFont="1" applyFill="1"/>
    <xf numFmtId="0" fontId="4" fillId="0" borderId="3" xfId="0" applyFont="1" applyBorder="1"/>
    <xf numFmtId="0" fontId="7" fillId="0" borderId="3" xfId="0" applyFont="1" applyBorder="1"/>
    <xf numFmtId="0" fontId="3" fillId="0" borderId="2" xfId="0" applyFont="1" applyBorder="1"/>
    <xf numFmtId="0" fontId="3" fillId="0" borderId="1" xfId="0" applyFont="1" applyBorder="1"/>
    <xf numFmtId="0" fontId="3" fillId="0" borderId="12" xfId="0" applyFont="1" applyBorder="1"/>
    <xf numFmtId="0" fontId="4" fillId="2" borderId="2" xfId="0" applyFont="1" applyFill="1" applyBorder="1"/>
    <xf numFmtId="0" fontId="8" fillId="0" borderId="0" xfId="0" applyFont="1"/>
    <xf numFmtId="0" fontId="3" fillId="2" borderId="3" xfId="0" applyFont="1" applyFill="1" applyBorder="1"/>
    <xf numFmtId="0" fontId="8" fillId="0" borderId="3" xfId="0" applyFont="1" applyBorder="1"/>
    <xf numFmtId="0" fontId="11" fillId="0" borderId="0" xfId="0" applyFont="1"/>
    <xf numFmtId="2" fontId="3" fillId="0" borderId="3" xfId="0" applyNumberFormat="1" applyFont="1" applyBorder="1"/>
    <xf numFmtId="0" fontId="8" fillId="0" borderId="10" xfId="0" applyFont="1" applyBorder="1"/>
    <xf numFmtId="2" fontId="3" fillId="0" borderId="4" xfId="0" applyNumberFormat="1" applyFont="1" applyBorder="1"/>
    <xf numFmtId="0" fontId="3" fillId="0" borderId="19" xfId="0" applyFont="1" applyBorder="1"/>
    <xf numFmtId="2" fontId="3" fillId="0" borderId="11" xfId="0" applyNumberFormat="1" applyFont="1" applyBorder="1"/>
    <xf numFmtId="0" fontId="9" fillId="3" borderId="2" xfId="0" applyFont="1" applyFill="1" applyBorder="1"/>
    <xf numFmtId="9" fontId="9" fillId="3" borderId="17" xfId="44" applyFont="1" applyFill="1" applyBorder="1"/>
    <xf numFmtId="9" fontId="9" fillId="3" borderId="18" xfId="44" applyFont="1" applyFill="1" applyBorder="1"/>
    <xf numFmtId="9" fontId="10" fillId="3" borderId="18" xfId="44" applyFont="1" applyFill="1" applyBorder="1"/>
    <xf numFmtId="164" fontId="3" fillId="0" borderId="0" xfId="0" applyNumberFormat="1" applyFont="1"/>
    <xf numFmtId="164" fontId="3" fillId="0" borderId="0" xfId="1" applyFont="1"/>
    <xf numFmtId="0" fontId="12" fillId="0" borderId="3" xfId="0" applyFont="1" applyBorder="1"/>
    <xf numFmtId="164" fontId="12" fillId="0" borderId="3" xfId="1" applyFont="1" applyBorder="1"/>
    <xf numFmtId="0" fontId="4" fillId="0" borderId="22" xfId="0" applyFont="1" applyBorder="1"/>
    <xf numFmtId="0" fontId="4" fillId="0" borderId="23" xfId="0" applyFont="1" applyBorder="1"/>
    <xf numFmtId="164" fontId="14" fillId="0" borderId="0" xfId="0" applyNumberFormat="1" applyFont="1"/>
    <xf numFmtId="0" fontId="0" fillId="0" borderId="3" xfId="0" applyBorder="1"/>
    <xf numFmtId="0" fontId="12" fillId="0" borderId="0" xfId="0" applyFont="1"/>
    <xf numFmtId="0" fontId="0" fillId="0" borderId="12" xfId="0" applyBorder="1"/>
    <xf numFmtId="0" fontId="0" fillId="0" borderId="2" xfId="0" applyBorder="1"/>
    <xf numFmtId="0" fontId="12" fillId="0" borderId="3" xfId="0" applyFont="1" applyBorder="1" applyAlignment="1">
      <alignment horizontal="left"/>
    </xf>
    <xf numFmtId="0" fontId="4" fillId="0" borderId="24" xfId="0" applyFont="1" applyBorder="1"/>
    <xf numFmtId="0" fontId="4" fillId="3" borderId="25" xfId="0" applyFont="1" applyFill="1" applyBorder="1"/>
    <xf numFmtId="165" fontId="3" fillId="0" borderId="2" xfId="0" applyNumberFormat="1" applyFont="1" applyBorder="1"/>
    <xf numFmtId="166" fontId="3" fillId="0" borderId="2" xfId="0" applyNumberFormat="1" applyFont="1" applyBorder="1"/>
    <xf numFmtId="0" fontId="3" fillId="4" borderId="25" xfId="0" applyFont="1" applyFill="1" applyBorder="1"/>
    <xf numFmtId="164" fontId="0" fillId="0" borderId="0" xfId="0" applyNumberFormat="1"/>
    <xf numFmtId="9" fontId="0" fillId="0" borderId="0" xfId="44" applyFont="1"/>
    <xf numFmtId="167" fontId="0" fillId="0" borderId="0" xfId="0" applyNumberFormat="1"/>
    <xf numFmtId="0" fontId="14" fillId="0" borderId="3" xfId="0" applyFont="1" applyBorder="1"/>
    <xf numFmtId="0" fontId="10" fillId="0" borderId="3" xfId="0" applyFont="1" applyBorder="1"/>
    <xf numFmtId="164" fontId="0" fillId="0" borderId="3" xfId="1" applyFont="1" applyFill="1" applyBorder="1"/>
    <xf numFmtId="164" fontId="10" fillId="0" borderId="3" xfId="1" applyFont="1" applyFill="1" applyBorder="1"/>
    <xf numFmtId="164" fontId="0" fillId="0" borderId="3" xfId="0" applyNumberFormat="1" applyBorder="1"/>
    <xf numFmtId="9" fontId="0" fillId="0" borderId="3" xfId="44" applyFont="1" applyFill="1" applyBorder="1"/>
    <xf numFmtId="167" fontId="0" fillId="0" borderId="3" xfId="0" applyNumberFormat="1" applyBorder="1"/>
    <xf numFmtId="164" fontId="3" fillId="0" borderId="3" xfId="0" applyNumberFormat="1" applyFont="1" applyBorder="1"/>
    <xf numFmtId="0" fontId="15" fillId="0" borderId="3" xfId="0" applyFont="1" applyBorder="1"/>
    <xf numFmtId="164" fontId="12" fillId="0" borderId="3" xfId="1" applyFont="1" applyFill="1" applyBorder="1"/>
    <xf numFmtId="0" fontId="4" fillId="3" borderId="28" xfId="0" applyFont="1" applyFill="1" applyBorder="1" applyAlignment="1">
      <alignment horizontal="center"/>
    </xf>
    <xf numFmtId="0" fontId="14" fillId="0" borderId="0" xfId="0" applyFont="1"/>
    <xf numFmtId="0" fontId="14" fillId="2" borderId="3" xfId="0" applyFont="1" applyFill="1" applyBorder="1"/>
    <xf numFmtId="0" fontId="14" fillId="0" borderId="1" xfId="0" applyFont="1" applyBorder="1"/>
    <xf numFmtId="9" fontId="14" fillId="3" borderId="2" xfId="44" applyFont="1" applyFill="1" applyBorder="1"/>
    <xf numFmtId="0" fontId="0" fillId="0" borderId="0" xfId="0" pivotButton="1"/>
    <xf numFmtId="0" fontId="0" fillId="0" borderId="0" xfId="0" applyAlignment="1">
      <alignment horizontal="left"/>
    </xf>
    <xf numFmtId="0" fontId="0" fillId="8" borderId="0" xfId="0" applyFill="1"/>
    <xf numFmtId="164" fontId="7" fillId="0" borderId="3" xfId="1" applyFont="1" applyFill="1" applyBorder="1"/>
    <xf numFmtId="0" fontId="18" fillId="8" borderId="0" xfId="0" applyFont="1" applyFill="1"/>
    <xf numFmtId="0" fontId="0" fillId="9" borderId="0" xfId="0" applyFill="1"/>
    <xf numFmtId="0" fontId="12" fillId="0" borderId="2" xfId="0" applyFont="1" applyBorder="1"/>
    <xf numFmtId="0" fontId="12" fillId="0" borderId="0" xfId="0" applyFont="1" applyAlignment="1">
      <alignment horizontal="left"/>
    </xf>
    <xf numFmtId="0" fontId="12" fillId="2" borderId="0" xfId="0" applyFont="1" applyFill="1" applyAlignment="1">
      <alignment horizontal="left"/>
    </xf>
    <xf numFmtId="0" fontId="14" fillId="0" borderId="1" xfId="0" applyFont="1" applyBorder="1" applyAlignment="1">
      <alignment horizontal="left"/>
    </xf>
    <xf numFmtId="0" fontId="12" fillId="0" borderId="2" xfId="0" applyFont="1" applyBorder="1" applyAlignment="1">
      <alignment horizontal="left"/>
    </xf>
    <xf numFmtId="0" fontId="14" fillId="3" borderId="2" xfId="0" applyFont="1" applyFill="1" applyBorder="1" applyAlignment="1">
      <alignment horizontal="left"/>
    </xf>
    <xf numFmtId="0" fontId="12" fillId="2" borderId="0" xfId="0" applyFont="1" applyFill="1"/>
    <xf numFmtId="0" fontId="12" fillId="3" borderId="2" xfId="0" applyFont="1" applyFill="1" applyBorder="1"/>
    <xf numFmtId="168" fontId="0" fillId="0" borderId="3" xfId="44" applyNumberFormat="1" applyFont="1" applyFill="1" applyBorder="1"/>
    <xf numFmtId="164" fontId="3" fillId="0" borderId="3" xfId="1" applyFont="1" applyBorder="1"/>
    <xf numFmtId="169" fontId="3" fillId="0" borderId="0" xfId="0" applyNumberFormat="1" applyFont="1"/>
    <xf numFmtId="3" fontId="3" fillId="0" borderId="0" xfId="0" applyNumberFormat="1" applyFont="1"/>
    <xf numFmtId="0" fontId="13" fillId="6" borderId="2" xfId="0" applyFont="1" applyFill="1" applyBorder="1"/>
    <xf numFmtId="164" fontId="14" fillId="0" borderId="3" xfId="1" applyFont="1" applyFill="1" applyBorder="1"/>
    <xf numFmtId="164" fontId="14" fillId="0" borderId="3" xfId="0" applyNumberFormat="1" applyFont="1" applyBorder="1"/>
    <xf numFmtId="164" fontId="10" fillId="0" borderId="3" xfId="0" applyNumberFormat="1" applyFont="1" applyBorder="1"/>
    <xf numFmtId="4" fontId="3" fillId="0" borderId="3" xfId="0" applyNumberFormat="1" applyFont="1" applyBorder="1"/>
    <xf numFmtId="4" fontId="14" fillId="0" borderId="0" xfId="0" applyNumberFormat="1" applyFont="1"/>
    <xf numFmtId="164" fontId="3" fillId="0" borderId="3" xfId="1" applyFont="1" applyFill="1" applyBorder="1"/>
    <xf numFmtId="164" fontId="7" fillId="0" borderId="3" xfId="0" applyNumberFormat="1" applyFont="1" applyBorder="1"/>
    <xf numFmtId="9" fontId="10" fillId="3" borderId="29" xfId="44" applyFont="1" applyFill="1" applyBorder="1"/>
    <xf numFmtId="164" fontId="19" fillId="7" borderId="27" xfId="0" applyNumberFormat="1" applyFont="1" applyFill="1" applyBorder="1"/>
    <xf numFmtId="16" fontId="0" fillId="0" borderId="0" xfId="0" applyNumberFormat="1"/>
    <xf numFmtId="0" fontId="0" fillId="0" borderId="0" xfId="0" applyAlignment="1">
      <alignment horizontal="center"/>
    </xf>
    <xf numFmtId="164" fontId="20" fillId="6" borderId="4" xfId="1" applyFont="1" applyFill="1" applyBorder="1"/>
    <xf numFmtId="164" fontId="20" fillId="6" borderId="3" xfId="1" applyFont="1" applyFill="1" applyBorder="1"/>
    <xf numFmtId="0" fontId="3" fillId="0" borderId="0" xfId="0" quotePrefix="1" applyFont="1"/>
    <xf numFmtId="165" fontId="21" fillId="0" borderId="3" xfId="0" applyNumberFormat="1" applyFont="1" applyBorder="1"/>
    <xf numFmtId="0" fontId="21" fillId="6" borderId="3" xfId="1" applyNumberFormat="1" applyFont="1" applyFill="1" applyBorder="1"/>
    <xf numFmtId="0" fontId="21" fillId="6" borderId="3" xfId="0" applyFont="1" applyFill="1" applyBorder="1"/>
    <xf numFmtId="0" fontId="21" fillId="0" borderId="19" xfId="0" applyFont="1" applyBorder="1"/>
    <xf numFmtId="164" fontId="21" fillId="0" borderId="15" xfId="1" applyFont="1" applyFill="1" applyBorder="1"/>
    <xf numFmtId="164" fontId="21" fillId="0" borderId="3" xfId="1" applyFont="1" applyFill="1" applyBorder="1"/>
    <xf numFmtId="164" fontId="22" fillId="0" borderId="3" xfId="1" applyFont="1" applyFill="1" applyBorder="1"/>
    <xf numFmtId="164" fontId="21" fillId="0" borderId="16" xfId="1" applyFont="1" applyFill="1" applyBorder="1"/>
    <xf numFmtId="164" fontId="21" fillId="0" borderId="0" xfId="1" applyFont="1"/>
    <xf numFmtId="166" fontId="12" fillId="0" borderId="4" xfId="0" applyNumberFormat="1" applyFont="1" applyBorder="1"/>
    <xf numFmtId="164" fontId="12" fillId="0" borderId="3" xfId="0" applyNumberFormat="1" applyFont="1" applyBorder="1"/>
    <xf numFmtId="164" fontId="21" fillId="0" borderId="0" xfId="1" applyFont="1" applyFill="1"/>
    <xf numFmtId="0" fontId="25" fillId="0" borderId="0" xfId="0" applyFont="1"/>
    <xf numFmtId="0" fontId="4" fillId="5" borderId="12" xfId="0" applyFont="1" applyFill="1" applyBorder="1"/>
    <xf numFmtId="0" fontId="3" fillId="5" borderId="12" xfId="0" applyFont="1" applyFill="1" applyBorder="1"/>
    <xf numFmtId="0" fontId="4" fillId="5" borderId="12" xfId="0" applyFont="1" applyFill="1" applyBorder="1" applyAlignment="1">
      <alignment horizontal="left"/>
    </xf>
    <xf numFmtId="0" fontId="4" fillId="5" borderId="26" xfId="0" applyFont="1" applyFill="1" applyBorder="1"/>
    <xf numFmtId="164" fontId="4" fillId="5" borderId="21" xfId="0" applyNumberFormat="1" applyFont="1" applyFill="1" applyBorder="1"/>
    <xf numFmtId="164" fontId="4" fillId="5" borderId="12" xfId="0" applyNumberFormat="1" applyFont="1" applyFill="1" applyBorder="1"/>
    <xf numFmtId="164" fontId="4" fillId="5" borderId="20" xfId="0" applyNumberFormat="1" applyFont="1" applyFill="1" applyBorder="1"/>
    <xf numFmtId="43" fontId="14" fillId="0" borderId="3" xfId="0" applyNumberFormat="1" applyFont="1" applyBorder="1"/>
    <xf numFmtId="0" fontId="26" fillId="0" borderId="3" xfId="0" applyFont="1" applyBorder="1"/>
    <xf numFmtId="0" fontId="26" fillId="0" borderId="3" xfId="0" applyFont="1" applyBorder="1" applyAlignment="1">
      <alignment horizontal="left"/>
    </xf>
    <xf numFmtId="166" fontId="26" fillId="0" borderId="4" xfId="0" applyNumberFormat="1" applyFont="1" applyBorder="1"/>
    <xf numFmtId="0" fontId="26" fillId="0" borderId="19" xfId="0" applyFont="1" applyBorder="1" applyAlignment="1">
      <alignment horizontal="center"/>
    </xf>
    <xf numFmtId="0" fontId="15" fillId="0" borderId="3" xfId="0" applyFont="1" applyBorder="1" applyAlignment="1">
      <alignment horizontal="left"/>
    </xf>
    <xf numFmtId="0" fontId="12" fillId="0" borderId="19" xfId="0" applyFont="1" applyBorder="1" applyAlignment="1">
      <alignment horizontal="center"/>
    </xf>
    <xf numFmtId="164" fontId="3" fillId="0" borderId="15" xfId="1" applyFont="1" applyFill="1" applyBorder="1"/>
    <xf numFmtId="0" fontId="3" fillId="0" borderId="3" xfId="0" applyFont="1" applyBorder="1" applyAlignment="1">
      <alignment wrapText="1"/>
    </xf>
    <xf numFmtId="0" fontId="3" fillId="0" borderId="3" xfId="0" applyFont="1" applyBorder="1" applyAlignment="1">
      <alignment horizontal="left"/>
    </xf>
    <xf numFmtId="166" fontId="3" fillId="0" borderId="4" xfId="0" applyNumberFormat="1" applyFont="1" applyBorder="1"/>
    <xf numFmtId="0" fontId="3" fillId="0" borderId="19" xfId="0" applyFont="1" applyBorder="1" applyAlignment="1">
      <alignment horizontal="center"/>
    </xf>
    <xf numFmtId="164" fontId="3" fillId="0" borderId="19" xfId="1" applyFont="1" applyFill="1" applyBorder="1"/>
    <xf numFmtId="164" fontId="12" fillId="0" borderId="15" xfId="1" applyFont="1" applyFill="1" applyBorder="1"/>
    <xf numFmtId="165" fontId="26" fillId="0" borderId="3" xfId="0" applyNumberFormat="1" applyFont="1" applyBorder="1"/>
    <xf numFmtId="0" fontId="26" fillId="6" borderId="3" xfId="1" applyNumberFormat="1" applyFont="1" applyFill="1" applyBorder="1"/>
    <xf numFmtId="0" fontId="26" fillId="6" borderId="3" xfId="0" applyFont="1" applyFill="1" applyBorder="1"/>
    <xf numFmtId="0" fontId="26" fillId="0" borderId="3" xfId="0" applyFont="1" applyBorder="1" applyAlignment="1">
      <alignment wrapText="1"/>
    </xf>
    <xf numFmtId="0" fontId="26" fillId="0" borderId="19" xfId="0" applyFont="1" applyBorder="1"/>
    <xf numFmtId="164" fontId="26" fillId="0" borderId="15" xfId="1" applyFont="1" applyFill="1" applyBorder="1"/>
    <xf numFmtId="164" fontId="26" fillId="0" borderId="3" xfId="1" applyFont="1" applyFill="1" applyBorder="1"/>
    <xf numFmtId="164" fontId="27" fillId="0" borderId="3" xfId="1" applyFont="1" applyFill="1" applyBorder="1"/>
    <xf numFmtId="164" fontId="26" fillId="0" borderId="16" xfId="1" applyFont="1" applyFill="1" applyBorder="1"/>
    <xf numFmtId="164" fontId="26" fillId="0" borderId="0" xfId="1" applyFont="1" applyFill="1"/>
    <xf numFmtId="49" fontId="12" fillId="0" borderId="4" xfId="0" applyNumberFormat="1" applyFont="1" applyBorder="1"/>
    <xf numFmtId="0" fontId="28" fillId="0" borderId="3" xfId="0" applyFont="1" applyBorder="1"/>
    <xf numFmtId="164" fontId="26" fillId="0" borderId="0" xfId="1" applyFont="1" applyFill="1" applyBorder="1"/>
    <xf numFmtId="164" fontId="26" fillId="0" borderId="3" xfId="1" applyFont="1" applyBorder="1"/>
    <xf numFmtId="0" fontId="12" fillId="0" borderId="3" xfId="0" applyFont="1" applyBorder="1" applyAlignment="1">
      <alignment wrapText="1"/>
    </xf>
    <xf numFmtId="165" fontId="29" fillId="0" borderId="3" xfId="0" applyNumberFormat="1" applyFont="1" applyBorder="1"/>
    <xf numFmtId="0" fontId="29" fillId="6" borderId="3" xfId="1" applyNumberFormat="1" applyFont="1" applyFill="1" applyBorder="1"/>
    <xf numFmtId="0" fontId="29" fillId="6" borderId="3" xfId="0" applyFont="1" applyFill="1" applyBorder="1"/>
    <xf numFmtId="0" fontId="29" fillId="0" borderId="3" xfId="0" applyFont="1" applyBorder="1" applyAlignment="1">
      <alignment wrapText="1"/>
    </xf>
    <xf numFmtId="0" fontId="29" fillId="0" borderId="3" xfId="0" applyFont="1" applyBorder="1"/>
    <xf numFmtId="0" fontId="29" fillId="0" borderId="3" xfId="0" applyFont="1" applyBorder="1" applyAlignment="1">
      <alignment horizontal="left"/>
    </xf>
    <xf numFmtId="166" fontId="29" fillId="0" borderId="4" xfId="0" applyNumberFormat="1" applyFont="1" applyBorder="1"/>
    <xf numFmtId="0" fontId="29" fillId="0" borderId="19" xfId="0" applyFont="1" applyBorder="1" applyAlignment="1">
      <alignment horizontal="center"/>
    </xf>
    <xf numFmtId="0" fontId="29" fillId="0" borderId="19" xfId="0" applyFont="1" applyBorder="1"/>
    <xf numFmtId="164" fontId="29" fillId="0" borderId="15" xfId="1" applyFont="1" applyFill="1" applyBorder="1"/>
    <xf numFmtId="164" fontId="29" fillId="0" borderId="3" xfId="1" applyFont="1" applyFill="1" applyBorder="1"/>
    <xf numFmtId="164" fontId="30" fillId="0" borderId="3" xfId="1" applyFont="1" applyFill="1" applyBorder="1"/>
    <xf numFmtId="164" fontId="29" fillId="0" borderId="16" xfId="1" applyFont="1" applyFill="1" applyBorder="1"/>
    <xf numFmtId="164" fontId="29" fillId="0" borderId="0" xfId="1" applyFont="1" applyFill="1"/>
    <xf numFmtId="165" fontId="31" fillId="0" borderId="3" xfId="0" applyNumberFormat="1" applyFont="1" applyBorder="1"/>
    <xf numFmtId="0" fontId="31" fillId="6" borderId="3" xfId="1" applyNumberFormat="1" applyFont="1" applyFill="1" applyBorder="1"/>
    <xf numFmtId="0" fontId="31" fillId="6" borderId="3" xfId="0" applyFont="1" applyFill="1" applyBorder="1"/>
    <xf numFmtId="0" fontId="31" fillId="0" borderId="3" xfId="0" applyFont="1" applyBorder="1" applyAlignment="1">
      <alignment wrapText="1"/>
    </xf>
    <xf numFmtId="0" fontId="31" fillId="0" borderId="3" xfId="0" applyFont="1" applyBorder="1"/>
    <xf numFmtId="0" fontId="31" fillId="0" borderId="3" xfId="0" applyFont="1" applyBorder="1" applyAlignment="1">
      <alignment horizontal="left"/>
    </xf>
    <xf numFmtId="0" fontId="31" fillId="0" borderId="19" xfId="0" applyFont="1" applyBorder="1" applyAlignment="1">
      <alignment horizontal="center"/>
    </xf>
    <xf numFmtId="0" fontId="31" fillId="0" borderId="19" xfId="0" applyFont="1" applyBorder="1"/>
    <xf numFmtId="164" fontId="31" fillId="0" borderId="15" xfId="1" applyFont="1" applyFill="1" applyBorder="1"/>
    <xf numFmtId="164" fontId="31" fillId="0" borderId="3" xfId="1" applyFont="1" applyFill="1" applyBorder="1"/>
    <xf numFmtId="164" fontId="32" fillId="0" borderId="3" xfId="1" applyFont="1" applyFill="1" applyBorder="1"/>
    <xf numFmtId="164" fontId="31" fillId="0" borderId="16" xfId="1" applyFont="1" applyFill="1" applyBorder="1"/>
    <xf numFmtId="164" fontId="31" fillId="0" borderId="0" xfId="1" applyFont="1" applyFill="1"/>
    <xf numFmtId="166" fontId="31" fillId="0" borderId="4" xfId="0" applyNumberFormat="1" applyFont="1" applyBorder="1"/>
    <xf numFmtId="0" fontId="0" fillId="0" borderId="0" xfId="0" quotePrefix="1"/>
    <xf numFmtId="0" fontId="12" fillId="0" borderId="3" xfId="180" applyFont="1"/>
    <xf numFmtId="0" fontId="12" fillId="0" borderId="3" xfId="180" applyFont="1" applyAlignment="1">
      <alignment horizontal="left"/>
    </xf>
    <xf numFmtId="49" fontId="12" fillId="0" borderId="4" xfId="180" applyNumberFormat="1" applyFont="1" applyBorder="1"/>
    <xf numFmtId="0" fontId="12" fillId="0" borderId="19" xfId="180" applyFont="1" applyBorder="1" applyAlignment="1">
      <alignment horizontal="center"/>
    </xf>
    <xf numFmtId="165" fontId="35" fillId="0" borderId="3" xfId="0" applyNumberFormat="1" applyFont="1" applyBorder="1"/>
    <xf numFmtId="0" fontId="35" fillId="0" borderId="3" xfId="0" applyFont="1" applyBorder="1" applyAlignment="1">
      <alignment wrapText="1"/>
    </xf>
    <xf numFmtId="0" fontId="35" fillId="0" borderId="3" xfId="0" applyFont="1" applyBorder="1"/>
    <xf numFmtId="0" fontId="35" fillId="0" borderId="3" xfId="0" applyFont="1" applyBorder="1" applyAlignment="1">
      <alignment horizontal="left"/>
    </xf>
    <xf numFmtId="166" fontId="35" fillId="0" borderId="4" xfId="0" applyNumberFormat="1" applyFont="1" applyBorder="1"/>
    <xf numFmtId="0" fontId="35" fillId="0" borderId="19" xfId="0" applyFont="1" applyBorder="1" applyAlignment="1">
      <alignment horizontal="center"/>
    </xf>
    <xf numFmtId="0" fontId="35" fillId="0" borderId="19" xfId="0" applyFont="1" applyBorder="1"/>
    <xf numFmtId="164" fontId="35" fillId="0" borderId="15" xfId="1" applyFont="1" applyFill="1" applyBorder="1"/>
    <xf numFmtId="164" fontId="35" fillId="0" borderId="3" xfId="1" applyFont="1" applyFill="1" applyBorder="1"/>
    <xf numFmtId="164" fontId="36" fillId="0" borderId="3" xfId="1" applyFont="1" applyFill="1" applyBorder="1"/>
    <xf numFmtId="164" fontId="35" fillId="0" borderId="16" xfId="1" applyFont="1" applyFill="1" applyBorder="1"/>
    <xf numFmtId="164" fontId="35" fillId="0" borderId="0" xfId="1" applyFont="1" applyFill="1"/>
    <xf numFmtId="0" fontId="35" fillId="6" borderId="3" xfId="1" applyNumberFormat="1" applyFont="1" applyFill="1" applyBorder="1"/>
    <xf numFmtId="0" fontId="35" fillId="6" borderId="3" xfId="0" applyFont="1" applyFill="1" applyBorder="1"/>
    <xf numFmtId="0" fontId="37" fillId="0" borderId="19" xfId="0" applyFont="1" applyBorder="1"/>
    <xf numFmtId="164" fontId="37" fillId="0" borderId="15" xfId="1" applyFont="1" applyFill="1" applyBorder="1"/>
    <xf numFmtId="164" fontId="37" fillId="0" borderId="3" xfId="1" applyFont="1" applyFill="1" applyBorder="1"/>
    <xf numFmtId="164" fontId="38" fillId="0" borderId="3" xfId="1" applyFont="1" applyFill="1" applyBorder="1"/>
    <xf numFmtId="164" fontId="37" fillId="0" borderId="16" xfId="1" applyFont="1" applyFill="1" applyBorder="1"/>
    <xf numFmtId="164" fontId="37" fillId="0" borderId="0" xfId="1" applyFont="1" applyFill="1"/>
    <xf numFmtId="165" fontId="31" fillId="2" borderId="3" xfId="0" applyNumberFormat="1" applyFont="1" applyFill="1" applyBorder="1"/>
    <xf numFmtId="0" fontId="31" fillId="2" borderId="3" xfId="0" applyFont="1" applyFill="1" applyBorder="1"/>
    <xf numFmtId="0" fontId="31" fillId="2" borderId="3" xfId="0" applyFont="1" applyFill="1" applyBorder="1" applyAlignment="1">
      <alignment wrapText="1"/>
    </xf>
    <xf numFmtId="0" fontId="31" fillId="2" borderId="3" xfId="0" applyFont="1" applyFill="1" applyBorder="1" applyAlignment="1">
      <alignment horizontal="left"/>
    </xf>
    <xf numFmtId="166" fontId="31" fillId="2" borderId="4" xfId="0" applyNumberFormat="1" applyFont="1" applyFill="1" applyBorder="1"/>
    <xf numFmtId="0" fontId="31" fillId="2" borderId="19" xfId="0" applyFont="1" applyFill="1" applyBorder="1" applyAlignment="1">
      <alignment horizontal="center"/>
    </xf>
    <xf numFmtId="0" fontId="31" fillId="2" borderId="19" xfId="0" applyFont="1" applyFill="1" applyBorder="1"/>
    <xf numFmtId="164" fontId="12" fillId="2" borderId="15" xfId="1" applyFont="1" applyFill="1" applyBorder="1"/>
    <xf numFmtId="164" fontId="31" fillId="2" borderId="3" xfId="1" applyFont="1" applyFill="1" applyBorder="1"/>
    <xf numFmtId="164" fontId="32" fillId="2" borderId="3" xfId="1" applyFont="1" applyFill="1" applyBorder="1"/>
    <xf numFmtId="164" fontId="31" fillId="2" borderId="16" xfId="1" applyFont="1" applyFill="1" applyBorder="1"/>
    <xf numFmtId="165" fontId="37" fillId="0" borderId="3" xfId="0" applyNumberFormat="1" applyFont="1" applyBorder="1"/>
    <xf numFmtId="0" fontId="37" fillId="6" borderId="3" xfId="1" applyNumberFormat="1" applyFont="1" applyFill="1" applyBorder="1"/>
    <xf numFmtId="0" fontId="37" fillId="6" borderId="3" xfId="0" applyFont="1" applyFill="1" applyBorder="1"/>
    <xf numFmtId="0" fontId="37" fillId="0" borderId="3" xfId="0" applyFont="1" applyBorder="1" applyAlignment="1">
      <alignment wrapText="1"/>
    </xf>
    <xf numFmtId="0" fontId="37" fillId="0" borderId="3" xfId="0" applyFont="1" applyBorder="1"/>
    <xf numFmtId="0" fontId="37" fillId="0" borderId="3" xfId="0" applyFont="1" applyBorder="1" applyAlignment="1">
      <alignment horizontal="left"/>
    </xf>
    <xf numFmtId="166" fontId="37" fillId="0" borderId="4" xfId="0" applyNumberFormat="1" applyFont="1" applyBorder="1"/>
    <xf numFmtId="0" fontId="37" fillId="0" borderId="19" xfId="0" applyFont="1" applyBorder="1" applyAlignment="1">
      <alignment horizontal="center"/>
    </xf>
    <xf numFmtId="164" fontId="12" fillId="2" borderId="0" xfId="1" applyFont="1" applyFill="1"/>
    <xf numFmtId="165" fontId="35" fillId="2" borderId="3" xfId="0" applyNumberFormat="1" applyFont="1" applyFill="1" applyBorder="1"/>
    <xf numFmtId="0" fontId="3" fillId="2" borderId="3" xfId="0" applyFont="1" applyFill="1" applyBorder="1" applyAlignment="1">
      <alignment horizontal="left"/>
    </xf>
    <xf numFmtId="166" fontId="3" fillId="2" borderId="4" xfId="0" applyNumberFormat="1" applyFont="1" applyFill="1" applyBorder="1"/>
    <xf numFmtId="0" fontId="3" fillId="2" borderId="19" xfId="0" applyFont="1" applyFill="1" applyBorder="1" applyAlignment="1">
      <alignment horizontal="center"/>
    </xf>
    <xf numFmtId="0" fontId="35" fillId="2" borderId="19" xfId="0" applyFont="1" applyFill="1" applyBorder="1"/>
    <xf numFmtId="164" fontId="35" fillId="2" borderId="15" xfId="1" applyFont="1" applyFill="1" applyBorder="1"/>
    <xf numFmtId="164" fontId="35" fillId="2" borderId="3" xfId="1" applyFont="1" applyFill="1" applyBorder="1"/>
    <xf numFmtId="164" fontId="36" fillId="2" borderId="3" xfId="1" applyFont="1" applyFill="1" applyBorder="1"/>
    <xf numFmtId="164" fontId="35" fillId="2" borderId="16" xfId="1" applyFont="1" applyFill="1" applyBorder="1"/>
    <xf numFmtId="164" fontId="35" fillId="2" borderId="0" xfId="1" applyFont="1" applyFill="1"/>
    <xf numFmtId="0" fontId="3" fillId="10" borderId="3" xfId="0" applyFont="1" applyFill="1" applyBorder="1"/>
    <xf numFmtId="0" fontId="3" fillId="10" borderId="3" xfId="0" applyFont="1" applyFill="1" applyBorder="1" applyAlignment="1">
      <alignment horizontal="left"/>
    </xf>
    <xf numFmtId="166" fontId="12" fillId="10" borderId="4" xfId="0" applyNumberFormat="1" applyFont="1" applyFill="1" applyBorder="1"/>
    <xf numFmtId="165" fontId="37" fillId="10" borderId="3" xfId="0" applyNumberFormat="1" applyFont="1" applyFill="1" applyBorder="1"/>
    <xf numFmtId="0" fontId="35" fillId="10" borderId="3" xfId="0" applyFont="1" applyFill="1" applyBorder="1"/>
    <xf numFmtId="0" fontId="12" fillId="10" borderId="3" xfId="0" applyFont="1" applyFill="1" applyBorder="1"/>
    <xf numFmtId="0" fontId="39" fillId="6" borderId="3" xfId="0" applyFont="1" applyFill="1" applyBorder="1"/>
    <xf numFmtId="164" fontId="39" fillId="0" borderId="16" xfId="1" applyFont="1" applyFill="1" applyBorder="1"/>
    <xf numFmtId="164" fontId="39" fillId="0" borderId="0" xfId="1" applyFont="1" applyFill="1"/>
    <xf numFmtId="165" fontId="39" fillId="0" borderId="3" xfId="0" applyNumberFormat="1" applyFont="1" applyBorder="1"/>
    <xf numFmtId="0" fontId="39" fillId="0" borderId="3" xfId="0" applyFont="1" applyBorder="1"/>
    <xf numFmtId="0" fontId="39" fillId="0" borderId="3" xfId="0" applyFont="1" applyBorder="1" applyAlignment="1">
      <alignment horizontal="left"/>
    </xf>
    <xf numFmtId="166" fontId="39" fillId="0" borderId="4" xfId="0" applyNumberFormat="1" applyFont="1" applyBorder="1"/>
    <xf numFmtId="0" fontId="39" fillId="0" borderId="19" xfId="0" applyFont="1" applyBorder="1" applyAlignment="1">
      <alignment horizontal="center"/>
    </xf>
    <xf numFmtId="0" fontId="39" fillId="0" borderId="19" xfId="0" applyFont="1" applyBorder="1"/>
    <xf numFmtId="164" fontId="39" fillId="0" borderId="15" xfId="1" applyFont="1" applyFill="1" applyBorder="1"/>
    <xf numFmtId="164" fontId="39" fillId="0" borderId="3" xfId="1" applyFont="1" applyFill="1" applyBorder="1"/>
    <xf numFmtId="164" fontId="40" fillId="0" borderId="3" xfId="1" applyFont="1" applyFill="1" applyBorder="1"/>
    <xf numFmtId="16" fontId="39" fillId="0" borderId="3" xfId="0" applyNumberFormat="1" applyFont="1" applyBorder="1"/>
    <xf numFmtId="0" fontId="41" fillId="0" borderId="0" xfId="0" applyFont="1"/>
    <xf numFmtId="4" fontId="3" fillId="0" borderId="19" xfId="0" applyNumberFormat="1" applyFont="1" applyBorder="1"/>
    <xf numFmtId="0" fontId="12" fillId="10" borderId="19" xfId="0" applyFont="1" applyFill="1" applyBorder="1" applyAlignment="1">
      <alignment horizontal="center"/>
    </xf>
    <xf numFmtId="164" fontId="42" fillId="0" borderId="15" xfId="1" applyFont="1" applyBorder="1"/>
    <xf numFmtId="166" fontId="3" fillId="0" borderId="19" xfId="0" applyNumberFormat="1" applyFont="1" applyBorder="1"/>
    <xf numFmtId="0" fontId="39" fillId="10" borderId="19" xfId="0" applyFont="1" applyFill="1" applyBorder="1" applyAlignment="1">
      <alignment horizontal="center"/>
    </xf>
    <xf numFmtId="0" fontId="39" fillId="10" borderId="19" xfId="0" applyFont="1" applyFill="1" applyBorder="1"/>
    <xf numFmtId="164" fontId="39" fillId="10" borderId="15" xfId="1" applyFont="1" applyFill="1" applyBorder="1"/>
    <xf numFmtId="0" fontId="12" fillId="0" borderId="19" xfId="0" applyFont="1" applyBorder="1"/>
    <xf numFmtId="164" fontId="12" fillId="10" borderId="15" xfId="1" applyFont="1" applyFill="1" applyBorder="1"/>
    <xf numFmtId="164" fontId="28" fillId="0" borderId="3" xfId="1" applyFont="1" applyFill="1" applyBorder="1"/>
    <xf numFmtId="164" fontId="12" fillId="0" borderId="16" xfId="1" applyFont="1" applyFill="1" applyBorder="1"/>
    <xf numFmtId="164" fontId="12" fillId="0" borderId="0" xfId="1" applyFont="1" applyFill="1"/>
    <xf numFmtId="165" fontId="12" fillId="0" borderId="3" xfId="0" applyNumberFormat="1" applyFont="1" applyBorder="1"/>
    <xf numFmtId="165" fontId="43" fillId="0" borderId="3" xfId="0" applyNumberFormat="1" applyFont="1" applyBorder="1"/>
    <xf numFmtId="0" fontId="43" fillId="6" borderId="3" xfId="0" applyFont="1" applyFill="1" applyBorder="1"/>
    <xf numFmtId="0" fontId="43" fillId="0" borderId="3" xfId="0" applyFont="1" applyBorder="1"/>
    <xf numFmtId="0" fontId="43" fillId="0" borderId="3" xfId="0" applyFont="1" applyBorder="1" applyAlignment="1">
      <alignment horizontal="left"/>
    </xf>
    <xf numFmtId="166" fontId="43" fillId="0" borderId="4" xfId="0" applyNumberFormat="1" applyFont="1" applyBorder="1"/>
    <xf numFmtId="0" fontId="43" fillId="0" borderId="19" xfId="0" applyFont="1" applyBorder="1" applyAlignment="1">
      <alignment horizontal="center"/>
    </xf>
    <xf numFmtId="0" fontId="43" fillId="0" borderId="19" xfId="0" applyFont="1" applyBorder="1"/>
    <xf numFmtId="164" fontId="43" fillId="0" borderId="15" xfId="1" applyFont="1" applyFill="1" applyBorder="1"/>
    <xf numFmtId="164" fontId="43" fillId="0" borderId="3" xfId="1" applyFont="1" applyFill="1" applyBorder="1"/>
    <xf numFmtId="164" fontId="44" fillId="0" borderId="3" xfId="1" applyFont="1" applyFill="1" applyBorder="1"/>
    <xf numFmtId="164" fontId="43" fillId="0" borderId="16" xfId="1" applyFont="1" applyFill="1" applyBorder="1"/>
    <xf numFmtId="164" fontId="43" fillId="0" borderId="0" xfId="1" applyFont="1" applyFill="1"/>
    <xf numFmtId="0" fontId="12" fillId="2" borderId="3" xfId="0" applyFont="1" applyFill="1" applyBorder="1" applyAlignment="1">
      <alignment wrapText="1"/>
    </xf>
    <xf numFmtId="0" fontId="43" fillId="0" borderId="3" xfId="0" applyFont="1" applyBorder="1" applyAlignment="1">
      <alignment wrapText="1"/>
    </xf>
    <xf numFmtId="164" fontId="12" fillId="0" borderId="16" xfId="1" applyFont="1" applyBorder="1"/>
    <xf numFmtId="0" fontId="3" fillId="6" borderId="3" xfId="0" applyFont="1" applyFill="1" applyBorder="1"/>
    <xf numFmtId="164" fontId="3" fillId="0" borderId="16" xfId="1" applyFont="1" applyFill="1" applyBorder="1"/>
    <xf numFmtId="164" fontId="3" fillId="0" borderId="0" xfId="1" applyFont="1" applyFill="1"/>
    <xf numFmtId="165" fontId="45" fillId="0" borderId="3" xfId="0" applyNumberFormat="1" applyFont="1" applyBorder="1"/>
    <xf numFmtId="0" fontId="45" fillId="6" borderId="3" xfId="0" applyFont="1" applyFill="1" applyBorder="1"/>
    <xf numFmtId="0" fontId="45" fillId="0" borderId="3" xfId="0" applyFont="1" applyBorder="1"/>
    <xf numFmtId="0" fontId="45" fillId="0" borderId="3" xfId="0" applyFont="1" applyBorder="1" applyAlignment="1">
      <alignment horizontal="left"/>
    </xf>
    <xf numFmtId="166" fontId="45" fillId="0" borderId="4" xfId="0" applyNumberFormat="1" applyFont="1" applyBorder="1"/>
    <xf numFmtId="0" fontId="45" fillId="0" borderId="19" xfId="0" applyFont="1" applyBorder="1" applyAlignment="1">
      <alignment horizontal="center"/>
    </xf>
    <xf numFmtId="0" fontId="45" fillId="0" borderId="19" xfId="0" applyFont="1" applyBorder="1"/>
    <xf numFmtId="164" fontId="45" fillId="0" borderId="15" xfId="1" applyFont="1" applyFill="1" applyBorder="1"/>
    <xf numFmtId="164" fontId="45" fillId="0" borderId="3" xfId="1" applyFont="1" applyFill="1" applyBorder="1"/>
    <xf numFmtId="164" fontId="46" fillId="0" borderId="3" xfId="1" applyFont="1" applyFill="1" applyBorder="1"/>
    <xf numFmtId="164" fontId="45" fillId="0" borderId="16" xfId="1" applyFont="1" applyFill="1" applyBorder="1"/>
    <xf numFmtId="164" fontId="45" fillId="0" borderId="0" xfId="1" applyFont="1" applyFill="1"/>
    <xf numFmtId="43" fontId="3" fillId="0" borderId="3" xfId="0" applyNumberFormat="1" applyFont="1" applyBorder="1"/>
    <xf numFmtId="0" fontId="3" fillId="0" borderId="3" xfId="181" applyFont="1"/>
    <xf numFmtId="0" fontId="3" fillId="0" borderId="19" xfId="181" applyFont="1" applyBorder="1"/>
    <xf numFmtId="0" fontId="12" fillId="0" borderId="3" xfId="181" applyFont="1"/>
    <xf numFmtId="0" fontId="12" fillId="0" borderId="3" xfId="181" applyFont="1" applyAlignment="1">
      <alignment horizontal="left"/>
    </xf>
    <xf numFmtId="0" fontId="3" fillId="0" borderId="19" xfId="181" applyFont="1" applyBorder="1" applyAlignment="1">
      <alignment horizontal="center"/>
    </xf>
    <xf numFmtId="166" fontId="12" fillId="0" borderId="4" xfId="181" applyNumberFormat="1" applyFont="1" applyBorder="1"/>
    <xf numFmtId="0" fontId="3" fillId="0" borderId="3" xfId="187" applyFont="1"/>
    <xf numFmtId="0" fontId="3" fillId="0" borderId="19" xfId="187" applyFont="1" applyBorder="1"/>
    <xf numFmtId="0" fontId="12" fillId="0" borderId="3" xfId="187" applyFont="1"/>
    <xf numFmtId="0" fontId="12" fillId="0" borderId="3" xfId="187" applyFont="1" applyAlignment="1">
      <alignment horizontal="left"/>
    </xf>
    <xf numFmtId="43" fontId="3" fillId="0" borderId="15" xfId="178" applyFont="1" applyFill="1" applyBorder="1"/>
    <xf numFmtId="0" fontId="3" fillId="0" borderId="19" xfId="187" applyFont="1" applyBorder="1" applyAlignment="1">
      <alignment horizontal="center"/>
    </xf>
    <xf numFmtId="166" fontId="3" fillId="0" borderId="4" xfId="187" applyNumberFormat="1" applyFont="1" applyBorder="1"/>
    <xf numFmtId="165" fontId="45" fillId="0" borderId="0" xfId="0" applyNumberFormat="1" applyFont="1"/>
    <xf numFmtId="0" fontId="45" fillId="6" borderId="0" xfId="0" applyFont="1" applyFill="1"/>
    <xf numFmtId="0" fontId="3" fillId="0" borderId="0" xfId="0" applyFont="1" applyAlignment="1">
      <alignment horizontal="left"/>
    </xf>
    <xf numFmtId="165" fontId="47" fillId="0" borderId="3" xfId="0" applyNumberFormat="1" applyFont="1" applyBorder="1"/>
    <xf numFmtId="0" fontId="47" fillId="6" borderId="3" xfId="0" applyFont="1" applyFill="1" applyBorder="1"/>
    <xf numFmtId="0" fontId="47" fillId="0" borderId="3" xfId="0" applyFont="1" applyBorder="1"/>
    <xf numFmtId="0" fontId="47" fillId="0" borderId="3" xfId="0" applyFont="1" applyBorder="1" applyAlignment="1">
      <alignment horizontal="left"/>
    </xf>
    <xf numFmtId="166" fontId="47" fillId="0" borderId="4" xfId="0" applyNumberFormat="1" applyFont="1" applyBorder="1"/>
    <xf numFmtId="0" fontId="47" fillId="0" borderId="19" xfId="0" applyFont="1" applyBorder="1" applyAlignment="1">
      <alignment horizontal="center"/>
    </xf>
    <xf numFmtId="0" fontId="47" fillId="0" borderId="19" xfId="0" applyFont="1" applyBorder="1"/>
    <xf numFmtId="164" fontId="47" fillId="0" borderId="15" xfId="1" applyFont="1" applyFill="1" applyBorder="1"/>
    <xf numFmtId="164" fontId="47" fillId="0" borderId="3" xfId="1" applyFont="1" applyFill="1" applyBorder="1"/>
    <xf numFmtId="164" fontId="48" fillId="0" borderId="3" xfId="1" applyFont="1" applyFill="1" applyBorder="1"/>
    <xf numFmtId="164" fontId="47" fillId="0" borderId="16" xfId="1" applyFont="1" applyFill="1" applyBorder="1"/>
    <xf numFmtId="164" fontId="47" fillId="0" borderId="0" xfId="1" applyFont="1" applyFill="1"/>
    <xf numFmtId="0" fontId="3" fillId="0" borderId="0" xfId="0" applyFont="1" applyBorder="1"/>
    <xf numFmtId="0" fontId="3" fillId="0" borderId="0" xfId="0" applyFont="1" applyBorder="1" applyAlignment="1">
      <alignment horizontal="left"/>
    </xf>
    <xf numFmtId="164" fontId="12" fillId="0" borderId="0" xfId="1" applyFont="1" applyFill="1" applyBorder="1"/>
    <xf numFmtId="165" fontId="45" fillId="0" borderId="0" xfId="0" applyNumberFormat="1" applyFont="1" applyBorder="1"/>
    <xf numFmtId="0" fontId="45" fillId="6" borderId="0" xfId="0" applyFont="1" applyFill="1" applyBorder="1"/>
    <xf numFmtId="0" fontId="12" fillId="0" borderId="0" xfId="0" applyFont="1" applyBorder="1"/>
    <xf numFmtId="0" fontId="7" fillId="0" borderId="0" xfId="0" applyFont="1" applyBorder="1"/>
    <xf numFmtId="0" fontId="12" fillId="0" borderId="0" xfId="0" applyFont="1" applyBorder="1" applyAlignment="1">
      <alignment horizontal="left"/>
    </xf>
    <xf numFmtId="0" fontId="15" fillId="0" borderId="0" xfId="0" applyFont="1" applyBorder="1" applyAlignment="1">
      <alignment horizontal="left"/>
    </xf>
    <xf numFmtId="164" fontId="47" fillId="0" borderId="0" xfId="1" applyFont="1" applyFill="1" applyBorder="1"/>
    <xf numFmtId="165" fontId="49" fillId="0" borderId="3" xfId="0" applyNumberFormat="1" applyFont="1" applyBorder="1"/>
    <xf numFmtId="0" fontId="49" fillId="6" borderId="3" xfId="1" applyNumberFormat="1" applyFont="1" applyFill="1" applyBorder="1"/>
    <xf numFmtId="0" fontId="49" fillId="6" borderId="3" xfId="0" applyNumberFormat="1" applyFont="1" applyFill="1" applyBorder="1"/>
    <xf numFmtId="0" fontId="49" fillId="0" borderId="19" xfId="0" applyFont="1" applyFill="1" applyBorder="1"/>
    <xf numFmtId="164" fontId="49" fillId="0" borderId="15" xfId="1" applyNumberFormat="1" applyFont="1" applyFill="1" applyBorder="1"/>
    <xf numFmtId="164" fontId="49" fillId="0" borderId="3" xfId="1" applyFont="1" applyFill="1" applyBorder="1"/>
    <xf numFmtId="164" fontId="49" fillId="0" borderId="3" xfId="1" applyNumberFormat="1" applyFont="1" applyFill="1" applyBorder="1"/>
    <xf numFmtId="164" fontId="50" fillId="0" borderId="3" xfId="1" applyNumberFormat="1" applyFont="1" applyFill="1" applyBorder="1"/>
    <xf numFmtId="164" fontId="50" fillId="0" borderId="3" xfId="1" applyFont="1" applyFill="1" applyBorder="1"/>
    <xf numFmtId="164" fontId="49" fillId="0" borderId="16" xfId="1" applyFont="1" applyFill="1" applyBorder="1"/>
    <xf numFmtId="164" fontId="49" fillId="0" borderId="0" xfId="1" applyNumberFormat="1" applyFont="1" applyFill="1"/>
    <xf numFmtId="0" fontId="49" fillId="0" borderId="3" xfId="0" applyFont="1" applyBorder="1"/>
    <xf numFmtId="0" fontId="49" fillId="0" borderId="3" xfId="0" applyFont="1" applyFill="1" applyBorder="1"/>
    <xf numFmtId="0" fontId="49" fillId="0" borderId="3" xfId="0" applyFont="1" applyFill="1" applyBorder="1" applyAlignment="1">
      <alignment horizontal="left"/>
    </xf>
    <xf numFmtId="166" fontId="49" fillId="0" borderId="4" xfId="0" applyNumberFormat="1" applyFont="1" applyFill="1" applyBorder="1"/>
    <xf numFmtId="0" fontId="49" fillId="0" borderId="19" xfId="0" applyFont="1" applyBorder="1" applyAlignment="1">
      <alignment horizontal="center"/>
    </xf>
    <xf numFmtId="0" fontId="31" fillId="0" borderId="0" xfId="0" applyFont="1" applyBorder="1"/>
    <xf numFmtId="0" fontId="47" fillId="0" borderId="0" xfId="0" applyFont="1" applyBorder="1" applyAlignment="1">
      <alignment horizontal="left"/>
    </xf>
    <xf numFmtId="0" fontId="49" fillId="0" borderId="3" xfId="0" applyFont="1" applyBorder="1" applyAlignment="1">
      <alignment wrapText="1"/>
    </xf>
    <xf numFmtId="0" fontId="3" fillId="6" borderId="3" xfId="1" applyNumberFormat="1" applyFont="1" applyFill="1" applyBorder="1"/>
    <xf numFmtId="0" fontId="3" fillId="6" borderId="3" xfId="0" applyNumberFormat="1" applyFont="1" applyFill="1" applyBorder="1"/>
    <xf numFmtId="0" fontId="3" fillId="0" borderId="3" xfId="0" applyFont="1" applyFill="1" applyBorder="1"/>
    <xf numFmtId="0" fontId="3" fillId="0" borderId="3" xfId="0" applyFont="1" applyFill="1" applyBorder="1" applyAlignment="1">
      <alignment horizontal="left"/>
    </xf>
    <xf numFmtId="166" fontId="3" fillId="0" borderId="4" xfId="0" applyNumberFormat="1" applyFont="1" applyFill="1" applyBorder="1"/>
    <xf numFmtId="0" fontId="3" fillId="0" borderId="19" xfId="0" applyFont="1" applyFill="1" applyBorder="1"/>
    <xf numFmtId="164" fontId="3" fillId="0" borderId="15" xfId="1" applyNumberFormat="1" applyFont="1" applyFill="1" applyBorder="1"/>
    <xf numFmtId="164" fontId="3" fillId="0" borderId="3" xfId="1" applyNumberFormat="1" applyFont="1" applyFill="1" applyBorder="1"/>
    <xf numFmtId="164" fontId="7" fillId="0" borderId="3" xfId="1" applyNumberFormat="1" applyFont="1" applyFill="1" applyBorder="1"/>
    <xf numFmtId="164" fontId="3" fillId="0" borderId="0" xfId="1" applyNumberFormat="1" applyFont="1" applyFill="1"/>
    <xf numFmtId="0" fontId="45" fillId="0" borderId="0" xfId="0" applyFont="1" applyBorder="1"/>
    <xf numFmtId="0" fontId="29" fillId="0" borderId="0" xfId="0" applyFont="1" applyBorder="1"/>
    <xf numFmtId="0" fontId="45" fillId="0" borderId="0" xfId="0" applyFont="1" applyBorder="1" applyAlignment="1">
      <alignment horizontal="left"/>
    </xf>
    <xf numFmtId="0" fontId="4" fillId="0" borderId="3" xfId="0" applyFont="1" applyFill="1" applyBorder="1"/>
    <xf numFmtId="0" fontId="0" fillId="0" borderId="3" xfId="0" applyFill="1" applyBorder="1"/>
    <xf numFmtId="0" fontId="9" fillId="0" borderId="3" xfId="0" applyFont="1" applyFill="1" applyBorder="1"/>
    <xf numFmtId="0" fontId="17" fillId="3" borderId="13" xfId="0" applyFont="1" applyFill="1" applyBorder="1" applyAlignment="1">
      <alignment horizontal="center"/>
    </xf>
    <xf numFmtId="0" fontId="17" fillId="3" borderId="14" xfId="0" applyFont="1" applyFill="1" applyBorder="1" applyAlignment="1">
      <alignment horizontal="center"/>
    </xf>
  </cellXfs>
  <cellStyles count="188">
    <cellStyle name="Comma" xfId="1" builtinId="3"/>
    <cellStyle name="Comma 2" xfId="178" xr:uid="{41533510-24E6-46D5-850E-CBEAF9A23097}"/>
    <cellStyle name="Comma 2 2" xfId="183" xr:uid="{D3E900F8-3426-4417-98B4-7050BB1CE393}"/>
    <cellStyle name="Followed Hyperlink" xfId="70" builtinId="9" hidden="1"/>
    <cellStyle name="Followed Hyperlink" xfId="74" builtinId="9" hidden="1"/>
    <cellStyle name="Followed Hyperlink" xfId="78" builtinId="9" hidden="1"/>
    <cellStyle name="Followed Hyperlink" xfId="82" builtinId="9" hidden="1"/>
    <cellStyle name="Followed Hyperlink" xfId="86" builtinId="9" hidden="1"/>
    <cellStyle name="Followed Hyperlink" xfId="90" builtinId="9" hidden="1"/>
    <cellStyle name="Followed Hyperlink" xfId="94" builtinId="9" hidden="1"/>
    <cellStyle name="Followed Hyperlink" xfId="98" builtinId="9" hidden="1"/>
    <cellStyle name="Followed Hyperlink" xfId="102" builtinId="9" hidden="1"/>
    <cellStyle name="Followed Hyperlink" xfId="106" builtinId="9" hidden="1"/>
    <cellStyle name="Followed Hyperlink" xfId="110" builtinId="9" hidden="1"/>
    <cellStyle name="Followed Hyperlink" xfId="114" builtinId="9" hidden="1"/>
    <cellStyle name="Followed Hyperlink" xfId="118" builtinId="9" hidden="1"/>
    <cellStyle name="Followed Hyperlink" xfId="122" builtinId="9" hidden="1"/>
    <cellStyle name="Followed Hyperlink" xfId="126" builtinId="9" hidden="1"/>
    <cellStyle name="Followed Hyperlink" xfId="130" builtinId="9" hidden="1"/>
    <cellStyle name="Followed Hyperlink" xfId="134" builtinId="9" hidden="1"/>
    <cellStyle name="Followed Hyperlink" xfId="138" builtinId="9" hidden="1"/>
    <cellStyle name="Followed Hyperlink" xfId="142" builtinId="9" hidden="1"/>
    <cellStyle name="Followed Hyperlink" xfId="146" builtinId="9" hidden="1"/>
    <cellStyle name="Followed Hyperlink" xfId="150" builtinId="9" hidden="1"/>
    <cellStyle name="Followed Hyperlink" xfId="154" builtinId="9" hidden="1"/>
    <cellStyle name="Followed Hyperlink" xfId="158" builtinId="9" hidden="1"/>
    <cellStyle name="Followed Hyperlink" xfId="162" builtinId="9" hidden="1"/>
    <cellStyle name="Followed Hyperlink" xfId="166" builtinId="9" hidden="1"/>
    <cellStyle name="Followed Hyperlink" xfId="170" builtinId="9" hidden="1"/>
    <cellStyle name="Followed Hyperlink" xfId="174" builtinId="9" hidden="1"/>
    <cellStyle name="Followed Hyperlink" xfId="176" builtinId="9" hidden="1"/>
    <cellStyle name="Followed Hyperlink" xfId="172" builtinId="9" hidden="1"/>
    <cellStyle name="Followed Hyperlink" xfId="168" builtinId="9" hidden="1"/>
    <cellStyle name="Followed Hyperlink" xfId="164" builtinId="9" hidden="1"/>
    <cellStyle name="Followed Hyperlink" xfId="160" builtinId="9" hidden="1"/>
    <cellStyle name="Followed Hyperlink" xfId="156" builtinId="9" hidden="1"/>
    <cellStyle name="Followed Hyperlink" xfId="152" builtinId="9" hidden="1"/>
    <cellStyle name="Followed Hyperlink" xfId="148" builtinId="9" hidden="1"/>
    <cellStyle name="Followed Hyperlink" xfId="144" builtinId="9" hidden="1"/>
    <cellStyle name="Followed Hyperlink" xfId="140" builtinId="9" hidden="1"/>
    <cellStyle name="Followed Hyperlink" xfId="136" builtinId="9" hidden="1"/>
    <cellStyle name="Followed Hyperlink" xfId="132" builtinId="9" hidden="1"/>
    <cellStyle name="Followed Hyperlink" xfId="128" builtinId="9" hidden="1"/>
    <cellStyle name="Followed Hyperlink" xfId="124" builtinId="9" hidden="1"/>
    <cellStyle name="Followed Hyperlink" xfId="120" builtinId="9" hidden="1"/>
    <cellStyle name="Followed Hyperlink" xfId="116" builtinId="9" hidden="1"/>
    <cellStyle name="Followed Hyperlink" xfId="112" builtinId="9" hidden="1"/>
    <cellStyle name="Followed Hyperlink" xfId="108" builtinId="9" hidden="1"/>
    <cellStyle name="Followed Hyperlink" xfId="104" builtinId="9" hidden="1"/>
    <cellStyle name="Followed Hyperlink" xfId="100" builtinId="9" hidden="1"/>
    <cellStyle name="Followed Hyperlink" xfId="96" builtinId="9" hidden="1"/>
    <cellStyle name="Followed Hyperlink" xfId="92" builtinId="9" hidden="1"/>
    <cellStyle name="Followed Hyperlink" xfId="88" builtinId="9" hidden="1"/>
    <cellStyle name="Followed Hyperlink" xfId="84" builtinId="9" hidden="1"/>
    <cellStyle name="Followed Hyperlink" xfId="80" builtinId="9" hidden="1"/>
    <cellStyle name="Followed Hyperlink" xfId="76" builtinId="9" hidden="1"/>
    <cellStyle name="Followed Hyperlink" xfId="72" builtinId="9" hidden="1"/>
    <cellStyle name="Followed Hyperlink" xfId="68"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6" builtinId="9" hidden="1"/>
    <cellStyle name="Followed Hyperlink" xfId="50" builtinId="9" hidden="1"/>
    <cellStyle name="Followed Hyperlink" xfId="52" builtinId="9" hidden="1"/>
    <cellStyle name="Followed Hyperlink" xfId="54" builtinId="9" hidden="1"/>
    <cellStyle name="Followed Hyperlink" xfId="58" builtinId="9" hidden="1"/>
    <cellStyle name="Followed Hyperlink" xfId="60" builtinId="9" hidden="1"/>
    <cellStyle name="Followed Hyperlink" xfId="62" builtinId="9" hidden="1"/>
    <cellStyle name="Followed Hyperlink" xfId="66" builtinId="9" hidden="1"/>
    <cellStyle name="Followed Hyperlink" xfId="64" builtinId="9" hidden="1"/>
    <cellStyle name="Followed Hyperlink" xfId="56" builtinId="9" hidden="1"/>
    <cellStyle name="Followed Hyperlink" xfId="48" builtinId="9" hidden="1"/>
    <cellStyle name="Followed Hyperlink" xfId="39" builtinId="9" hidden="1"/>
    <cellStyle name="Followed Hyperlink" xfId="31" builtinId="9" hidden="1"/>
    <cellStyle name="Followed Hyperlink" xfId="23" builtinId="9" hidden="1"/>
    <cellStyle name="Followed Hyperlink" xfId="11" builtinId="9" hidden="1"/>
    <cellStyle name="Followed Hyperlink" xfId="13"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3" builtinId="9" hidden="1"/>
    <cellStyle name="Hyperlink" xfId="85" builtinId="8" hidden="1"/>
    <cellStyle name="Hyperlink" xfId="89" builtinId="8" hidden="1"/>
    <cellStyle name="Hyperlink" xfId="91" builtinId="8" hidden="1"/>
    <cellStyle name="Hyperlink" xfId="93" builtinId="8" hidden="1"/>
    <cellStyle name="Hyperlink" xfId="97" builtinId="8" hidden="1"/>
    <cellStyle name="Hyperlink" xfId="99" builtinId="8" hidden="1"/>
    <cellStyle name="Hyperlink" xfId="101" builtinId="8" hidden="1"/>
    <cellStyle name="Hyperlink" xfId="105" builtinId="8" hidden="1"/>
    <cellStyle name="Hyperlink" xfId="107" builtinId="8" hidden="1"/>
    <cellStyle name="Hyperlink" xfId="109" builtinId="8" hidden="1"/>
    <cellStyle name="Hyperlink" xfId="113" builtinId="8" hidden="1"/>
    <cellStyle name="Hyperlink" xfId="115" builtinId="8" hidden="1"/>
    <cellStyle name="Hyperlink" xfId="117" builtinId="8" hidden="1"/>
    <cellStyle name="Hyperlink" xfId="121" builtinId="8" hidden="1"/>
    <cellStyle name="Hyperlink" xfId="123" builtinId="8" hidden="1"/>
    <cellStyle name="Hyperlink" xfId="125" builtinId="8" hidden="1"/>
    <cellStyle name="Hyperlink" xfId="129" builtinId="8" hidden="1"/>
    <cellStyle name="Hyperlink" xfId="131" builtinId="8" hidden="1"/>
    <cellStyle name="Hyperlink" xfId="133" builtinId="8" hidden="1"/>
    <cellStyle name="Hyperlink" xfId="137" builtinId="8" hidden="1"/>
    <cellStyle name="Hyperlink" xfId="139" builtinId="8" hidden="1"/>
    <cellStyle name="Hyperlink" xfId="141" builtinId="8" hidden="1"/>
    <cellStyle name="Hyperlink" xfId="145" builtinId="8" hidden="1"/>
    <cellStyle name="Hyperlink" xfId="147" builtinId="8" hidden="1"/>
    <cellStyle name="Hyperlink" xfId="149" builtinId="8" hidden="1"/>
    <cellStyle name="Hyperlink" xfId="153" builtinId="8" hidden="1"/>
    <cellStyle name="Hyperlink" xfId="155" builtinId="8" hidden="1"/>
    <cellStyle name="Hyperlink" xfId="157" builtinId="8" hidden="1"/>
    <cellStyle name="Hyperlink" xfId="161" builtinId="8" hidden="1"/>
    <cellStyle name="Hyperlink" xfId="163" builtinId="8" hidden="1"/>
    <cellStyle name="Hyperlink" xfId="165" builtinId="8" hidden="1"/>
    <cellStyle name="Hyperlink" xfId="169" builtinId="8" hidden="1"/>
    <cellStyle name="Hyperlink" xfId="171" builtinId="8" hidden="1"/>
    <cellStyle name="Hyperlink" xfId="173" builtinId="8" hidden="1"/>
    <cellStyle name="Hyperlink" xfId="175" builtinId="8" hidden="1"/>
    <cellStyle name="Hyperlink" xfId="167" builtinId="8" hidden="1"/>
    <cellStyle name="Hyperlink" xfId="159" builtinId="8" hidden="1"/>
    <cellStyle name="Hyperlink" xfId="151" builtinId="8" hidden="1"/>
    <cellStyle name="Hyperlink" xfId="143" builtinId="8" hidden="1"/>
    <cellStyle name="Hyperlink" xfId="135" builtinId="8" hidden="1"/>
    <cellStyle name="Hyperlink" xfId="127" builtinId="8" hidden="1"/>
    <cellStyle name="Hyperlink" xfId="119" builtinId="8" hidden="1"/>
    <cellStyle name="Hyperlink" xfId="111" builtinId="8" hidden="1"/>
    <cellStyle name="Hyperlink" xfId="103" builtinId="8" hidden="1"/>
    <cellStyle name="Hyperlink" xfId="95" builtinId="8" hidden="1"/>
    <cellStyle name="Hyperlink" xfId="87" builtinId="8" hidden="1"/>
    <cellStyle name="Hyperlink" xfId="36" builtinId="8" hidden="1"/>
    <cellStyle name="Hyperlink" xfId="40" builtinId="8" hidden="1"/>
    <cellStyle name="Hyperlink" xfId="42"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71" builtinId="8" hidden="1"/>
    <cellStyle name="Hyperlink" xfId="55" builtinId="8" hidden="1"/>
    <cellStyle name="Hyperlink" xfId="38"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10" builtinId="8" hidden="1"/>
    <cellStyle name="Hyperlink" xfId="12" builtinId="8" hidden="1"/>
    <cellStyle name="Hyperlink" xfId="14" builtinId="8" hidden="1"/>
    <cellStyle name="Hyperlink" xfId="16" builtinId="8" hidden="1"/>
    <cellStyle name="Hyperlink" xfId="4" builtinId="8" hidden="1"/>
    <cellStyle name="Hyperlink" xfId="8" builtinId="8" hidden="1"/>
    <cellStyle name="Hyperlink" xfId="6" builtinId="8" hidden="1"/>
    <cellStyle name="Hyperlink" xfId="2" builtinId="8" hidden="1"/>
    <cellStyle name="Normal" xfId="0" builtinId="0"/>
    <cellStyle name="Normal 2" xfId="177" xr:uid="{2F5D4B30-7A88-4CB3-83F3-0A6DAE864294}"/>
    <cellStyle name="Normal 3" xfId="180" xr:uid="{7493A2EA-FCB3-4370-91D3-DA351F4D4EB5}"/>
    <cellStyle name="Normal 4" xfId="181" xr:uid="{F37A8C9D-E25B-4E68-BAD1-5057F7122339}"/>
    <cellStyle name="Normal 5" xfId="182" xr:uid="{AD503C5A-2E30-4C5D-8711-CE6290068066}"/>
    <cellStyle name="Normal 6" xfId="184" xr:uid="{6C93A736-D6F9-477D-80AF-939D135244EC}"/>
    <cellStyle name="Normal 7" xfId="185" xr:uid="{BA2A04AD-B2ED-48DF-ACAF-E0A0E1EB8EC8}"/>
    <cellStyle name="Normal 8" xfId="186" xr:uid="{CF35C42E-34FA-4CFA-A0A1-F9079B949900}"/>
    <cellStyle name="Normal 9" xfId="187" xr:uid="{5E541EB7-DE45-497D-AAB2-CA6472CD70F3}"/>
    <cellStyle name="Percent" xfId="44" builtinId="5"/>
    <cellStyle name="Percent 2" xfId="179" xr:uid="{51763669-D9C0-4556-8E9C-5797946DD128}"/>
  </cellStyles>
  <dxfs count="8120">
    <dxf>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2"/>
        <color theme="1"/>
        <name val="Century Gothic"/>
        <family val="2"/>
        <scheme val="none"/>
      </font>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2"/>
        <color theme="1"/>
        <name val="Century Gothic"/>
        <family val="2"/>
        <scheme val="none"/>
      </font>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style="medium">
          <color auto="1"/>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numFmt numFmtId="164" formatCode="_(* #,##0.00_);_(* \(#,##0.00\);_(* &quot;-&quot;??_);_(@_)"/>
      <fill>
        <patternFill patternType="solid">
          <fgColor indexed="64"/>
          <bgColor theme="9" tint="0.59999389629810485"/>
        </patternFill>
      </fill>
      <border diagonalUp="0" diagonalDown="0" outline="0">
        <left/>
        <right style="medium">
          <color auto="1"/>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style="thin">
          <color indexed="64"/>
        </left>
        <right style="thin">
          <color auto="1"/>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alignment horizontal="left" vertical="bottom" textRotation="0" wrapText="0" indent="0" justifyLastLine="0" shrinkToFit="0" readingOrder="0"/>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val="0"/>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border diagonalUp="0" diagonalDown="0" outline="0">
        <left/>
        <right/>
        <top/>
        <bottom style="thin">
          <color auto="1"/>
        </bottom>
      </border>
    </dxf>
    <dxf>
      <font>
        <strike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fill>
        <patternFill patternType="none">
          <fgColor indexed="64"/>
          <bgColor indexed="65"/>
        </patternFill>
      </fill>
    </dxf>
    <dxf>
      <border>
        <bottom style="thin">
          <color indexed="64"/>
        </bottom>
        <vertical/>
        <horizontal/>
      </border>
    </dxf>
    <dxf>
      <font>
        <b/>
        <i val="0"/>
        <strike val="0"/>
        <condense val="0"/>
        <extend val="0"/>
        <outline val="0"/>
        <shadow val="0"/>
        <u val="none"/>
        <vertAlign val="baseline"/>
        <sz val="12"/>
        <color theme="1"/>
        <name val="Century Gothic"/>
        <scheme val="none"/>
      </font>
      <fill>
        <patternFill patternType="solid">
          <fgColor indexed="64"/>
          <bgColor theme="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7" formatCode="_(* #,##0_);_(* \(#,##0\);_(* &quot;-&quot;??_);_(@_)"/>
    </dxf>
    <dxf>
      <numFmt numFmtId="167" formatCode="_(* #,##0_);_(* \(#,##0\);_(* &quot;-&quot;??_);_(@_)"/>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scheme val="none"/>
      </font>
      <numFmt numFmtId="164" formatCode="_(* #,##0.00_);_(* \(#,##0.00\);_(* &quot;-&quot;??_);_(@_)"/>
    </dxf>
    <dxf>
      <font>
        <b/>
        <i val="0"/>
        <strike val="0"/>
        <condense val="0"/>
        <extend val="0"/>
        <outline val="0"/>
        <shadow val="0"/>
        <u val="none"/>
        <vertAlign val="baseline"/>
        <sz val="12"/>
        <color theme="8" tint="-0.499984740745262"/>
        <name val="Century Gothic"/>
        <scheme val="none"/>
      </font>
      <numFmt numFmtId="164" formatCode="_(* #,##0.00_);_(* \(#,##0.00\);_(* &quot;-&quot;??_);_(@_)"/>
      <fill>
        <patternFill patternType="solid">
          <fgColor indexed="64"/>
          <bgColor theme="8" tint="0.59999389629810485"/>
        </patternFill>
      </fill>
    </dxf>
    <dxf>
      <font>
        <b/>
        <strike val="0"/>
        <outline val="0"/>
        <shadow val="0"/>
        <u val="none"/>
        <vertAlign val="baseline"/>
        <sz val="12"/>
        <color theme="8" tint="-0.499984740745262"/>
        <name val="Century Gothic"/>
        <scheme val="none"/>
      </font>
      <numFmt numFmtId="164" formatCode="_(* #,##0.00_);_(* \(#,##0.00\);_(* &quot;-&quot;??_);_(@_)"/>
      <fill>
        <patternFill patternType="solid">
          <fgColor indexed="64"/>
          <bgColor theme="8" tint="0.59999389629810485"/>
        </patternFill>
      </fill>
    </dxf>
    <dxf>
      <font>
        <b val="0"/>
        <i val="0"/>
        <strike val="0"/>
        <condense val="0"/>
        <extend val="0"/>
        <outline val="0"/>
        <shadow val="0"/>
        <u val="none"/>
        <vertAlign val="baseline"/>
        <sz val="12"/>
        <color theme="1"/>
        <name val="Century Gothic"/>
        <scheme val="none"/>
      </font>
      <border diagonalUp="0" diagonalDown="0">
        <left/>
        <right style="medium">
          <color indexed="64"/>
        </right>
        <vertical/>
      </border>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numFmt numFmtId="164" formatCode="_(* #,##0.00_);_(* \(#,##0.00\);_(* &quot;-&quot;??_);_(@_)"/>
    </dxf>
    <dxf>
      <font>
        <b val="0"/>
        <i val="0"/>
        <strike val="0"/>
        <condense val="0"/>
        <extend val="0"/>
        <outline val="0"/>
        <shadow val="0"/>
        <u val="none"/>
        <vertAlign val="baseline"/>
        <sz val="12"/>
        <color auto="1"/>
        <name val="Century Gothic"/>
        <scheme val="none"/>
      </font>
      <fill>
        <patternFill patternType="none">
          <fgColor indexed="64"/>
          <bgColor indexed="65"/>
        </patternFill>
      </fill>
    </dxf>
    <dxf>
      <font>
        <b val="0"/>
        <i val="0"/>
        <strike val="0"/>
        <condense val="0"/>
        <extend val="0"/>
        <outline val="0"/>
        <shadow val="0"/>
        <u val="none"/>
        <vertAlign val="baseline"/>
        <sz val="12"/>
        <color auto="1"/>
        <name val="Century Gothic"/>
        <scheme val="none"/>
      </font>
      <numFmt numFmtId="164" formatCode="_(* #,##0.00_);_(* \(#,##0.00\);_(* &quot;-&quot;??_);_(@_)"/>
      <fill>
        <patternFill patternType="none">
          <fgColor indexed="64"/>
          <bgColor indexed="65"/>
        </patternFill>
      </fill>
    </dxf>
    <dxf>
      <font>
        <b val="0"/>
        <i val="0"/>
        <strike val="0"/>
        <condense val="0"/>
        <extend val="0"/>
        <outline val="0"/>
        <shadow val="0"/>
        <u val="none"/>
        <vertAlign val="baseline"/>
        <sz val="12"/>
        <color theme="1"/>
        <name val="Century Gothic"/>
        <scheme val="none"/>
      </font>
      <numFmt numFmtId="164" formatCode="_(* #,##0.00_);_(* \(#,##0.00\);_(* &quot;-&quot;??_);_(@_)"/>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numFmt numFmtId="164" formatCode="_(* #,##0.00_);_(* \(#,##0.00\);_(* &quot;-&quot;??_);_(@_)"/>
      <border diagonalUp="0" diagonalDown="0">
        <left style="medium">
          <color indexed="64"/>
        </left>
        <right/>
        <top/>
        <bottom/>
        <vertical/>
        <horizontal/>
      </border>
    </dxf>
    <dxf>
      <font>
        <b val="0"/>
        <i val="0"/>
        <strike val="0"/>
        <condense val="0"/>
        <extend val="0"/>
        <outline val="0"/>
        <shadow val="0"/>
        <u val="none"/>
        <vertAlign val="baseline"/>
        <sz val="12"/>
        <color theme="1"/>
        <name val="Century Gothic"/>
        <scheme val="none"/>
      </font>
      <fill>
        <patternFill patternType="none">
          <fgColor indexed="64"/>
          <bgColor auto="1"/>
        </patternFill>
      </fill>
      <border diagonalUp="0" diagonalDown="0">
        <left style="thin">
          <color indexed="64"/>
        </left>
        <right style="thin">
          <color indexed="64"/>
        </right>
        <top/>
        <bottom/>
        <horizontal/>
      </border>
    </dxf>
    <dxf>
      <font>
        <b val="0"/>
        <i val="0"/>
        <strike val="0"/>
        <condense val="0"/>
        <extend val="0"/>
        <outline val="0"/>
        <shadow val="0"/>
        <u val="none"/>
        <vertAlign val="baseline"/>
        <sz val="12"/>
        <color theme="1"/>
        <name val="Century Gothic"/>
        <scheme val="none"/>
      </font>
      <border diagonalUp="0" diagonalDown="0">
        <left style="thin">
          <color indexed="64"/>
        </left>
        <right style="thin">
          <color auto="1"/>
        </right>
        <top/>
        <bottom/>
        <vertical/>
        <horizontal/>
      </border>
    </dxf>
    <dxf>
      <font>
        <b val="0"/>
        <i val="0"/>
        <strike val="0"/>
        <condense val="0"/>
        <extend val="0"/>
        <outline val="0"/>
        <shadow val="0"/>
        <u val="none"/>
        <vertAlign val="baseline"/>
        <sz val="12"/>
        <color theme="1"/>
        <name val="Century Gothic"/>
        <scheme val="none"/>
      </font>
      <numFmt numFmtId="166" formatCode="0.0"/>
      <fill>
        <patternFill patternType="none">
          <fgColor indexed="64"/>
          <bgColor indexed="65"/>
        </patternFill>
      </fill>
      <border diagonalUp="0" diagonalDown="0" outline="0">
        <left/>
        <right style="thin">
          <color auto="1"/>
        </right>
        <top/>
        <bottom/>
      </border>
    </dxf>
    <dxf>
      <font>
        <b val="0"/>
        <i val="0"/>
        <strike val="0"/>
        <condense val="0"/>
        <extend val="0"/>
        <outline val="0"/>
        <shadow val="0"/>
        <u val="none"/>
        <vertAlign val="baseline"/>
        <sz val="12"/>
        <color theme="1"/>
        <name val="Century Gothic"/>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fill>
        <patternFill patternType="none">
          <fgColor indexed="64"/>
          <bgColor indexed="65"/>
        </patternFill>
      </fill>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numFmt numFmtId="0" formatCode="General"/>
      <fill>
        <patternFill patternType="solid">
          <fgColor indexed="64"/>
          <bgColor theme="8" tint="0.59999389629810485"/>
        </patternFill>
      </fill>
    </dxf>
    <dxf>
      <font>
        <b val="0"/>
        <i val="0"/>
        <strike val="0"/>
        <condense val="0"/>
        <extend val="0"/>
        <outline val="0"/>
        <shadow val="0"/>
        <u val="none"/>
        <vertAlign val="baseline"/>
        <sz val="12"/>
        <color theme="1"/>
        <name val="Century Gothic"/>
        <scheme val="none"/>
      </font>
      <numFmt numFmtId="0" formatCode="General"/>
      <fill>
        <patternFill patternType="solid">
          <fgColor indexed="64"/>
          <bgColor theme="8" tint="0.59999389629810485"/>
        </patternFill>
      </fill>
    </dxf>
    <dxf>
      <font>
        <b val="0"/>
        <i val="0"/>
        <strike val="0"/>
        <condense val="0"/>
        <extend val="0"/>
        <outline val="0"/>
        <shadow val="0"/>
        <u val="none"/>
        <vertAlign val="baseline"/>
        <sz val="12"/>
        <color theme="1"/>
        <name val="Century Gothic"/>
        <scheme val="none"/>
      </font>
      <numFmt numFmtId="165" formatCode="dd/mm/yyyy;@"/>
    </dxf>
    <dxf>
      <border>
        <top style="thin">
          <color indexed="64"/>
        </top>
        <vertical/>
        <horizontal/>
      </border>
    </dxf>
    <dxf>
      <fill>
        <patternFill patternType="solid">
          <fgColor indexed="64"/>
          <bgColor theme="9" tint="0.59999389629810485"/>
        </patternFill>
      </fill>
    </dxf>
    <dxf>
      <border>
        <bottom style="thin">
          <color indexed="64"/>
        </bottom>
      </border>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rgb="FF9C0006"/>
      </font>
      <fill>
        <patternFill>
          <bgColor theme="5"/>
        </patternFill>
      </fill>
    </dxf>
    <dxf>
      <font>
        <color auto="1"/>
      </font>
      <fill>
        <patternFill patternType="solid">
          <fgColor indexed="64"/>
          <bgColor theme="0" tint="-0.499984740745262"/>
        </patternFill>
      </fill>
    </dxf>
    <dxf>
      <font>
        <color auto="1"/>
      </font>
      <fill>
        <patternFill patternType="solid">
          <fgColor indexed="64"/>
          <bgColor rgb="FFFFFF00"/>
        </patternFill>
      </fill>
    </dxf>
    <dxf>
      <font>
        <color auto="1"/>
      </font>
      <fill>
        <patternFill patternType="solid">
          <fgColor indexed="64"/>
          <bgColor rgb="FF3366FF"/>
        </patternFill>
      </fill>
    </dxf>
    <dxf>
      <font>
        <color auto="1"/>
      </font>
      <fill>
        <patternFill patternType="solid">
          <fgColor indexed="64"/>
          <bgColor theme="9"/>
        </patternFill>
      </fill>
    </dxf>
    <dxf>
      <font>
        <color theme="1"/>
      </font>
      <fill>
        <patternFill>
          <bgColor theme="9"/>
        </patternFill>
      </fill>
    </dxf>
    <dxf>
      <font>
        <color theme="1"/>
      </font>
      <fill>
        <patternFill>
          <bgColor theme="0" tint="-0.34998626667073579"/>
        </patternFill>
      </fill>
    </dxf>
    <dxf>
      <font>
        <color theme="1"/>
      </font>
      <fill>
        <patternFill>
          <bgColor rgb="FFFFFF00"/>
        </patternFill>
      </fill>
    </dxf>
    <dxf>
      <font>
        <color theme="1"/>
      </font>
      <fill>
        <patternFill>
          <bgColor rgb="FF0070C0"/>
        </patternFill>
      </fill>
    </dxf>
    <dxf>
      <fill>
        <patternFill>
          <bgColor theme="4"/>
        </patternFill>
      </fill>
    </dxf>
    <dxf>
      <fill>
        <patternFill>
          <bgColor theme="8"/>
        </patternFill>
      </fill>
    </dxf>
    <dxf>
      <fill>
        <patternFill>
          <bgColor theme="7"/>
        </patternFill>
      </fill>
    </dxf>
    <dxf>
      <fill>
        <patternFill>
          <bgColor theme="9"/>
        </patternFill>
      </fill>
    </dxf>
    <dxf>
      <font>
        <color theme="0"/>
      </font>
      <fill>
        <patternFill>
          <bgColor theme="1" tint="0.14996795556505021"/>
        </patternFill>
      </fill>
    </dxf>
    <dxf>
      <fill>
        <patternFill>
          <bgColor theme="6"/>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rgb="FF9C0006"/>
      </font>
      <fill>
        <patternFill>
          <bgColor rgb="FFFFC7CE"/>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8" tint="0.39997558519241921"/>
        </patternFill>
      </fill>
    </dxf>
    <dxf>
      <font>
        <color auto="1"/>
      </font>
      <fill>
        <patternFill patternType="solid">
          <fgColor indexed="64"/>
          <bgColor theme="8"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auto="1"/>
      </font>
      <fill>
        <patternFill patternType="solid">
          <fgColor indexed="64"/>
          <bgColor theme="9" tint="0.59999389629810485"/>
        </patternFill>
      </fill>
    </dxf>
    <dxf>
      <font>
        <color auto="1"/>
      </font>
      <fill>
        <patternFill patternType="solid">
          <fgColor indexed="64"/>
          <bgColor theme="6" tint="0.39997558519241921"/>
        </patternFill>
      </fill>
    </dxf>
    <dxf>
      <font>
        <color auto="1"/>
      </font>
      <fill>
        <patternFill patternType="solid">
          <fgColor indexed="64"/>
          <bgColor theme="8" tint="0.39997558519241921"/>
        </patternFill>
      </fill>
    </dxf>
    <dxf>
      <font>
        <color auto="1"/>
      </font>
      <fill>
        <patternFill patternType="solid">
          <fgColor indexed="64"/>
          <bgColor theme="5"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bgColor rgb="FFFFC7CE"/>
        </patternFill>
      </fill>
    </dxf>
    <dxf>
      <font>
        <color auto="1"/>
      </font>
      <fill>
        <patternFill patternType="solid">
          <fgColor indexed="64"/>
          <bgColor theme="8" tint="0.39997558519241921"/>
        </patternFill>
      </fill>
    </dxf>
    <dxf>
      <font>
        <color auto="1"/>
      </font>
      <fill>
        <patternFill patternType="solid">
          <fgColor indexed="64"/>
          <bgColor theme="9" tint="0.39997558519241921"/>
        </patternFill>
      </fill>
    </dxf>
    <dxf>
      <font>
        <color auto="1"/>
      </font>
      <fill>
        <patternFill patternType="solid">
          <fgColor indexed="64"/>
          <bgColor theme="6"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2" tint="-0.749992370372631"/>
      </font>
      <fill>
        <patternFill patternType="solid">
          <fgColor indexed="64"/>
          <bgColor theme="2" tint="-9.9978637043366805E-2"/>
        </patternFill>
      </fill>
    </dxf>
    <dxf>
      <font>
        <color theme="1"/>
      </font>
      <fill>
        <patternFill>
          <bgColor rgb="FFFFFA89"/>
        </patternFill>
      </fill>
    </dxf>
    <dxf>
      <font>
        <color theme="1"/>
      </font>
      <fill>
        <patternFill>
          <bgColor rgb="FFFFFA89"/>
        </patternFill>
      </fill>
    </dxf>
    <dxf>
      <font>
        <color theme="1"/>
      </font>
      <fill>
        <patternFill>
          <bgColor rgb="FFFFFA89"/>
        </patternFill>
      </fill>
    </dxf>
    <dxf>
      <font>
        <color theme="2" tint="-0.749992370372631"/>
      </font>
      <fill>
        <patternFill patternType="solid">
          <fgColor indexed="64"/>
          <bgColor theme="2" tint="-9.9978637043366805E-2"/>
        </patternFill>
      </fill>
    </dxf>
    <dxf>
      <font>
        <color auto="1"/>
      </font>
      <fill>
        <patternFill patternType="solid">
          <fgColor indexed="64"/>
          <bgColor theme="9" tint="0.39997558519241921"/>
        </patternFill>
      </fill>
    </dxf>
    <dxf>
      <font>
        <color auto="1"/>
      </font>
      <fill>
        <patternFill patternType="solid">
          <fgColor indexed="64"/>
          <bgColor theme="8" tint="0.39997558519241921"/>
        </patternFill>
      </fill>
    </dxf>
    <dxf>
      <font>
        <color auto="1"/>
      </font>
      <fill>
        <patternFill>
          <bgColor rgb="FFFFC7CE"/>
        </patternFill>
      </fill>
    </dxf>
    <dxf>
      <font>
        <color auto="1"/>
      </font>
      <fill>
        <patternFill patternType="solid">
          <fgColor indexed="64"/>
          <bgColor theme="6" tint="0.39997558519241921"/>
        </patternFill>
      </fill>
    </dxf>
    <dxf>
      <font>
        <color auto="1"/>
      </font>
      <fill>
        <patternFill patternType="solid">
          <fgColor indexed="64"/>
          <bgColor theme="2" tint="-0.249977111117893"/>
        </patternFill>
      </fill>
    </dxf>
    <dxf>
      <font>
        <color auto="1"/>
      </font>
      <fill>
        <patternFill patternType="solid">
          <fgColor indexed="64"/>
          <bgColor theme="7" tint="0.39997558519241921"/>
        </patternFill>
      </fill>
    </dxf>
    <dxf>
      <font>
        <color theme="1"/>
      </font>
      <fill>
        <patternFill>
          <bgColor rgb="FFFFFA89"/>
        </patternFill>
      </fill>
    </dxf>
    <dxf>
      <font>
        <b val="0"/>
        <i val="0"/>
        <strike val="0"/>
        <condense val="0"/>
        <extend val="0"/>
        <outline val="0"/>
        <shadow val="0"/>
        <u val="none"/>
        <vertAlign val="baseline"/>
        <sz val="12"/>
        <color theme="1"/>
        <name val="Century Gothic"/>
        <scheme val="none"/>
      </font>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numFmt numFmtId="0" formatCode="General"/>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numFmt numFmtId="0" formatCode="General"/>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numFmt numFmtId="165" formatCode="dd/mm/yyyy;@"/>
    </dxf>
    <dxf>
      <font>
        <b/>
        <i val="0"/>
        <strike val="0"/>
        <condense val="0"/>
        <extend val="0"/>
        <outline val="0"/>
        <shadow val="0"/>
        <u val="none"/>
        <vertAlign val="baseline"/>
        <sz val="12"/>
        <color theme="1"/>
        <name val="Century Gothic"/>
        <scheme val="none"/>
      </font>
      <border diagonalUp="0" diagonalDown="0" outline="0">
        <left/>
        <right/>
        <top style="thin">
          <color auto="1"/>
        </top>
        <bottom/>
      </border>
    </dxf>
    <dxf>
      <font>
        <b val="0"/>
        <i val="0"/>
        <strike val="0"/>
        <condense val="0"/>
        <extend val="0"/>
        <outline val="0"/>
        <shadow val="0"/>
        <u val="none"/>
        <vertAlign val="baseline"/>
        <sz val="12"/>
        <color theme="1"/>
        <name val="Century Gothic"/>
        <scheme val="none"/>
      </font>
    </dxf>
  </dxfs>
  <tableStyles count="0" defaultTableStyle="TableStyleMedium9" defaultPivotStyle="PivotStyleMedium4"/>
  <colors>
    <mruColors>
      <color rgb="FFD9D9D9"/>
      <color rgb="FFFFFA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microsoft.com/office/2007/relationships/slicerCache" Target="slicerCaches/slicerCache1.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[AuraFin2k25.xlsx]Income Pivot!IncomePivot</c:name>
    <c:fmtId val="4"/>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a:t>Collections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4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4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4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bar"/>
        <c:grouping val="stacked"/>
        <c:varyColors val="0"/>
        <c:ser>
          <c:idx val="0"/>
          <c:order val="0"/>
          <c:tx>
            <c:strRef>
              <c:f>'Income Pivot'!$C$2:$C$3</c:f>
              <c:strCache>
                <c:ptCount val="1"/>
                <c:pt idx="0">
                  <c:v>Grand 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'Income Pivot'!$B$4</c:f>
              <c:strCache>
                <c:ptCount val="1"/>
                <c:pt idx="0">
                  <c:v>Grand Total</c:v>
                </c:pt>
              </c:strCache>
            </c:strRef>
          </c:cat>
          <c:val>
            <c:numRef>
              <c:f>'Income Pivot'!$C$4</c:f>
              <c:numCache>
                <c:formatCode>_(* #,##0_);_(* \(#,##0\);_(* "-"??_);_(@_)</c:formatCode>
                <c:ptCount val="1"/>
              </c:numCache>
            </c:numRef>
          </c:val>
          <c:extLst>
            <c:ext xmlns:c16="http://schemas.microsoft.com/office/drawing/2014/chart" uri="{C3380CC4-5D6E-409C-BE32-E72D297353CC}">
              <c16:uniqueId val="{00000000-129E-C846-89DA-F6F77C678C25}"/>
            </c:ext>
          </c:extLst>
        </c:ser>
        <c:dLbls>
          <c:showLegendKey val="0"/>
          <c:showVal val="0"/>
          <c:showCatName val="0"/>
          <c:showSerName val="0"/>
          <c:showPercent val="0"/>
          <c:showBubbleSize val="0"/>
        </c:dLbls>
        <c:gapWidth val="150"/>
        <c:overlap val="100"/>
        <c:serLines>
          <c:spPr>
            <a:ln w="9525">
              <a:solidFill>
                <a:schemeClr val="tx1">
                  <a:lumMod val="35000"/>
                  <a:lumOff val="65000"/>
                </a:schemeClr>
              </a:solidFill>
              <a:prstDash val="dash"/>
            </a:ln>
            <a:effectLst/>
          </c:spPr>
        </c:serLines>
        <c:axId val="-2126883504"/>
        <c:axId val="-1952912640"/>
      </c:barChart>
      <c:valAx>
        <c:axId val="-1952912640"/>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2126883504"/>
        <c:crosses val="autoZero"/>
        <c:crossBetween val="between"/>
      </c:valAx>
      <c:catAx>
        <c:axId val="-21268835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52912640"/>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0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Active Customers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lotArea>
      <c:layout/>
      <c:barChart>
        <c:barDir val="col"/>
        <c:grouping val="clustered"/>
        <c:varyColors val="0"/>
        <c:ser>
          <c:idx val="0"/>
          <c:order val="0"/>
          <c:tx>
            <c:v>Customers Count</c:v>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'Customers Count Pivot'!$B$18:$B$29</c:f>
              <c:numCache>
                <c:formatCode>General</c:formatCode>
                <c:ptCount val="12"/>
                <c:pt idx="7">
                  <c:v>0</c:v>
                </c:pt>
                <c:pt idx="8">
                  <c:v>0</c:v>
                </c:pt>
                <c:pt idx="9">
                  <c:v>0</c:v>
                </c:pt>
                <c:pt idx="10">
                  <c:v>0</c:v>
                </c:pt>
                <c:pt idx="11">
                  <c:v>0</c:v>
                </c:pt>
              </c:numCache>
            </c:numRef>
          </c:cat>
          <c:val>
            <c:numRef>
              <c:f>'Customers Count Pivot'!$C$18:$C$29</c:f>
              <c:numCache>
                <c:formatCode>General</c:formatCode>
                <c:ptCount val="12"/>
                <c:pt idx="7">
                  <c:v>0</c:v>
                </c:pt>
                <c:pt idx="8">
                  <c:v>0</c:v>
                </c:pt>
                <c:pt idx="9">
                  <c:v>0</c:v>
                </c:pt>
                <c:pt idx="10">
                  <c:v>0</c:v>
                </c:pt>
                <c:pt idx="11">
                  <c:v>0</c:v>
                </c:pt>
              </c:numCache>
            </c:numRef>
          </c:val>
          <c:extLst>
            <c:ext xmlns:c16="http://schemas.microsoft.com/office/drawing/2014/chart" uri="{C3380CC4-5D6E-409C-BE32-E72D297353CC}">
              <c16:uniqueId val="{00000000-1B56-7544-A7BB-69C7CBC06949}"/>
            </c:ext>
          </c:extLst>
        </c:ser>
        <c:dLbls>
          <c:showLegendKey val="0"/>
          <c:showVal val="0"/>
          <c:showCatName val="0"/>
          <c:showSerName val="0"/>
          <c:showPercent val="0"/>
          <c:showBubbleSize val="0"/>
        </c:dLbls>
        <c:gapWidth val="100"/>
        <c:overlap val="-24"/>
        <c:axId val="-2128339856"/>
        <c:axId val="-1947222416"/>
      </c:barChart>
      <c:catAx>
        <c:axId val="-212833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2416"/>
        <c:crosses val="autoZero"/>
        <c:auto val="1"/>
        <c:lblAlgn val="ctr"/>
        <c:lblOffset val="100"/>
        <c:noMultiLvlLbl val="0"/>
      </c:catAx>
      <c:valAx>
        <c:axId val="-1947222416"/>
        <c:scaling>
          <c:orientation val="minMax"/>
          <c:min val="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2128339856"/>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[AuraFin2k25.xlsx]Ads Pivot!Ads_Pivot</c:name>
    <c:fmtId val="4"/>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Ads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'Ads Pivot'!$C$2:$C$3</c:f>
              <c:strCache>
                <c:ptCount val="1"/>
                <c:pt idx="0">
                  <c:v>Ads Spend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'Ads Pivot'!$B$4:$B$13</c:f>
              <c:strCache>
                <c:ptCount val="9"/>
                <c:pt idx="0">
                  <c:v>Jan</c:v>
                </c:pt>
                <c:pt idx="1">
                  <c:v>Feb</c:v>
                </c:pt>
                <c:pt idx="2">
                  <c:v>Mar</c:v>
                </c:pt>
                <c:pt idx="3">
                  <c:v>Apr</c:v>
                </c:pt>
                <c:pt idx="4">
                  <c:v>May</c:v>
                </c:pt>
                <c:pt idx="5">
                  <c:v>Jun</c:v>
                </c:pt>
                <c:pt idx="6">
                  <c:v>Jul</c:v>
                </c:pt>
                <c:pt idx="7">
                  <c:v>Aug</c:v>
                </c:pt>
                <c:pt idx="8">
                  <c:v>Sep</c:v>
                </c:pt>
              </c:strCache>
            </c:strRef>
          </c:cat>
          <c:val>
            <c:numRef>
              <c:f>'Ads Pivot'!$C$4:$C$13</c:f>
              <c:numCache>
                <c:formatCode>_(* #,##0_);_(* \(#,##0\);_(* "-"??_);_(@_)</c:formatCode>
                <c:ptCount val="9"/>
                <c:pt idx="0">
                  <c:v>1018.04</c:v>
                </c:pt>
                <c:pt idx="1">
                  <c:v>246.17000000000002</c:v>
                </c:pt>
                <c:pt idx="2">
                  <c:v>3056.17</c:v>
                </c:pt>
                <c:pt idx="3">
                  <c:v>246.17000000000002</c:v>
                </c:pt>
                <c:pt idx="4">
                  <c:v>3056.17</c:v>
                </c:pt>
                <c:pt idx="5">
                  <c:v>246.17000000000002</c:v>
                </c:pt>
                <c:pt idx="6">
                  <c:v>246.17000000000002</c:v>
                </c:pt>
                <c:pt idx="7">
                  <c:v>246.17000000000002</c:v>
                </c:pt>
                <c:pt idx="8">
                  <c:v>246.17000000000002</c:v>
                </c:pt>
              </c:numCache>
            </c:numRef>
          </c:val>
          <c:extLst>
            <c:ext xmlns:c16="http://schemas.microsoft.com/office/drawing/2014/chart" uri="{C3380CC4-5D6E-409C-BE32-E72D297353CC}">
              <c16:uniqueId val="{00000000-0A0C-6A40-BD02-7A61F431AB31}"/>
            </c:ext>
          </c:extLst>
        </c:ser>
        <c:dLbls>
          <c:showLegendKey val="0"/>
          <c:showVal val="1"/>
          <c:showCatName val="0"/>
          <c:showSerName val="0"/>
          <c:showPercent val="0"/>
          <c:showBubbleSize val="0"/>
        </c:dLbls>
        <c:gapWidth val="150"/>
        <c:axId val="-1947225136"/>
        <c:axId val="-1947224592"/>
      </c:barChart>
      <c:catAx>
        <c:axId val="-19472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4592"/>
        <c:crosses val="autoZero"/>
        <c:auto val="1"/>
        <c:lblAlgn val="ctr"/>
        <c:lblOffset val="100"/>
        <c:noMultiLvlLbl val="0"/>
      </c:catAx>
      <c:valAx>
        <c:axId val="-1947224592"/>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513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[AuraFin2k25.xlsx]Hosting Pivot!Hosting_Pivot</c:name>
    <c:fmtId val="4"/>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Hosting</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'Hosting Pivot'!$C$2:$C$3</c:f>
              <c:strCache>
                <c:ptCount val="1"/>
                <c:pt idx="0">
                  <c:v>Hosting Spend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'Hosting Pivot'!$B$4:$B$11</c:f>
              <c:strCache>
                <c:ptCount val="7"/>
                <c:pt idx="0">
                  <c:v>Jan</c:v>
                </c:pt>
                <c:pt idx="1">
                  <c:v>Feb</c:v>
                </c:pt>
                <c:pt idx="2">
                  <c:v>Mar</c:v>
                </c:pt>
                <c:pt idx="3">
                  <c:v>May</c:v>
                </c:pt>
                <c:pt idx="4">
                  <c:v>Jun</c:v>
                </c:pt>
                <c:pt idx="5">
                  <c:v>Jul</c:v>
                </c:pt>
                <c:pt idx="6">
                  <c:v>Aug</c:v>
                </c:pt>
              </c:strCache>
            </c:strRef>
          </c:cat>
          <c:val>
            <c:numRef>
              <c:f>'Hosting Pivot'!$C$4:$C$11</c:f>
              <c:numCache>
                <c:formatCode>_(* #,##0_);_(* \(#,##0\);_(* "-"??_);_(@_)</c:formatCode>
                <c:ptCount val="7"/>
                <c:pt idx="1">
                  <c:v>613.05999999999995</c:v>
                </c:pt>
                <c:pt idx="3">
                  <c:v>1021.0593008000001</c:v>
                </c:pt>
                <c:pt idx="4">
                  <c:v>342.52591999999999</c:v>
                </c:pt>
                <c:pt idx="5">
                  <c:v>335.57875999999999</c:v>
                </c:pt>
                <c:pt idx="6">
                  <c:v>0</c:v>
                </c:pt>
              </c:numCache>
            </c:numRef>
          </c:val>
          <c:extLst>
            <c:ext xmlns:c16="http://schemas.microsoft.com/office/drawing/2014/chart" uri="{C3380CC4-5D6E-409C-BE32-E72D297353CC}">
              <c16:uniqueId val="{00000000-7BFE-EA46-AD39-12233CDDDD9D}"/>
            </c:ext>
          </c:extLst>
        </c:ser>
        <c:ser>
          <c:idx val="1"/>
          <c:order val="1"/>
          <c:tx>
            <c:strRef>
              <c:f>'Hosting Pivot'!$D$2:$D$3</c:f>
              <c:strCache>
                <c:ptCount val="1"/>
                <c:pt idx="0">
                  <c:v>Domains Spend</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'Hosting Pivot'!$B$4:$B$11</c:f>
              <c:strCache>
                <c:ptCount val="7"/>
                <c:pt idx="0">
                  <c:v>Jan</c:v>
                </c:pt>
                <c:pt idx="1">
                  <c:v>Feb</c:v>
                </c:pt>
                <c:pt idx="2">
                  <c:v>Mar</c:v>
                </c:pt>
                <c:pt idx="3">
                  <c:v>May</c:v>
                </c:pt>
                <c:pt idx="4">
                  <c:v>Jun</c:v>
                </c:pt>
                <c:pt idx="5">
                  <c:v>Jul</c:v>
                </c:pt>
                <c:pt idx="6">
                  <c:v>Aug</c:v>
                </c:pt>
              </c:strCache>
            </c:strRef>
          </c:cat>
          <c:val>
            <c:numRef>
              <c:f>'Hosting Pivot'!$D$4:$D$11</c:f>
              <c:numCache>
                <c:formatCode>_(* #,##0_);_(* \(#,##0\);_(* "-"??_);_(@_)</c:formatCode>
                <c:ptCount val="7"/>
                <c:pt idx="0">
                  <c:v>291.31489999999997</c:v>
                </c:pt>
                <c:pt idx="2">
                  <c:v>654.89030000000002</c:v>
                </c:pt>
                <c:pt idx="3">
                  <c:v>3412.6492290999995</c:v>
                </c:pt>
                <c:pt idx="5">
                  <c:v>1636.0956360000002</c:v>
                </c:pt>
                <c:pt idx="6">
                  <c:v>797.69</c:v>
                </c:pt>
              </c:numCache>
            </c:numRef>
          </c:val>
          <c:extLst>
            <c:ext xmlns:c16="http://schemas.microsoft.com/office/drawing/2014/chart" uri="{C3380CC4-5D6E-409C-BE32-E72D297353CC}">
              <c16:uniqueId val="{00000001-7BFE-EA46-AD39-12233CDDDD9D}"/>
            </c:ext>
          </c:extLst>
        </c:ser>
        <c:dLbls>
          <c:dLblPos val="inEnd"/>
          <c:showLegendKey val="0"/>
          <c:showVal val="1"/>
          <c:showCatName val="0"/>
          <c:showSerName val="0"/>
          <c:showPercent val="0"/>
          <c:showBubbleSize val="0"/>
        </c:dLbls>
        <c:gapWidth val="150"/>
        <c:axId val="-1947219152"/>
        <c:axId val="-1947224048"/>
      </c:barChart>
      <c:catAx>
        <c:axId val="-19472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4048"/>
        <c:crosses val="autoZero"/>
        <c:auto val="1"/>
        <c:lblAlgn val="ctr"/>
        <c:lblOffset val="100"/>
        <c:noMultiLvlLbl val="0"/>
      </c:catAx>
      <c:valAx>
        <c:axId val="-1947224048"/>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1915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[AuraFin2k25.xlsx]Payroll Pivot!Payroll_Pivot</c:name>
    <c:fmtId val="2"/>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Payroll</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'Payroll Pivot'!$C$2:$C$4</c:f>
              <c:strCache>
                <c:ptCount val="1"/>
                <c:pt idx="0">
                  <c:v>Payroll - 1</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'Payroll Pivot'!$B$5:$B$13</c:f>
              <c:strCache>
                <c:ptCount val="8"/>
                <c:pt idx="0">
                  <c:v>Feb</c:v>
                </c:pt>
                <c:pt idx="1">
                  <c:v>Mar</c:v>
                </c:pt>
                <c:pt idx="2">
                  <c:v>Apr</c:v>
                </c:pt>
                <c:pt idx="3">
                  <c:v>Jun</c:v>
                </c:pt>
                <c:pt idx="4">
                  <c:v>Jul</c:v>
                </c:pt>
                <c:pt idx="5">
                  <c:v>Aug</c:v>
                </c:pt>
                <c:pt idx="6">
                  <c:v>Sep</c:v>
                </c:pt>
                <c:pt idx="7">
                  <c:v>Oct</c:v>
                </c:pt>
              </c:strCache>
            </c:strRef>
          </c:cat>
          <c:val>
            <c:numRef>
              <c:f>'Payroll Pivot'!$C$5:$C$13</c:f>
              <c:numCache>
                <c:formatCode>_(* #,##0_);_(* \(#,##0\);_(* "-"??_);_(@_)</c:formatCode>
                <c:ptCount val="8"/>
                <c:pt idx="0">
                  <c:v>75700</c:v>
                </c:pt>
                <c:pt idx="1">
                  <c:v>79500</c:v>
                </c:pt>
                <c:pt idx="2">
                  <c:v>149300</c:v>
                </c:pt>
                <c:pt idx="3">
                  <c:v>84200</c:v>
                </c:pt>
                <c:pt idx="4">
                  <c:v>88800</c:v>
                </c:pt>
                <c:pt idx="5">
                  <c:v>78300</c:v>
                </c:pt>
                <c:pt idx="6">
                  <c:v>79300</c:v>
                </c:pt>
                <c:pt idx="7">
                  <c:v>74600</c:v>
                </c:pt>
              </c:numCache>
            </c:numRef>
          </c:val>
          <c:extLst>
            <c:ext xmlns:c16="http://schemas.microsoft.com/office/drawing/2014/chart" uri="{C3380CC4-5D6E-409C-BE32-E72D297353CC}">
              <c16:uniqueId val="{00000000-14E0-B440-8577-3332B4ADD22D}"/>
            </c:ext>
          </c:extLst>
        </c:ser>
        <c:ser>
          <c:idx val="1"/>
          <c:order val="1"/>
          <c:tx>
            <c:strRef>
              <c:f>'Payroll Pivot'!$D$2:$D$4</c:f>
              <c:strCache>
                <c:ptCount val="1"/>
                <c:pt idx="0">
                  <c:v>Payroll - 3</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'Payroll Pivot'!$B$5:$B$13</c:f>
              <c:strCache>
                <c:ptCount val="8"/>
                <c:pt idx="0">
                  <c:v>Feb</c:v>
                </c:pt>
                <c:pt idx="1">
                  <c:v>Mar</c:v>
                </c:pt>
                <c:pt idx="2">
                  <c:v>Apr</c:v>
                </c:pt>
                <c:pt idx="3">
                  <c:v>Jun</c:v>
                </c:pt>
                <c:pt idx="4">
                  <c:v>Jul</c:v>
                </c:pt>
                <c:pt idx="5">
                  <c:v>Aug</c:v>
                </c:pt>
                <c:pt idx="6">
                  <c:v>Sep</c:v>
                </c:pt>
                <c:pt idx="7">
                  <c:v>Oct</c:v>
                </c:pt>
              </c:strCache>
            </c:strRef>
          </c:cat>
          <c:val>
            <c:numRef>
              <c:f>'Payroll Pivot'!$D$5:$D$13</c:f>
              <c:numCache>
                <c:formatCode>_(* #,##0_);_(* \(#,##0\);_(* "-"??_);_(@_)</c:formatCode>
                <c:ptCount val="8"/>
                <c:pt idx="0">
                  <c:v>50600</c:v>
                </c:pt>
                <c:pt idx="1">
                  <c:v>50600</c:v>
                </c:pt>
                <c:pt idx="2">
                  <c:v>101200</c:v>
                </c:pt>
                <c:pt idx="3">
                  <c:v>43600</c:v>
                </c:pt>
                <c:pt idx="4">
                  <c:v>36600</c:v>
                </c:pt>
                <c:pt idx="5">
                  <c:v>38100</c:v>
                </c:pt>
                <c:pt idx="6">
                  <c:v>36600</c:v>
                </c:pt>
                <c:pt idx="7">
                  <c:v>36900</c:v>
                </c:pt>
              </c:numCache>
            </c:numRef>
          </c:val>
          <c:extLst>
            <c:ext xmlns:c16="http://schemas.microsoft.com/office/drawing/2014/chart" uri="{C3380CC4-5D6E-409C-BE32-E72D297353CC}">
              <c16:uniqueId val="{00000000-5131-434E-85F8-95F4EBD52350}"/>
            </c:ext>
          </c:extLst>
        </c:ser>
        <c:ser>
          <c:idx val="2"/>
          <c:order val="2"/>
          <c:tx>
            <c:strRef>
              <c:f>'Payroll Pivot'!$E$2:$E$4</c:f>
              <c:strCache>
                <c:ptCount val="1"/>
                <c:pt idx="0">
                  <c:v>Payroll - 4</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5400000" spcFirstLastPara="1" vertOverflow="ellipsis" wrap="square" anchor="ctr" anchorCtr="1"/>
              <a:lstStyle/>
              <a:p>
                <a:pPr>
                  <a:defRPr sz="8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'Payroll Pivot'!$B$5:$B$13</c:f>
              <c:strCache>
                <c:ptCount val="8"/>
                <c:pt idx="0">
                  <c:v>Feb</c:v>
                </c:pt>
                <c:pt idx="1">
                  <c:v>Mar</c:v>
                </c:pt>
                <c:pt idx="2">
                  <c:v>Apr</c:v>
                </c:pt>
                <c:pt idx="3">
                  <c:v>Jun</c:v>
                </c:pt>
                <c:pt idx="4">
                  <c:v>Jul</c:v>
                </c:pt>
                <c:pt idx="5">
                  <c:v>Aug</c:v>
                </c:pt>
                <c:pt idx="6">
                  <c:v>Sep</c:v>
                </c:pt>
                <c:pt idx="7">
                  <c:v>Oct</c:v>
                </c:pt>
              </c:strCache>
            </c:strRef>
          </c:cat>
          <c:val>
            <c:numRef>
              <c:f>'Payroll Pivot'!$E$5:$E$13</c:f>
              <c:numCache>
                <c:formatCode>_(* #,##0_);_(* \(#,##0\);_(* "-"??_);_(@_)</c:formatCode>
                <c:ptCount val="8"/>
                <c:pt idx="0">
                  <c:v>29850</c:v>
                </c:pt>
                <c:pt idx="1">
                  <c:v>29850</c:v>
                </c:pt>
                <c:pt idx="2">
                  <c:v>52300</c:v>
                </c:pt>
                <c:pt idx="3">
                  <c:v>22450</c:v>
                </c:pt>
                <c:pt idx="4">
                  <c:v>23250</c:v>
                </c:pt>
                <c:pt idx="5">
                  <c:v>23250</c:v>
                </c:pt>
                <c:pt idx="6">
                  <c:v>23250</c:v>
                </c:pt>
                <c:pt idx="7">
                  <c:v>18500</c:v>
                </c:pt>
              </c:numCache>
            </c:numRef>
          </c:val>
          <c:extLst>
            <c:ext xmlns:c16="http://schemas.microsoft.com/office/drawing/2014/chart" uri="{C3380CC4-5D6E-409C-BE32-E72D297353CC}">
              <c16:uniqueId val="{00000001-5131-434E-85F8-95F4EBD52350}"/>
            </c:ext>
          </c:extLst>
        </c:ser>
        <c:dLbls>
          <c:dLblPos val="inEnd"/>
          <c:showLegendKey val="0"/>
          <c:showVal val="1"/>
          <c:showCatName val="0"/>
          <c:showSerName val="0"/>
          <c:showPercent val="0"/>
          <c:showBubbleSize val="0"/>
        </c:dLbls>
        <c:gapWidth val="150"/>
        <c:overlap val="100"/>
        <c:axId val="-1947228400"/>
        <c:axId val="-1947230576"/>
      </c:barChart>
      <c:catAx>
        <c:axId val="-194722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30576"/>
        <c:crosses val="autoZero"/>
        <c:auto val="1"/>
        <c:lblAlgn val="ctr"/>
        <c:lblOffset val="100"/>
        <c:noMultiLvlLbl val="0"/>
      </c:catAx>
      <c:valAx>
        <c:axId val="-1947230576"/>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840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[AuraFin2k25.xlsx]Expenses Pivot!Expenses_Pivot</c:name>
    <c:fmtId val="2"/>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Expenses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
        <c:idx val="2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'Expenses Pivot'!$C$2:$C$3</c:f>
              <c:strCache>
                <c:ptCount val="1"/>
                <c:pt idx="0">
                  <c:v>CapEx</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'Expenses 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'Expenses Pivot'!$C$4:$C$16</c:f>
              <c:numCache>
                <c:formatCode>_(* #,##0_);_(* \(#,##0\);_(* "-"??_);_(@_)</c:formatCode>
                <c:ptCount val="12"/>
                <c:pt idx="0">
                  <c:v>2347</c:v>
                </c:pt>
                <c:pt idx="1">
                  <c:v>2347</c:v>
                </c:pt>
                <c:pt idx="2">
                  <c:v>2347</c:v>
                </c:pt>
                <c:pt idx="3">
                  <c:v>2347</c:v>
                </c:pt>
                <c:pt idx="4">
                  <c:v>2732</c:v>
                </c:pt>
                <c:pt idx="5">
                  <c:v>2347</c:v>
                </c:pt>
              </c:numCache>
            </c:numRef>
          </c:val>
          <c:extLst>
            <c:ext xmlns:c16="http://schemas.microsoft.com/office/drawing/2014/chart" uri="{C3380CC4-5D6E-409C-BE32-E72D297353CC}">
              <c16:uniqueId val="{00000000-BE2C-2746-AA19-8AF6D43310CA}"/>
            </c:ext>
          </c:extLst>
        </c:ser>
        <c:ser>
          <c:idx val="1"/>
          <c:order val="1"/>
          <c:tx>
            <c:strRef>
              <c:f>'Expenses Pivot'!$D$2:$D$3</c:f>
              <c:strCache>
                <c:ptCount val="1"/>
                <c:pt idx="0">
                  <c:v>Cost of Sales</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'Expenses 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'Expenses Pivot'!$D$4:$D$16</c:f>
              <c:numCache>
                <c:formatCode>_(* #,##0_);_(* \(#,##0\);_(* "-"??_);_(@_)</c:formatCode>
                <c:ptCount val="12"/>
                <c:pt idx="0">
                  <c:v>1309.3548999999998</c:v>
                </c:pt>
                <c:pt idx="1">
                  <c:v>859.23</c:v>
                </c:pt>
                <c:pt idx="2">
                  <c:v>6945.2002999999995</c:v>
                </c:pt>
                <c:pt idx="3">
                  <c:v>246.17000000000002</c:v>
                </c:pt>
                <c:pt idx="4">
                  <c:v>7489.8785299000001</c:v>
                </c:pt>
                <c:pt idx="5">
                  <c:v>588.69592</c:v>
                </c:pt>
                <c:pt idx="6">
                  <c:v>2217.844396</c:v>
                </c:pt>
                <c:pt idx="7">
                  <c:v>1043.8600000000001</c:v>
                </c:pt>
                <c:pt idx="8">
                  <c:v>246.17000000000002</c:v>
                </c:pt>
              </c:numCache>
            </c:numRef>
          </c:val>
          <c:extLst>
            <c:ext xmlns:c16="http://schemas.microsoft.com/office/drawing/2014/chart" uri="{C3380CC4-5D6E-409C-BE32-E72D297353CC}">
              <c16:uniqueId val="{00000000-E51C-BC4D-838E-DEFB74AD4F6E}"/>
            </c:ext>
          </c:extLst>
        </c:ser>
        <c:ser>
          <c:idx val="2"/>
          <c:order val="2"/>
          <c:tx>
            <c:strRef>
              <c:f>'Expenses Pivot'!$E$2:$E$3</c:f>
              <c:strCache>
                <c:ptCount val="1"/>
                <c:pt idx="0">
                  <c:v>OpEx</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cat>
            <c:strRef>
              <c:f>'Expenses 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'Expenses Pivot'!$E$4:$E$16</c:f>
              <c:numCache>
                <c:formatCode>_(* #,##0_);_(* \(#,##0\);_(* "-"??_);_(@_)</c:formatCode>
                <c:ptCount val="12"/>
                <c:pt idx="0">
                  <c:v>27913.905822000001</c:v>
                </c:pt>
                <c:pt idx="1">
                  <c:v>31992.880649999999</c:v>
                </c:pt>
                <c:pt idx="2">
                  <c:v>27658.011349999997</c:v>
                </c:pt>
                <c:pt idx="3">
                  <c:v>25031.176132999997</c:v>
                </c:pt>
                <c:pt idx="4">
                  <c:v>28286.288428399999</c:v>
                </c:pt>
                <c:pt idx="5">
                  <c:v>29282.313281999999</c:v>
                </c:pt>
                <c:pt idx="6">
                  <c:v>24025.185043000001</c:v>
                </c:pt>
                <c:pt idx="7">
                  <c:v>23174.399220000003</c:v>
                </c:pt>
                <c:pt idx="8">
                  <c:v>24006.79</c:v>
                </c:pt>
                <c:pt idx="9">
                  <c:v>44936.399959999995</c:v>
                </c:pt>
                <c:pt idx="10">
                  <c:v>18371.3</c:v>
                </c:pt>
                <c:pt idx="11">
                  <c:v>11390.65</c:v>
                </c:pt>
              </c:numCache>
            </c:numRef>
          </c:val>
          <c:extLst>
            <c:ext xmlns:c16="http://schemas.microsoft.com/office/drawing/2014/chart" uri="{C3380CC4-5D6E-409C-BE32-E72D297353CC}">
              <c16:uniqueId val="{00000001-E51C-BC4D-838E-DEFB74AD4F6E}"/>
            </c:ext>
          </c:extLst>
        </c:ser>
        <c:ser>
          <c:idx val="3"/>
          <c:order val="3"/>
          <c:tx>
            <c:strRef>
              <c:f>'Expenses Pivot'!$F$2:$F$3</c:f>
              <c:strCache>
                <c:ptCount val="1"/>
                <c:pt idx="0">
                  <c:v>Payroll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'Expenses 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'Expenses Pivot'!$F$4:$F$16</c:f>
              <c:numCache>
                <c:formatCode>_(* #,##0_);_(* \(#,##0\);_(* "-"??_);_(@_)</c:formatCode>
                <c:ptCount val="12"/>
                <c:pt idx="1">
                  <c:v>156150</c:v>
                </c:pt>
                <c:pt idx="2">
                  <c:v>159950</c:v>
                </c:pt>
                <c:pt idx="3">
                  <c:v>302800</c:v>
                </c:pt>
                <c:pt idx="5">
                  <c:v>150250</c:v>
                </c:pt>
                <c:pt idx="6">
                  <c:v>148650</c:v>
                </c:pt>
                <c:pt idx="7">
                  <c:v>139650</c:v>
                </c:pt>
                <c:pt idx="8">
                  <c:v>139150</c:v>
                </c:pt>
                <c:pt idx="9">
                  <c:v>130000</c:v>
                </c:pt>
              </c:numCache>
            </c:numRef>
          </c:val>
          <c:extLst>
            <c:ext xmlns:c16="http://schemas.microsoft.com/office/drawing/2014/chart" uri="{C3380CC4-5D6E-409C-BE32-E72D297353CC}">
              <c16:uniqueId val="{00000002-E51C-BC4D-838E-DEFB74AD4F6E}"/>
            </c:ext>
          </c:extLst>
        </c:ser>
        <c:ser>
          <c:idx val="4"/>
          <c:order val="4"/>
          <c:tx>
            <c:strRef>
              <c:f>'Expenses Pivot'!$G$2:$G$3</c:f>
              <c:strCache>
                <c:ptCount val="1"/>
                <c:pt idx="0">
                  <c:v>Tax</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'Expenses 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'Expenses Pivot'!$G$4:$G$16</c:f>
              <c:numCache>
                <c:formatCode>_(* #,##0_);_(* \(#,##0\);_(* "-"??_);_(@_)</c:formatCode>
                <c:ptCount val="12"/>
                <c:pt idx="0">
                  <c:v>19160.120000000003</c:v>
                </c:pt>
                <c:pt idx="1">
                  <c:v>60760.189999999995</c:v>
                </c:pt>
                <c:pt idx="2">
                  <c:v>22077.699999999997</c:v>
                </c:pt>
                <c:pt idx="3">
                  <c:v>26442</c:v>
                </c:pt>
                <c:pt idx="4">
                  <c:v>11390.689999999999</c:v>
                </c:pt>
                <c:pt idx="5">
                  <c:v>69631.53</c:v>
                </c:pt>
                <c:pt idx="6">
                  <c:v>44746.38</c:v>
                </c:pt>
                <c:pt idx="7">
                  <c:v>15493</c:v>
                </c:pt>
                <c:pt idx="8">
                  <c:v>11088.46</c:v>
                </c:pt>
                <c:pt idx="9">
                  <c:v>29544.240000000002</c:v>
                </c:pt>
              </c:numCache>
            </c:numRef>
          </c:val>
          <c:extLst>
            <c:ext xmlns:c16="http://schemas.microsoft.com/office/drawing/2014/chart" uri="{C3380CC4-5D6E-409C-BE32-E72D297353CC}">
              <c16:uniqueId val="{00000003-E51C-BC4D-838E-DEFB74AD4F6E}"/>
            </c:ext>
          </c:extLst>
        </c:ser>
        <c:dLbls>
          <c:showLegendKey val="0"/>
          <c:showVal val="0"/>
          <c:showCatName val="0"/>
          <c:showSerName val="0"/>
          <c:showPercent val="0"/>
          <c:showBubbleSize val="0"/>
        </c:dLbls>
        <c:gapWidth val="95"/>
        <c:overlap val="100"/>
        <c:serLines>
          <c:spPr>
            <a:ln w="9525">
              <a:solidFill>
                <a:schemeClr val="tx1">
                  <a:lumMod val="35000"/>
                  <a:lumOff val="65000"/>
                </a:schemeClr>
              </a:solidFill>
              <a:prstDash val="dash"/>
            </a:ln>
            <a:effectLst/>
          </c:spPr>
        </c:serLines>
        <c:axId val="-1947227856"/>
        <c:axId val="-1947226224"/>
      </c:barChart>
      <c:catAx>
        <c:axId val="-194722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6224"/>
        <c:crosses val="autoZero"/>
        <c:auto val="1"/>
        <c:lblAlgn val="ctr"/>
        <c:lblOffset val="100"/>
        <c:noMultiLvlLbl val="0"/>
      </c:catAx>
      <c:valAx>
        <c:axId val="-1947226224"/>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785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[AuraFin2k25.xlsx]OpEx Pivot!OpEx_Pivot</c:name>
    <c:fmtId val="2"/>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OpEx</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lumMod val="80000"/>
                  <a:lumOff val="20000"/>
                  <a:tint val="50000"/>
                  <a:satMod val="300000"/>
                </a:schemeClr>
              </a:gs>
              <a:gs pos="35000">
                <a:schemeClr val="accent1">
                  <a:lumMod val="80000"/>
                  <a:lumOff val="20000"/>
                  <a:tint val="37000"/>
                  <a:satMod val="300000"/>
                </a:schemeClr>
              </a:gs>
              <a:gs pos="100000">
                <a:schemeClr val="accent1">
                  <a:lumMod val="80000"/>
                  <a:lumOff val="20000"/>
                  <a:tint val="15000"/>
                  <a:satMod val="350000"/>
                </a:schemeClr>
              </a:gs>
            </a:gsLst>
            <a:lin ang="16200000" scaled="1"/>
          </a:gradFill>
          <a:ln w="9525" cap="flat" cmpd="sng" algn="ctr">
            <a:solidFill>
              <a:schemeClr val="accent1">
                <a:lumMod val="80000"/>
                <a:lumOff val="2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'OpEx Pivot'!$C$2:$C$5</c:f>
              <c:strCache>
                <c:ptCount val="1"/>
                <c:pt idx="0">
                  <c:v>OpEx - Bank Charges</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Pivot'!$C$6:$C$18</c:f>
              <c:numCache>
                <c:formatCode>_(* #,##0_);_(* \(#,##0\);_(* "-"??_);_(@_)</c:formatCode>
                <c:ptCount val="12"/>
                <c:pt idx="0">
                  <c:v>373.61610000000002</c:v>
                </c:pt>
                <c:pt idx="1">
                  <c:v>987.56000000000006</c:v>
                </c:pt>
                <c:pt idx="2">
                  <c:v>810.42299999999966</c:v>
                </c:pt>
                <c:pt idx="3">
                  <c:v>251.52</c:v>
                </c:pt>
                <c:pt idx="4">
                  <c:v>649.21999999999764</c:v>
                </c:pt>
                <c:pt idx="5">
                  <c:v>870.56999999999994</c:v>
                </c:pt>
                <c:pt idx="6">
                  <c:v>426.1</c:v>
                </c:pt>
                <c:pt idx="7">
                  <c:v>370.78000000000065</c:v>
                </c:pt>
                <c:pt idx="8">
                  <c:v>444.21</c:v>
                </c:pt>
                <c:pt idx="9">
                  <c:v>299.11995999999999</c:v>
                </c:pt>
                <c:pt idx="10">
                  <c:v>197.02</c:v>
                </c:pt>
              </c:numCache>
            </c:numRef>
          </c:val>
          <c:extLst>
            <c:ext xmlns:c16="http://schemas.microsoft.com/office/drawing/2014/chart" uri="{C3380CC4-5D6E-409C-BE32-E72D297353CC}">
              <c16:uniqueId val="{00000000-9DA4-0640-BF79-9387719D9694}"/>
            </c:ext>
          </c:extLst>
        </c:ser>
        <c:ser>
          <c:idx val="1"/>
          <c:order val="1"/>
          <c:tx>
            <c:strRef>
              <c:f>'OpEx Pivot'!$D$2:$D$5</c:f>
              <c:strCache>
                <c:ptCount val="1"/>
                <c:pt idx="0">
                  <c:v>OpEx - Bills</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Pivot'!$D$6:$D$18</c:f>
              <c:numCache>
                <c:formatCode>_(* #,##0_);_(* \(#,##0\);_(* "-"??_);_(@_)</c:formatCode>
                <c:ptCount val="12"/>
                <c:pt idx="0">
                  <c:v>1800</c:v>
                </c:pt>
                <c:pt idx="7">
                  <c:v>1800</c:v>
                </c:pt>
              </c:numCache>
            </c:numRef>
          </c:val>
          <c:extLst>
            <c:ext xmlns:c16="http://schemas.microsoft.com/office/drawing/2014/chart" uri="{C3380CC4-5D6E-409C-BE32-E72D297353CC}">
              <c16:uniqueId val="{00000000-D483-4941-8B76-B06B5E546E5D}"/>
            </c:ext>
          </c:extLst>
        </c:ser>
        <c:ser>
          <c:idx val="2"/>
          <c:order val="2"/>
          <c:tx>
            <c:strRef>
              <c:f>'OpEx Pivot'!$E$2:$E$5</c:f>
              <c:strCache>
                <c:ptCount val="1"/>
                <c:pt idx="0">
                  <c:v>OpEx - Consumables</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Pivot'!$E$6:$E$18</c:f>
              <c:numCache>
                <c:formatCode>_(* #,##0_);_(* \(#,##0\);_(* "-"??_);_(@_)</c:formatCode>
                <c:ptCount val="12"/>
                <c:pt idx="0">
                  <c:v>2599</c:v>
                </c:pt>
                <c:pt idx="1">
                  <c:v>3860</c:v>
                </c:pt>
                <c:pt idx="2">
                  <c:v>2841</c:v>
                </c:pt>
                <c:pt idx="3">
                  <c:v>672</c:v>
                </c:pt>
                <c:pt idx="4">
                  <c:v>2753</c:v>
                </c:pt>
                <c:pt idx="5">
                  <c:v>2160</c:v>
                </c:pt>
                <c:pt idx="6">
                  <c:v>1287.5</c:v>
                </c:pt>
                <c:pt idx="7">
                  <c:v>2158.84</c:v>
                </c:pt>
                <c:pt idx="8">
                  <c:v>2488</c:v>
                </c:pt>
                <c:pt idx="9">
                  <c:v>2086</c:v>
                </c:pt>
                <c:pt idx="10">
                  <c:v>1929</c:v>
                </c:pt>
              </c:numCache>
            </c:numRef>
          </c:val>
          <c:extLst>
            <c:ext xmlns:c16="http://schemas.microsoft.com/office/drawing/2014/chart" uri="{C3380CC4-5D6E-409C-BE32-E72D297353CC}">
              <c16:uniqueId val="{00000001-D483-4941-8B76-B06B5E546E5D}"/>
            </c:ext>
          </c:extLst>
        </c:ser>
        <c:ser>
          <c:idx val="3"/>
          <c:order val="3"/>
          <c:tx>
            <c:strRef>
              <c:f>'OpEx Pivot'!$F$2:$F$5</c:f>
              <c:strCache>
                <c:ptCount val="1"/>
                <c:pt idx="0">
                  <c:v>OpEx - Internet</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Pivot'!$F$6:$F$18</c:f>
              <c:numCache>
                <c:formatCode>_(* #,##0_);_(* \(#,##0\);_(* "-"??_);_(@_)</c:formatCode>
                <c:ptCount val="12"/>
                <c:pt idx="1">
                  <c:v>513.21080000000006</c:v>
                </c:pt>
                <c:pt idx="2">
                  <c:v>1353.21</c:v>
                </c:pt>
                <c:pt idx="3">
                  <c:v>2503</c:v>
                </c:pt>
                <c:pt idx="4">
                  <c:v>1100</c:v>
                </c:pt>
                <c:pt idx="5">
                  <c:v>815.09999999999991</c:v>
                </c:pt>
                <c:pt idx="6">
                  <c:v>1140</c:v>
                </c:pt>
                <c:pt idx="7">
                  <c:v>2117.27</c:v>
                </c:pt>
                <c:pt idx="8">
                  <c:v>1140</c:v>
                </c:pt>
                <c:pt idx="10">
                  <c:v>1140</c:v>
                </c:pt>
              </c:numCache>
            </c:numRef>
          </c:val>
          <c:extLst>
            <c:ext xmlns:c16="http://schemas.microsoft.com/office/drawing/2014/chart" uri="{C3380CC4-5D6E-409C-BE32-E72D297353CC}">
              <c16:uniqueId val="{00000002-D483-4941-8B76-B06B5E546E5D}"/>
            </c:ext>
          </c:extLst>
        </c:ser>
        <c:ser>
          <c:idx val="4"/>
          <c:order val="4"/>
          <c:tx>
            <c:strRef>
              <c:f>'OpEx Pivot'!$G$2:$G$5</c:f>
              <c:strCache>
                <c:ptCount val="1"/>
                <c:pt idx="0">
                  <c:v>OpEx - Office Supplies</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Pivot'!$G$6:$G$18</c:f>
              <c:numCache>
                <c:formatCode>_(* #,##0_);_(* \(#,##0\);_(* "-"??_);_(@_)</c:formatCode>
                <c:ptCount val="12"/>
                <c:pt idx="1">
                  <c:v>100</c:v>
                </c:pt>
              </c:numCache>
            </c:numRef>
          </c:val>
          <c:extLst>
            <c:ext xmlns:c16="http://schemas.microsoft.com/office/drawing/2014/chart" uri="{C3380CC4-5D6E-409C-BE32-E72D297353CC}">
              <c16:uniqueId val="{00000003-D483-4941-8B76-B06B5E546E5D}"/>
            </c:ext>
          </c:extLst>
        </c:ser>
        <c:ser>
          <c:idx val="5"/>
          <c:order val="5"/>
          <c:tx>
            <c:strRef>
              <c:f>'OpEx Pivot'!$H$2:$H$5</c:f>
              <c:strCache>
                <c:ptCount val="1"/>
                <c:pt idx="0">
                  <c:v>OpEx - Other - Office</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Pivot'!$H$6:$H$18</c:f>
              <c:numCache>
                <c:formatCode>_(* #,##0_);_(* \(#,##0\);_(* "-"??_);_(@_)</c:formatCode>
                <c:ptCount val="12"/>
                <c:pt idx="1">
                  <c:v>4230</c:v>
                </c:pt>
                <c:pt idx="4">
                  <c:v>460</c:v>
                </c:pt>
              </c:numCache>
            </c:numRef>
          </c:val>
          <c:extLst>
            <c:ext xmlns:c16="http://schemas.microsoft.com/office/drawing/2014/chart" uri="{C3380CC4-5D6E-409C-BE32-E72D297353CC}">
              <c16:uniqueId val="{00000004-D483-4941-8B76-B06B5E546E5D}"/>
            </c:ext>
          </c:extLst>
        </c:ser>
        <c:ser>
          <c:idx val="6"/>
          <c:order val="6"/>
          <c:tx>
            <c:strRef>
              <c:f>'OpEx Pivot'!$J$2:$J$5</c:f>
              <c:strCache>
                <c:ptCount val="1"/>
                <c:pt idx="0">
                  <c:v>OpEx - Rent</c:v>
                </c:pt>
              </c:strCache>
            </c:strRef>
          </c:tx>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Pivot'!$J$6:$J$18</c:f>
              <c:numCache>
                <c:formatCode>_(* #,##0_);_(* \(#,##0\);_(* "-"??_);_(@_)</c:formatCode>
                <c:ptCount val="12"/>
                <c:pt idx="0">
                  <c:v>14641</c:v>
                </c:pt>
                <c:pt idx="1">
                  <c:v>14641</c:v>
                </c:pt>
                <c:pt idx="2">
                  <c:v>14641</c:v>
                </c:pt>
                <c:pt idx="3">
                  <c:v>14641</c:v>
                </c:pt>
                <c:pt idx="4">
                  <c:v>14641</c:v>
                </c:pt>
                <c:pt idx="5">
                  <c:v>14641</c:v>
                </c:pt>
                <c:pt idx="6">
                  <c:v>14641</c:v>
                </c:pt>
                <c:pt idx="7">
                  <c:v>14685.28</c:v>
                </c:pt>
                <c:pt idx="8">
                  <c:v>14685.28</c:v>
                </c:pt>
                <c:pt idx="9">
                  <c:v>14685.28</c:v>
                </c:pt>
                <c:pt idx="10">
                  <c:v>14685.28</c:v>
                </c:pt>
              </c:numCache>
            </c:numRef>
          </c:val>
          <c:extLst>
            <c:ext xmlns:c16="http://schemas.microsoft.com/office/drawing/2014/chart" uri="{C3380CC4-5D6E-409C-BE32-E72D297353CC}">
              <c16:uniqueId val="{00000005-D483-4941-8B76-B06B5E546E5D}"/>
            </c:ext>
          </c:extLst>
        </c:ser>
        <c:ser>
          <c:idx val="7"/>
          <c:order val="7"/>
          <c:tx>
            <c:strRef>
              <c:f>'OpEx Pivot'!$K$2:$K$5</c:f>
              <c:strCache>
                <c:ptCount val="1"/>
                <c:pt idx="0">
                  <c:v>OpEx - Services</c:v>
                </c:pt>
              </c:strCache>
            </c:strRef>
          </c:tx>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Pivot'!$K$6:$K$18</c:f>
              <c:numCache>
                <c:formatCode>_(* #,##0_);_(* \(#,##0\);_(* "-"??_);_(@_)</c:formatCode>
                <c:ptCount val="12"/>
                <c:pt idx="0">
                  <c:v>1200</c:v>
                </c:pt>
                <c:pt idx="1">
                  <c:v>350</c:v>
                </c:pt>
                <c:pt idx="2">
                  <c:v>350</c:v>
                </c:pt>
                <c:pt idx="3">
                  <c:v>350</c:v>
                </c:pt>
                <c:pt idx="4">
                  <c:v>350</c:v>
                </c:pt>
                <c:pt idx="5">
                  <c:v>880</c:v>
                </c:pt>
                <c:pt idx="6">
                  <c:v>350</c:v>
                </c:pt>
                <c:pt idx="7">
                  <c:v>1000</c:v>
                </c:pt>
                <c:pt idx="8">
                  <c:v>350</c:v>
                </c:pt>
                <c:pt idx="9">
                  <c:v>27150</c:v>
                </c:pt>
                <c:pt idx="10">
                  <c:v>350</c:v>
                </c:pt>
                <c:pt idx="11">
                  <c:v>6000</c:v>
                </c:pt>
              </c:numCache>
            </c:numRef>
          </c:val>
          <c:extLst>
            <c:ext xmlns:c16="http://schemas.microsoft.com/office/drawing/2014/chart" uri="{C3380CC4-5D6E-409C-BE32-E72D297353CC}">
              <c16:uniqueId val="{00000006-D483-4941-8B76-B06B5E546E5D}"/>
            </c:ext>
          </c:extLst>
        </c:ser>
        <c:ser>
          <c:idx val="8"/>
          <c:order val="8"/>
          <c:tx>
            <c:strRef>
              <c:f>'OpEx Pivot'!$L$2:$L$5</c:f>
              <c:strCache>
                <c:ptCount val="1"/>
                <c:pt idx="0">
                  <c:v>OpEx - Subscriptions</c:v>
                </c:pt>
              </c:strCache>
            </c:strRef>
          </c:tx>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Pivot'!$L$6:$L$18</c:f>
              <c:numCache>
                <c:formatCode>_(* #,##0_);_(* \(#,##0\);_(* "-"??_);_(@_)</c:formatCode>
                <c:ptCount val="12"/>
                <c:pt idx="0">
                  <c:v>5222.6697219999987</c:v>
                </c:pt>
                <c:pt idx="1">
                  <c:v>5076.6098499999998</c:v>
                </c:pt>
                <c:pt idx="2">
                  <c:v>6350.0483499999991</c:v>
                </c:pt>
                <c:pt idx="3">
                  <c:v>6178.6561330000004</c:v>
                </c:pt>
                <c:pt idx="4">
                  <c:v>6967.4987763999998</c:v>
                </c:pt>
                <c:pt idx="5">
                  <c:v>7010.2332820000001</c:v>
                </c:pt>
                <c:pt idx="6">
                  <c:v>5523.3955999999998</c:v>
                </c:pt>
                <c:pt idx="7">
                  <c:v>788.22922000000005</c:v>
                </c:pt>
                <c:pt idx="8">
                  <c:v>0</c:v>
                </c:pt>
              </c:numCache>
            </c:numRef>
          </c:val>
          <c:extLst>
            <c:ext xmlns:c16="http://schemas.microsoft.com/office/drawing/2014/chart" uri="{C3380CC4-5D6E-409C-BE32-E72D297353CC}">
              <c16:uniqueId val="{00000007-D483-4941-8B76-B06B5E546E5D}"/>
            </c:ext>
          </c:extLst>
        </c:ser>
        <c:ser>
          <c:idx val="9"/>
          <c:order val="9"/>
          <c:tx>
            <c:strRef>
              <c:f>'OpEx Pivot'!$M$2:$M$5</c:f>
              <c:strCache>
                <c:ptCount val="1"/>
                <c:pt idx="0">
                  <c:v>OpEx - Transportation</c:v>
                </c:pt>
              </c:strCache>
            </c:strRef>
          </c:tx>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Pivot'!$M$6:$M$18</c:f>
              <c:numCache>
                <c:formatCode>_(* #,##0_);_(* \(#,##0\);_(* "-"??_);_(@_)</c:formatCode>
                <c:ptCount val="12"/>
                <c:pt idx="0">
                  <c:v>130</c:v>
                </c:pt>
                <c:pt idx="1">
                  <c:v>255</c:v>
                </c:pt>
                <c:pt idx="2">
                  <c:v>350</c:v>
                </c:pt>
                <c:pt idx="3">
                  <c:v>435</c:v>
                </c:pt>
                <c:pt idx="4">
                  <c:v>285</c:v>
                </c:pt>
                <c:pt idx="5">
                  <c:v>620</c:v>
                </c:pt>
                <c:pt idx="6">
                  <c:v>468.5</c:v>
                </c:pt>
                <c:pt idx="7">
                  <c:v>254</c:v>
                </c:pt>
                <c:pt idx="8">
                  <c:v>235</c:v>
                </c:pt>
                <c:pt idx="9">
                  <c:v>416</c:v>
                </c:pt>
                <c:pt idx="10">
                  <c:v>70</c:v>
                </c:pt>
              </c:numCache>
            </c:numRef>
          </c:val>
          <c:extLst>
            <c:ext xmlns:c16="http://schemas.microsoft.com/office/drawing/2014/chart" uri="{C3380CC4-5D6E-409C-BE32-E72D297353CC}">
              <c16:uniqueId val="{00000008-D483-4941-8B76-B06B5E546E5D}"/>
            </c:ext>
          </c:extLst>
        </c:ser>
        <c:ser>
          <c:idx val="10"/>
          <c:order val="10"/>
          <c:tx>
            <c:strRef>
              <c:f>'OpEx Pivot'!$N$2:$N$5</c:f>
              <c:strCache>
                <c:ptCount val="1"/>
                <c:pt idx="0">
                  <c:v>OpEx - Utilities</c:v>
                </c:pt>
              </c:strCache>
            </c:strRef>
          </c:tx>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Pivot'!$N$6:$N$18</c:f>
              <c:numCache>
                <c:formatCode>_(* #,##0_);_(* \(#,##0\);_(* "-"??_);_(@_)</c:formatCode>
                <c:ptCount val="12"/>
                <c:pt idx="0">
                  <c:v>1933.06</c:v>
                </c:pt>
                <c:pt idx="1">
                  <c:v>1979.5</c:v>
                </c:pt>
                <c:pt idx="2">
                  <c:v>962.33</c:v>
                </c:pt>
                <c:pt idx="4">
                  <c:v>889.81</c:v>
                </c:pt>
                <c:pt idx="5">
                  <c:v>2285.41</c:v>
                </c:pt>
                <c:pt idx="8">
                  <c:v>4664.3</c:v>
                </c:pt>
                <c:pt idx="9">
                  <c:v>300</c:v>
                </c:pt>
                <c:pt idx="11">
                  <c:v>5390.65</c:v>
                </c:pt>
              </c:numCache>
            </c:numRef>
          </c:val>
          <c:extLst>
            <c:ext xmlns:c16="http://schemas.microsoft.com/office/drawing/2014/chart" uri="{C3380CC4-5D6E-409C-BE32-E72D297353CC}">
              <c16:uniqueId val="{00000009-D483-4941-8B76-B06B5E546E5D}"/>
            </c:ext>
          </c:extLst>
        </c:ser>
        <c:ser>
          <c:idx val="11"/>
          <c:order val="11"/>
          <c:tx>
            <c:strRef>
              <c:f>'OpEx Pivot'!$O$2:$O$5</c:f>
              <c:strCache>
                <c:ptCount val="1"/>
                <c:pt idx="0">
                  <c:v>OpEx - (blank) - (blank)</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Pivot'!$O$6:$O$18</c:f>
              <c:numCache>
                <c:formatCode>_(* #,##0_);_(* \(#,##0\);_(* "-"??_);_(@_)</c:formatCode>
                <c:ptCount val="12"/>
                <c:pt idx="0">
                  <c:v>14.56</c:v>
                </c:pt>
              </c:numCache>
            </c:numRef>
          </c:val>
          <c:extLst>
            <c:ext xmlns:c16="http://schemas.microsoft.com/office/drawing/2014/chart" uri="{C3380CC4-5D6E-409C-BE32-E72D297353CC}">
              <c16:uniqueId val="{0000000A-D483-4941-8B76-B06B5E546E5D}"/>
            </c:ext>
          </c:extLst>
        </c:ser>
        <c:ser>
          <c:idx val="12"/>
          <c:order val="12"/>
          <c:tx>
            <c:strRef>
              <c:f>'OpEx Pivot'!$P$2:$P$5</c:f>
              <c:strCache>
                <c:ptCount val="1"/>
                <c:pt idx="0">
                  <c:v>OpEx - (blank) - Phone mail</c:v>
                </c:pt>
              </c:strCache>
            </c:strRef>
          </c:tx>
          <c:spPr>
            <a:gradFill rotWithShape="1">
              <a:gsLst>
                <a:gs pos="0">
                  <a:schemeClr val="accent1">
                    <a:lumMod val="80000"/>
                    <a:lumOff val="20000"/>
                    <a:tint val="50000"/>
                    <a:satMod val="300000"/>
                  </a:schemeClr>
                </a:gs>
                <a:gs pos="35000">
                  <a:schemeClr val="accent1">
                    <a:lumMod val="80000"/>
                    <a:lumOff val="20000"/>
                    <a:tint val="37000"/>
                    <a:satMod val="300000"/>
                  </a:schemeClr>
                </a:gs>
                <a:gs pos="100000">
                  <a:schemeClr val="accent1">
                    <a:lumMod val="80000"/>
                    <a:lumOff val="20000"/>
                    <a:tint val="15000"/>
                    <a:satMod val="350000"/>
                  </a:schemeClr>
                </a:gs>
              </a:gsLst>
              <a:lin ang="16200000" scaled="1"/>
            </a:gradFill>
            <a:ln w="9525" cap="flat" cmpd="sng" algn="ctr">
              <a:solidFill>
                <a:schemeClr val="accent1">
                  <a:lumMod val="80000"/>
                  <a:lumOff val="20000"/>
                  <a:shade val="95000"/>
                </a:schemeClr>
              </a:solidFill>
              <a:round/>
            </a:ln>
            <a:effectLst>
              <a:outerShdw blurRad="40000" dist="20000" dir="5400000" rotWithShape="0">
                <a:srgbClr val="000000">
                  <a:alpha val="38000"/>
                </a:srgbClr>
              </a:outerShdw>
            </a:effectLst>
          </c:spPr>
          <c:invertIfNegative val="0"/>
          <c:cat>
            <c:strRef>
              <c:f>'OpEx Pivot'!$B$6:$B$18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'OpEx Pivot'!$P$6:$P$18</c:f>
              <c:numCache>
                <c:formatCode>_(* #,##0_);_(* \(#,##0\);_(* "-"??_);_(@_)</c:formatCode>
                <c:ptCount val="12"/>
                <c:pt idx="4">
                  <c:v>190.75965200000002</c:v>
                </c:pt>
                <c:pt idx="6">
                  <c:v>188.68944300000001</c:v>
                </c:pt>
              </c:numCache>
            </c:numRef>
          </c:val>
          <c:extLst>
            <c:ext xmlns:c16="http://schemas.microsoft.com/office/drawing/2014/chart" uri="{C3380CC4-5D6E-409C-BE32-E72D297353CC}">
              <c16:uniqueId val="{0000000B-D483-4941-8B76-B06B5E546E5D}"/>
            </c:ext>
          </c:extLst>
        </c:ser>
        <c:dLbls>
          <c:showLegendKey val="0"/>
          <c:showVal val="0"/>
          <c:showCatName val="0"/>
          <c:showSerName val="0"/>
          <c:showPercent val="0"/>
          <c:showBubbleSize val="0"/>
        </c:dLbls>
        <c:gapWidth val="150"/>
        <c:overlap val="100"/>
        <c:serLines>
          <c:spPr>
            <a:ln w="9525">
              <a:solidFill>
                <a:schemeClr val="tx1">
                  <a:lumMod val="35000"/>
                  <a:lumOff val="65000"/>
                </a:schemeClr>
              </a:solidFill>
              <a:prstDash val="dash"/>
            </a:ln>
            <a:effectLst/>
          </c:spPr>
        </c:serLines>
        <c:axId val="-1947219696"/>
        <c:axId val="-1947232752"/>
      </c:barChart>
      <c:catAx>
        <c:axId val="-194721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32752"/>
        <c:crosses val="autoZero"/>
        <c:auto val="1"/>
        <c:lblAlgn val="ctr"/>
        <c:lblOffset val="100"/>
        <c:noMultiLvlLbl val="0"/>
      </c:catAx>
      <c:valAx>
        <c:axId val="-1947232752"/>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196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[AuraFin2k25.xlsx]CoS Pivot!CoS_Pivot</c:name>
    <c:fmtId val="2"/>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CoS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bar"/>
        <c:grouping val="stacked"/>
        <c:varyColors val="0"/>
        <c:ser>
          <c:idx val="0"/>
          <c:order val="0"/>
          <c:tx>
            <c:strRef>
              <c:f>'CoS Pivot'!$C$2:$C$5</c:f>
              <c:strCache>
                <c:ptCount val="1"/>
                <c:pt idx="0">
                  <c:v>Cost of Sales - Ads Spend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'CoS Pivot'!$B$6:$B$15</c:f>
              <c:strCache>
                <c:ptCount val="9"/>
                <c:pt idx="0">
                  <c:v>Jan</c:v>
                </c:pt>
                <c:pt idx="1">
                  <c:v>Feb</c:v>
                </c:pt>
                <c:pt idx="2">
                  <c:v>Mar</c:v>
                </c:pt>
                <c:pt idx="3">
                  <c:v>Apr</c:v>
                </c:pt>
                <c:pt idx="4">
                  <c:v>May</c:v>
                </c:pt>
                <c:pt idx="5">
                  <c:v>Jun</c:v>
                </c:pt>
                <c:pt idx="6">
                  <c:v>Jul</c:v>
                </c:pt>
                <c:pt idx="7">
                  <c:v>Aug</c:v>
                </c:pt>
                <c:pt idx="8">
                  <c:v>Sep</c:v>
                </c:pt>
              </c:strCache>
            </c:strRef>
          </c:cat>
          <c:val>
            <c:numRef>
              <c:f>'CoS Pivot'!$C$6:$C$15</c:f>
              <c:numCache>
                <c:formatCode>_(* #,##0_);_(* \(#,##0\);_(* "-"??_);_(@_)</c:formatCode>
                <c:ptCount val="9"/>
                <c:pt idx="0">
                  <c:v>1018.04</c:v>
                </c:pt>
                <c:pt idx="1">
                  <c:v>246.17000000000002</c:v>
                </c:pt>
                <c:pt idx="2">
                  <c:v>3056.17</c:v>
                </c:pt>
                <c:pt idx="3">
                  <c:v>246.17000000000002</c:v>
                </c:pt>
                <c:pt idx="4">
                  <c:v>3056.17</c:v>
                </c:pt>
                <c:pt idx="5">
                  <c:v>246.17000000000002</c:v>
                </c:pt>
                <c:pt idx="6">
                  <c:v>246.17000000000002</c:v>
                </c:pt>
                <c:pt idx="7">
                  <c:v>246.17000000000002</c:v>
                </c:pt>
                <c:pt idx="8">
                  <c:v>246.17000000000002</c:v>
                </c:pt>
              </c:numCache>
            </c:numRef>
          </c:val>
          <c:extLst>
            <c:ext xmlns:c16="http://schemas.microsoft.com/office/drawing/2014/chart" uri="{C3380CC4-5D6E-409C-BE32-E72D297353CC}">
              <c16:uniqueId val="{00000000-A571-2D47-B309-072A0E3C7A9D}"/>
            </c:ext>
          </c:extLst>
        </c:ser>
        <c:ser>
          <c:idx val="1"/>
          <c:order val="1"/>
          <c:tx>
            <c:strRef>
              <c:f>'CoS Pivot'!$D$2:$D$5</c:f>
              <c:strCache>
                <c:ptCount val="1"/>
                <c:pt idx="0">
                  <c:v>Cost of Sales - Hosting Spend</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'CoS Pivot'!$B$6:$B$15</c:f>
              <c:strCache>
                <c:ptCount val="9"/>
                <c:pt idx="0">
                  <c:v>Jan</c:v>
                </c:pt>
                <c:pt idx="1">
                  <c:v>Feb</c:v>
                </c:pt>
                <c:pt idx="2">
                  <c:v>Mar</c:v>
                </c:pt>
                <c:pt idx="3">
                  <c:v>Apr</c:v>
                </c:pt>
                <c:pt idx="4">
                  <c:v>May</c:v>
                </c:pt>
                <c:pt idx="5">
                  <c:v>Jun</c:v>
                </c:pt>
                <c:pt idx="6">
                  <c:v>Jul</c:v>
                </c:pt>
                <c:pt idx="7">
                  <c:v>Aug</c:v>
                </c:pt>
                <c:pt idx="8">
                  <c:v>Sep</c:v>
                </c:pt>
              </c:strCache>
            </c:strRef>
          </c:cat>
          <c:val>
            <c:numRef>
              <c:f>'CoS Pivot'!$D$6:$D$15</c:f>
              <c:numCache>
                <c:formatCode>_(* #,##0_);_(* \(#,##0\);_(* "-"??_);_(@_)</c:formatCode>
                <c:ptCount val="9"/>
                <c:pt idx="1">
                  <c:v>613.05999999999995</c:v>
                </c:pt>
                <c:pt idx="4">
                  <c:v>1021.0593008000001</c:v>
                </c:pt>
                <c:pt idx="5">
                  <c:v>342.52591999999999</c:v>
                </c:pt>
                <c:pt idx="6">
                  <c:v>335.57875999999999</c:v>
                </c:pt>
                <c:pt idx="7">
                  <c:v>0</c:v>
                </c:pt>
              </c:numCache>
            </c:numRef>
          </c:val>
          <c:extLst>
            <c:ext xmlns:c16="http://schemas.microsoft.com/office/drawing/2014/chart" uri="{C3380CC4-5D6E-409C-BE32-E72D297353CC}">
              <c16:uniqueId val="{00000000-D379-6948-8AE7-B2E3E068BBC8}"/>
            </c:ext>
          </c:extLst>
        </c:ser>
        <c:ser>
          <c:idx val="2"/>
          <c:order val="2"/>
          <c:tx>
            <c:strRef>
              <c:f>'CoS Pivot'!$E$2:$E$5</c:f>
              <c:strCache>
                <c:ptCount val="1"/>
                <c:pt idx="0">
                  <c:v>Cost of Sales - Plugins</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'CoS Pivot'!$B$6:$B$15</c:f>
              <c:strCache>
                <c:ptCount val="9"/>
                <c:pt idx="0">
                  <c:v>Jan</c:v>
                </c:pt>
                <c:pt idx="1">
                  <c:v>Feb</c:v>
                </c:pt>
                <c:pt idx="2">
                  <c:v>Mar</c:v>
                </c:pt>
                <c:pt idx="3">
                  <c:v>Apr</c:v>
                </c:pt>
                <c:pt idx="4">
                  <c:v>May</c:v>
                </c:pt>
                <c:pt idx="5">
                  <c:v>Jun</c:v>
                </c:pt>
                <c:pt idx="6">
                  <c:v>Jul</c:v>
                </c:pt>
                <c:pt idx="7">
                  <c:v>Aug</c:v>
                </c:pt>
                <c:pt idx="8">
                  <c:v>Sep</c:v>
                </c:pt>
              </c:strCache>
            </c:strRef>
          </c:cat>
          <c:val>
            <c:numRef>
              <c:f>'CoS Pivot'!$E$6:$E$15</c:f>
              <c:numCache>
                <c:formatCode>_(* #,##0_);_(* \(#,##0\);_(* "-"??_);_(@_)</c:formatCode>
                <c:ptCount val="9"/>
                <c:pt idx="2">
                  <c:v>3234.14</c:v>
                </c:pt>
              </c:numCache>
            </c:numRef>
          </c:val>
          <c:extLst>
            <c:ext xmlns:c16="http://schemas.microsoft.com/office/drawing/2014/chart" uri="{C3380CC4-5D6E-409C-BE32-E72D297353CC}">
              <c16:uniqueId val="{00000001-D379-6948-8AE7-B2E3E068BBC8}"/>
            </c:ext>
          </c:extLst>
        </c:ser>
        <c:ser>
          <c:idx val="3"/>
          <c:order val="3"/>
          <c:tx>
            <c:strRef>
              <c:f>'CoS Pivot'!$F$2:$F$5</c:f>
              <c:strCache>
                <c:ptCount val="1"/>
                <c:pt idx="0">
                  <c:v>Cost of Sales - Domains Spend</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cat>
            <c:strRef>
              <c:f>'CoS Pivot'!$B$6:$B$15</c:f>
              <c:strCache>
                <c:ptCount val="9"/>
                <c:pt idx="0">
                  <c:v>Jan</c:v>
                </c:pt>
                <c:pt idx="1">
                  <c:v>Feb</c:v>
                </c:pt>
                <c:pt idx="2">
                  <c:v>Mar</c:v>
                </c:pt>
                <c:pt idx="3">
                  <c:v>Apr</c:v>
                </c:pt>
                <c:pt idx="4">
                  <c:v>May</c:v>
                </c:pt>
                <c:pt idx="5">
                  <c:v>Jun</c:v>
                </c:pt>
                <c:pt idx="6">
                  <c:v>Jul</c:v>
                </c:pt>
                <c:pt idx="7">
                  <c:v>Aug</c:v>
                </c:pt>
                <c:pt idx="8">
                  <c:v>Sep</c:v>
                </c:pt>
              </c:strCache>
            </c:strRef>
          </c:cat>
          <c:val>
            <c:numRef>
              <c:f>'CoS Pivot'!$F$6:$F$15</c:f>
              <c:numCache>
                <c:formatCode>_(* #,##0_);_(* \(#,##0\);_(* "-"??_);_(@_)</c:formatCode>
                <c:ptCount val="9"/>
                <c:pt idx="0">
                  <c:v>291.31489999999997</c:v>
                </c:pt>
                <c:pt idx="2">
                  <c:v>654.89030000000002</c:v>
                </c:pt>
                <c:pt idx="4">
                  <c:v>3412.6492290999995</c:v>
                </c:pt>
                <c:pt idx="6">
                  <c:v>1636.0956360000002</c:v>
                </c:pt>
                <c:pt idx="7">
                  <c:v>797.69</c:v>
                </c:pt>
              </c:numCache>
            </c:numRef>
          </c:val>
          <c:extLst>
            <c:ext xmlns:c16="http://schemas.microsoft.com/office/drawing/2014/chart" uri="{C3380CC4-5D6E-409C-BE32-E72D297353CC}">
              <c16:uniqueId val="{00000002-D379-6948-8AE7-B2E3E068BBC8}"/>
            </c:ext>
          </c:extLst>
        </c:ser>
        <c:dLbls>
          <c:showLegendKey val="0"/>
          <c:showVal val="0"/>
          <c:showCatName val="0"/>
          <c:showSerName val="0"/>
          <c:showPercent val="0"/>
          <c:showBubbleSize val="0"/>
        </c:dLbls>
        <c:gapWidth val="95"/>
        <c:overlap val="100"/>
        <c:serLines>
          <c:spPr>
            <a:ln w="9525">
              <a:solidFill>
                <a:schemeClr val="tx1">
                  <a:lumMod val="35000"/>
                  <a:lumOff val="65000"/>
                </a:schemeClr>
              </a:solidFill>
              <a:prstDash val="dash"/>
            </a:ln>
            <a:effectLst/>
          </c:spPr>
        </c:serLines>
        <c:axId val="-1947230032"/>
        <c:axId val="-1947229488"/>
      </c:barChart>
      <c:catAx>
        <c:axId val="-194723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29488"/>
        <c:crosses val="autoZero"/>
        <c:auto val="1"/>
        <c:lblAlgn val="ctr"/>
        <c:lblOffset val="100"/>
        <c:noMultiLvlLbl val="0"/>
      </c:catAx>
      <c:valAx>
        <c:axId val="-1947229488"/>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w="9525" cap="flat" cmpd="sng" algn="ctr">
            <a:solidFill>
              <a:schemeClr val="accent5">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47230032"/>
        <c:crosses val="autoZero"/>
        <c:crossBetween val="between"/>
        <c:majorUnit val="20000"/>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[AuraFin2k25.xlsx]Tax Pivot!Tax_Pivot</c:name>
    <c:fmtId val="2"/>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Taxes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'Tax Pivot'!$C$2:$C$4</c:f>
              <c:strCache>
                <c:ptCount val="1"/>
                <c:pt idx="0">
                  <c:v>Tax - Deduction Tax</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'Tax Pivot'!$B$5:$B$15</c:f>
              <c:strCache>
                <c:ptCount val="10"/>
                <c:pt idx="0">
                  <c:v>Jan</c:v>
                </c:pt>
                <c:pt idx="1">
                  <c:v>Feb</c:v>
                </c:pt>
                <c:pt idx="2">
                  <c:v>Mar</c:v>
                </c:pt>
                <c:pt idx="3">
                  <c:v>Apr</c:v>
                </c:pt>
                <c:pt idx="4">
                  <c:v>May</c:v>
                </c:pt>
                <c:pt idx="5">
                  <c:v>Jun</c:v>
                </c:pt>
                <c:pt idx="6">
                  <c:v>Jul</c:v>
                </c:pt>
                <c:pt idx="7">
                  <c:v>Aug</c:v>
                </c:pt>
                <c:pt idx="8">
                  <c:v>Sep</c:v>
                </c:pt>
                <c:pt idx="9">
                  <c:v>Oct</c:v>
                </c:pt>
              </c:strCache>
            </c:strRef>
          </c:cat>
          <c:val>
            <c:numRef>
              <c:f>'Tax Pivot'!$C$5:$C$15</c:f>
              <c:numCache>
                <c:formatCode>_(* #,##0_);_(* \(#,##0\);_(* "-"??_);_(@_)</c:formatCode>
                <c:ptCount val="10"/>
                <c:pt idx="1">
                  <c:v>3310</c:v>
                </c:pt>
              </c:numCache>
            </c:numRef>
          </c:val>
          <c:extLst>
            <c:ext xmlns:c16="http://schemas.microsoft.com/office/drawing/2014/chart" uri="{C3380CC4-5D6E-409C-BE32-E72D297353CC}">
              <c16:uniqueId val="{00000000-2047-D146-B674-7314937B417E}"/>
            </c:ext>
          </c:extLst>
        </c:ser>
        <c:ser>
          <c:idx val="1"/>
          <c:order val="1"/>
          <c:tx>
            <c:strRef>
              <c:f>'Tax Pivot'!$D$2:$D$4</c:f>
              <c:strCache>
                <c:ptCount val="1"/>
                <c:pt idx="0">
                  <c:v>Tax - VAT</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'Tax Pivot'!$B$5:$B$15</c:f>
              <c:strCache>
                <c:ptCount val="10"/>
                <c:pt idx="0">
                  <c:v>Jan</c:v>
                </c:pt>
                <c:pt idx="1">
                  <c:v>Feb</c:v>
                </c:pt>
                <c:pt idx="2">
                  <c:v>Mar</c:v>
                </c:pt>
                <c:pt idx="3">
                  <c:v>Apr</c:v>
                </c:pt>
                <c:pt idx="4">
                  <c:v>May</c:v>
                </c:pt>
                <c:pt idx="5">
                  <c:v>Jun</c:v>
                </c:pt>
                <c:pt idx="6">
                  <c:v>Jul</c:v>
                </c:pt>
                <c:pt idx="7">
                  <c:v>Aug</c:v>
                </c:pt>
                <c:pt idx="8">
                  <c:v>Sep</c:v>
                </c:pt>
                <c:pt idx="9">
                  <c:v>Oct</c:v>
                </c:pt>
              </c:strCache>
            </c:strRef>
          </c:cat>
          <c:val>
            <c:numRef>
              <c:f>'Tax Pivot'!$D$5:$D$15</c:f>
              <c:numCache>
                <c:formatCode>_(* #,##0_);_(* \(#,##0\);_(* "-"??_);_(@_)</c:formatCode>
                <c:ptCount val="10"/>
                <c:pt idx="0">
                  <c:v>19160.120000000003</c:v>
                </c:pt>
                <c:pt idx="1">
                  <c:v>57450.189999999995</c:v>
                </c:pt>
                <c:pt idx="2">
                  <c:v>22077.7</c:v>
                </c:pt>
                <c:pt idx="3">
                  <c:v>9310</c:v>
                </c:pt>
                <c:pt idx="4">
                  <c:v>11390.689999999999</c:v>
                </c:pt>
                <c:pt idx="5">
                  <c:v>12420.060000000001</c:v>
                </c:pt>
                <c:pt idx="6">
                  <c:v>16007.34</c:v>
                </c:pt>
                <c:pt idx="7">
                  <c:v>15493</c:v>
                </c:pt>
                <c:pt idx="8">
                  <c:v>11088.46</c:v>
                </c:pt>
              </c:numCache>
            </c:numRef>
          </c:val>
          <c:extLst>
            <c:ext xmlns:c16="http://schemas.microsoft.com/office/drawing/2014/chart" uri="{C3380CC4-5D6E-409C-BE32-E72D297353CC}">
              <c16:uniqueId val="{00000000-049B-574C-B8DE-2FC866057446}"/>
            </c:ext>
          </c:extLst>
        </c:ser>
        <c:ser>
          <c:idx val="2"/>
          <c:order val="2"/>
          <c:tx>
            <c:strRef>
              <c:f>'Tax Pivot'!$E$2:$E$4</c:f>
              <c:strCache>
                <c:ptCount val="1"/>
                <c:pt idx="0">
                  <c:v>Tax - Payroll Tax</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'Tax Pivot'!$B$5:$B$15</c:f>
              <c:strCache>
                <c:ptCount val="10"/>
                <c:pt idx="0">
                  <c:v>Jan</c:v>
                </c:pt>
                <c:pt idx="1">
                  <c:v>Feb</c:v>
                </c:pt>
                <c:pt idx="2">
                  <c:v>Mar</c:v>
                </c:pt>
                <c:pt idx="3">
                  <c:v>Apr</c:v>
                </c:pt>
                <c:pt idx="4">
                  <c:v>May</c:v>
                </c:pt>
                <c:pt idx="5">
                  <c:v>Jun</c:v>
                </c:pt>
                <c:pt idx="6">
                  <c:v>Jul</c:v>
                </c:pt>
                <c:pt idx="7">
                  <c:v>Aug</c:v>
                </c:pt>
                <c:pt idx="8">
                  <c:v>Sep</c:v>
                </c:pt>
                <c:pt idx="9">
                  <c:v>Oct</c:v>
                </c:pt>
              </c:strCache>
            </c:strRef>
          </c:cat>
          <c:val>
            <c:numRef>
              <c:f>'Tax Pivot'!$E$5:$E$15</c:f>
              <c:numCache>
                <c:formatCode>_(* #,##0_);_(* \(#,##0\);_(* "-"??_);_(@_)</c:formatCode>
                <c:ptCount val="10"/>
                <c:pt idx="3">
                  <c:v>17132</c:v>
                </c:pt>
                <c:pt idx="6">
                  <c:v>28739.040000000001</c:v>
                </c:pt>
                <c:pt idx="9">
                  <c:v>29544.240000000002</c:v>
                </c:pt>
              </c:numCache>
            </c:numRef>
          </c:val>
          <c:extLst>
            <c:ext xmlns:c16="http://schemas.microsoft.com/office/drawing/2014/chart" uri="{C3380CC4-5D6E-409C-BE32-E72D297353CC}">
              <c16:uniqueId val="{00000001-049B-574C-B8DE-2FC866057446}"/>
            </c:ext>
          </c:extLst>
        </c:ser>
        <c:ser>
          <c:idx val="3"/>
          <c:order val="3"/>
          <c:tx>
            <c:strRef>
              <c:f>'Tax Pivot'!$F$2:$F$4</c:f>
              <c:strCache>
                <c:ptCount val="1"/>
                <c:pt idx="0">
                  <c:v>Tax - Social Insurance</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cat>
            <c:strRef>
              <c:f>'Tax Pivot'!$B$5:$B$15</c:f>
              <c:strCache>
                <c:ptCount val="10"/>
                <c:pt idx="0">
                  <c:v>Jan</c:v>
                </c:pt>
                <c:pt idx="1">
                  <c:v>Feb</c:v>
                </c:pt>
                <c:pt idx="2">
                  <c:v>Mar</c:v>
                </c:pt>
                <c:pt idx="3">
                  <c:v>Apr</c:v>
                </c:pt>
                <c:pt idx="4">
                  <c:v>May</c:v>
                </c:pt>
                <c:pt idx="5">
                  <c:v>Jun</c:v>
                </c:pt>
                <c:pt idx="6">
                  <c:v>Jul</c:v>
                </c:pt>
                <c:pt idx="7">
                  <c:v>Aug</c:v>
                </c:pt>
                <c:pt idx="8">
                  <c:v>Sep</c:v>
                </c:pt>
                <c:pt idx="9">
                  <c:v>Oct</c:v>
                </c:pt>
              </c:strCache>
            </c:strRef>
          </c:cat>
          <c:val>
            <c:numRef>
              <c:f>'Tax Pivot'!$F$5:$F$15</c:f>
              <c:numCache>
                <c:formatCode>_(* #,##0_);_(* \(#,##0\);_(* "-"??_);_(@_)</c:formatCode>
                <c:ptCount val="10"/>
                <c:pt idx="5">
                  <c:v>57211.47</c:v>
                </c:pt>
              </c:numCache>
            </c:numRef>
          </c:val>
          <c:extLst>
            <c:ext xmlns:c16="http://schemas.microsoft.com/office/drawing/2014/chart" uri="{C3380CC4-5D6E-409C-BE32-E72D297353CC}">
              <c16:uniqueId val="{00000002-049B-574C-B8DE-2FC866057446}"/>
            </c:ext>
          </c:extLst>
        </c:ser>
        <c:dLbls>
          <c:showLegendKey val="0"/>
          <c:showVal val="0"/>
          <c:showCatName val="0"/>
          <c:showSerName val="0"/>
          <c:showPercent val="0"/>
          <c:showBubbleSize val="0"/>
        </c:dLbls>
        <c:gapWidth val="150"/>
        <c:overlap val="100"/>
        <c:serLines>
          <c:spPr>
            <a:ln w="9525">
              <a:solidFill>
                <a:schemeClr val="tx1">
                  <a:lumMod val="35000"/>
                  <a:lumOff val="65000"/>
                </a:schemeClr>
              </a:solidFill>
              <a:prstDash val="dash"/>
            </a:ln>
            <a:effectLst/>
          </c:spPr>
        </c:serLines>
        <c:axId val="-1950270736"/>
        <c:axId val="-1950268560"/>
      </c:barChart>
      <c:catAx>
        <c:axId val="-195027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50268560"/>
        <c:crosses val="autoZero"/>
        <c:auto val="1"/>
        <c:lblAlgn val="ctr"/>
        <c:lblOffset val="100"/>
        <c:noMultiLvlLbl val="0"/>
      </c:catAx>
      <c:valAx>
        <c:axId val="-1950268560"/>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50270736"/>
        <c:crosses val="autoZero"/>
        <c:crossBetween val="between"/>
        <c:majorUnit val="20000"/>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[AuraFin2k25.xlsx]VAT Pivot!VATPivot</c:name>
    <c:fmtId val="7"/>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sz="1200"/>
              <a:t>VAT</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s>
    <c:plotArea>
      <c:layout/>
      <c:barChart>
        <c:barDir val="bar"/>
        <c:grouping val="clustered"/>
        <c:varyColors val="0"/>
        <c:ser>
          <c:idx val="0"/>
          <c:order val="0"/>
          <c:tx>
            <c:strRef>
              <c:f>'VAT Pivot'!$C$2:$C$3</c:f>
              <c:strCache>
                <c:ptCount val="1"/>
                <c:pt idx="0">
                  <c:v>VAT Spend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'VAT Pivot'!$B$4:$B$12</c:f>
              <c:strCache>
                <c:ptCount val="9"/>
                <c:pt idx="0">
                  <c:v>Jan</c:v>
                </c:pt>
                <c:pt idx="1">
                  <c:v>Feb</c:v>
                </c:pt>
                <c:pt idx="2">
                  <c:v>Mar</c:v>
                </c:pt>
                <c:pt idx="3">
                  <c:v>Apr</c:v>
                </c:pt>
                <c:pt idx="4">
                  <c:v>May</c:v>
                </c:pt>
                <c:pt idx="5">
                  <c:v>Jun</c:v>
                </c:pt>
                <c:pt idx="6">
                  <c:v>Jul</c:v>
                </c:pt>
                <c:pt idx="7">
                  <c:v>Aug</c:v>
                </c:pt>
                <c:pt idx="8">
                  <c:v>Sep</c:v>
                </c:pt>
              </c:strCache>
            </c:strRef>
          </c:cat>
          <c:val>
            <c:numRef>
              <c:f>'VAT Pivot'!$C$4:$C$12</c:f>
              <c:numCache>
                <c:formatCode>_(* #,##0_);_(* \(#,##0\);_(* "-"??_);_(@_)</c:formatCode>
                <c:ptCount val="9"/>
                <c:pt idx="0">
                  <c:v>19160.120000000003</c:v>
                </c:pt>
                <c:pt idx="1">
                  <c:v>57450.189999999995</c:v>
                </c:pt>
                <c:pt idx="2">
                  <c:v>22077.7</c:v>
                </c:pt>
                <c:pt idx="3">
                  <c:v>9310</c:v>
                </c:pt>
                <c:pt idx="4">
                  <c:v>11390.689999999999</c:v>
                </c:pt>
                <c:pt idx="5">
                  <c:v>12420.060000000001</c:v>
                </c:pt>
                <c:pt idx="6">
                  <c:v>16007.34</c:v>
                </c:pt>
                <c:pt idx="7">
                  <c:v>15493</c:v>
                </c:pt>
                <c:pt idx="8">
                  <c:v>11088.46</c:v>
                </c:pt>
              </c:numCache>
            </c:numRef>
          </c:val>
          <c:extLst>
            <c:ext xmlns:c16="http://schemas.microsoft.com/office/drawing/2014/chart" uri="{C3380CC4-5D6E-409C-BE32-E72D297353CC}">
              <c16:uniqueId val="{00000000-E8B8-6F42-97A5-DE0671612E65}"/>
            </c:ext>
          </c:extLst>
        </c:ser>
        <c:dLbls>
          <c:dLblPos val="inEnd"/>
          <c:showLegendKey val="0"/>
          <c:showVal val="1"/>
          <c:showCatName val="0"/>
          <c:showSerName val="0"/>
          <c:showPercent val="0"/>
          <c:showBubbleSize val="0"/>
        </c:dLbls>
        <c:gapWidth val="100"/>
        <c:axId val="-1950270192"/>
        <c:axId val="-1950276720"/>
      </c:barChart>
      <c:catAx>
        <c:axId val="-195027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50276720"/>
        <c:crosses val="autoZero"/>
        <c:auto val="1"/>
        <c:lblAlgn val="ctr"/>
        <c:lblOffset val="100"/>
        <c:noMultiLvlLbl val="0"/>
      </c:catAx>
      <c:valAx>
        <c:axId val="-1950276720"/>
        <c:scaling>
          <c:orientation val="minMax"/>
        </c:scaling>
        <c:delete val="0"/>
        <c:axPos val="b"/>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crossAx val="-1950270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Century Gothic" panose="020B0502020202020204" pitchFamily="34" charset="0"/>
                <a:ea typeface="+mn-ea"/>
                <a:cs typeface="+mn-cs"/>
              </a:defRPr>
            </a:pPr>
            <a:r>
              <a:rPr lang="en-US" sz="1200" b="0"/>
              <a:t>Projected EOY Income</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lineChart>
        <c:grouping val="standard"/>
        <c:varyColors val="0"/>
        <c:ser>
          <c:idx val="0"/>
          <c:order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Dashboard!#REF!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Dashboard!#REF!</c15:sqref>
                        </c15:formulaRef>
                      </c:ext>
                    </c:extLst>
                    <c:strCache>
                      <c:ptCount val="1"/>
                      <c:pt idx="0">
                        <c:v>#REF!</c:v>
                      </c:pt>
                    </c:strCache>
                  </c:strRef>
                </c15:cat>
              </c15:filteredCategoryTitle>
            </c:ext>
            <c:ext xmlns:c16="http://schemas.microsoft.com/office/drawing/2014/chart" uri="{C3380CC4-5D6E-409C-BE32-E72D297353CC}">
              <c16:uniqueId val="{00000000-4588-C848-A37B-FFFC9EC8031A}"/>
            </c:ext>
          </c:extLst>
        </c:ser>
        <c:dLbls>
          <c:showLegendKey val="0"/>
          <c:showVal val="0"/>
          <c:showCatName val="0"/>
          <c:showSerName val="0"/>
          <c:showPercent val="0"/>
          <c:showBubbleSize val="0"/>
        </c:dLbls>
        <c:marker val="1"/>
        <c:smooth val="0"/>
        <c:axId val="-1950264208"/>
        <c:axId val="-1950276176"/>
      </c:lineChart>
      <c:catAx>
        <c:axId val="-1950264208"/>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Century Gothic" panose="020B0502020202020204" pitchFamily="34" charset="0"/>
                <a:ea typeface="+mn-ea"/>
                <a:cs typeface="+mn-cs"/>
              </a:defRPr>
            </a:pPr>
            <a:endParaRPr lang="en-US"/>
          </a:p>
        </c:txPr>
        <c:crossAx val="-1950276176"/>
        <c:crosses val="max"/>
        <c:auto val="1"/>
        <c:lblAlgn val="ctr"/>
        <c:lblOffset val="100"/>
        <c:noMultiLvlLbl val="0"/>
      </c:catAx>
      <c:valAx>
        <c:axId val="-1950276176"/>
        <c:scaling>
          <c:orientation val="minMax"/>
          <c:max val="12000000"/>
        </c:scaling>
        <c:delete val="0"/>
        <c:axPos val="l"/>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9502642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Contracts &amp; Collections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6"/>
                </a:solidFill>
              </a:ln>
              <a:effectLst/>
            </c:spPr>
            <c:trendlineType val="poly"/>
            <c:order val="3"/>
            <c:dispRSqr val="0"/>
            <c:dispEq val="0"/>
          </c:trendline>
          <c:val>
            <c:numRef>
              <c:f>Dashboard!#REF!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Dashboard!#REF!</c15:sqref>
                        </c15:formulaRef>
                      </c:ext>
                    </c:extLst>
                    <c:strCache>
                      <c:ptCount val="1"/>
                      <c:pt idx="0">
                        <c:v>#REF!</c:v>
                      </c:pt>
                    </c:strCache>
                  </c:strRef>
                </c15:cat>
              </c15:filteredCategoryTitle>
            </c:ext>
            <c:ext xmlns:c16="http://schemas.microsoft.com/office/drawing/2014/chart" uri="{C3380CC4-5D6E-409C-BE32-E72D297353CC}">
              <c16:uniqueId val="{00000001-608D-5C4A-B595-CB05DFF7741D}"/>
            </c:ext>
          </c:extLst>
        </c:ser>
        <c:ser>
          <c:idx val="2"/>
          <c:order val="1"/>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4"/>
                </a:solidFill>
              </a:ln>
              <a:effectLst/>
            </c:spPr>
            <c:trendlineType val="poly"/>
            <c:order val="3"/>
            <c:dispRSqr val="0"/>
            <c:dispEq val="0"/>
          </c:trendline>
          <c:val>
            <c:numRef>
              <c:f>Dashboard!#REF!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Dashboard!#REF!</c15:sqref>
                        </c15:formulaRef>
                      </c:ext>
                    </c:extLst>
                    <c:strCache>
                      <c:ptCount val="1"/>
                      <c:pt idx="0">
                        <c:v>#REF!</c:v>
                      </c:pt>
                    </c:strCache>
                  </c:strRef>
                </c15:cat>
              </c15:filteredCategoryTitle>
            </c:ext>
            <c:ext xmlns:c16="http://schemas.microsoft.com/office/drawing/2014/chart" uri="{C3380CC4-5D6E-409C-BE32-E72D297353CC}">
              <c16:uniqueId val="{00000003-608D-5C4A-B595-CB05DFF7741D}"/>
            </c:ext>
          </c:extLst>
        </c:ser>
        <c:ser>
          <c:idx val="1"/>
          <c:order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Dashboard!#REF!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Dashboard!#REF!</c15:sqref>
                        </c15:formulaRef>
                      </c:ext>
                    </c:extLst>
                    <c:strCache>
                      <c:ptCount val="1"/>
                      <c:pt idx="0">
                        <c:v>#REF!</c:v>
                      </c:pt>
                    </c:strCache>
                  </c:strRef>
                </c15:cat>
              </c15:filteredCategoryTitle>
            </c:ext>
            <c:ext xmlns:c16="http://schemas.microsoft.com/office/drawing/2014/chart" uri="{C3380CC4-5D6E-409C-BE32-E72D297353CC}">
              <c16:uniqueId val="{00000004-608D-5C4A-B595-CB05DFF7741D}"/>
            </c:ext>
          </c:extLst>
        </c:ser>
        <c:ser>
          <c:idx val="3"/>
          <c:order val="3"/>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Dashboard!#REF!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Dashboard!#REF!</c15:sqref>
                        </c15:formulaRef>
                      </c:ext>
                    </c:extLst>
                    <c:strCache>
                      <c:ptCount val="1"/>
                      <c:pt idx="0">
                        <c:v>#REF!</c:v>
                      </c:pt>
                    </c:strCache>
                  </c:strRef>
                </c15:cat>
              </c15:filteredCategoryTitle>
            </c:ext>
            <c:ext xmlns:c16="http://schemas.microsoft.com/office/drawing/2014/chart" uri="{C3380CC4-5D6E-409C-BE32-E72D297353CC}">
              <c16:uniqueId val="{00000005-608D-5C4A-B595-CB05DFF7741D}"/>
            </c:ext>
          </c:extLst>
        </c:ser>
        <c:dLbls>
          <c:dLblPos val="outEnd"/>
          <c:showLegendKey val="0"/>
          <c:showVal val="1"/>
          <c:showCatName val="0"/>
          <c:showSerName val="0"/>
          <c:showPercent val="0"/>
          <c:showBubbleSize val="0"/>
        </c:dLbls>
        <c:gapWidth val="100"/>
        <c:overlap val="-24"/>
        <c:axId val="-1950263120"/>
        <c:axId val="-1950268016"/>
      </c:barChart>
      <c:catAx>
        <c:axId val="-19502631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0268016"/>
        <c:crosses val="autoZero"/>
        <c:auto val="1"/>
        <c:lblAlgn val="ctr"/>
        <c:lblOffset val="100"/>
        <c:noMultiLvlLbl val="0"/>
      </c:catAx>
      <c:valAx>
        <c:axId val="-1950268016"/>
        <c:scaling>
          <c:orientation val="minMax"/>
          <c:min val="0"/>
        </c:scaling>
        <c:delete val="0"/>
        <c:axPos val="l"/>
        <c:numFmt formatCode="General"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0263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501650</xdr:colOff>
      <xdr:row>4</xdr:row>
      <xdr:rowOff>0</xdr:rowOff>
    </xdr:from>
    <xdr:to>
      <xdr:col>15</xdr:col>
      <xdr:colOff>476250</xdr:colOff>
      <xdr:row>31</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50800</xdr:colOff>
      <xdr:row>4</xdr:row>
      <xdr:rowOff>0</xdr:rowOff>
    </xdr:from>
    <xdr:to>
      <xdr:col>5</xdr:col>
      <xdr:colOff>406400</xdr:colOff>
      <xdr:row>31</xdr:row>
      <xdr:rowOff>1763</xdr:rowOff>
    </xdr:to>
    <mc:AlternateContent xmlns:mc="http://schemas.openxmlformats.org/markup-compatibility/2006" xmlns:a14="http://schemas.microsoft.com/office/drawing/2010/main">
      <mc:Choice Requires="a14">
        <xdr:graphicFrame macro="">
          <xdr:nvGraphicFramePr>
            <xdr:cNvPr id="3" name="Custome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314569" y="937846"/>
              <a:ext cx="3677139" cy="5539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571500</xdr:colOff>
      <xdr:row>4</xdr:row>
      <xdr:rowOff>0</xdr:rowOff>
    </xdr:from>
    <xdr:to>
      <xdr:col>21</xdr:col>
      <xdr:colOff>190500</xdr:colOff>
      <xdr:row>31</xdr:row>
      <xdr:rowOff>2286</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50800</xdr:colOff>
      <xdr:row>31</xdr:row>
      <xdr:rowOff>88900</xdr:rowOff>
    </xdr:from>
    <xdr:to>
      <xdr:col>5</xdr:col>
      <xdr:colOff>406400</xdr:colOff>
      <xdr:row>49</xdr:row>
      <xdr:rowOff>88900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4569" y="6565900"/>
              <a:ext cx="3677139" cy="3692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501650</xdr:colOff>
      <xdr:row>31</xdr:row>
      <xdr:rowOff>88900</xdr:rowOff>
    </xdr:from>
    <xdr:to>
      <xdr:col>13</xdr:col>
      <xdr:colOff>298450</xdr:colOff>
      <xdr:row>49</xdr:row>
      <xdr:rowOff>88900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393700</xdr:colOff>
      <xdr:row>31</xdr:row>
      <xdr:rowOff>88900</xdr:rowOff>
    </xdr:from>
    <xdr:to>
      <xdr:col>21</xdr:col>
      <xdr:colOff>190500</xdr:colOff>
      <xdr:row>49</xdr:row>
      <xdr:rowOff>88900</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571500</xdr:colOff>
      <xdr:row>49</xdr:row>
      <xdr:rowOff>177800</xdr:rowOff>
    </xdr:from>
    <xdr:to>
      <xdr:col>21</xdr:col>
      <xdr:colOff>190500</xdr:colOff>
      <xdr:row>67</xdr:row>
      <xdr:rowOff>177800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501648</xdr:colOff>
      <xdr:row>49</xdr:row>
      <xdr:rowOff>177800</xdr:rowOff>
    </xdr:from>
    <xdr:to>
      <xdr:col>15</xdr:col>
      <xdr:colOff>476248</xdr:colOff>
      <xdr:row>67</xdr:row>
      <xdr:rowOff>177800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501648</xdr:colOff>
      <xdr:row>68</xdr:row>
      <xdr:rowOff>63500</xdr:rowOff>
    </xdr:from>
    <xdr:to>
      <xdr:col>13</xdr:col>
      <xdr:colOff>298448</xdr:colOff>
      <xdr:row>86</xdr:row>
      <xdr:rowOff>63500</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383539</xdr:colOff>
      <xdr:row>68</xdr:row>
      <xdr:rowOff>63500</xdr:rowOff>
    </xdr:from>
    <xdr:to>
      <xdr:col>21</xdr:col>
      <xdr:colOff>683228</xdr:colOff>
      <xdr:row>86</xdr:row>
      <xdr:rowOff>63500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393700</xdr:colOff>
      <xdr:row>68</xdr:row>
      <xdr:rowOff>63500</xdr:rowOff>
    </xdr:from>
    <xdr:to>
      <xdr:col>17</xdr:col>
      <xdr:colOff>200660</xdr:colOff>
      <xdr:row>86</xdr:row>
      <xdr:rowOff>63500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50800</xdr:colOff>
      <xdr:row>49</xdr:row>
      <xdr:rowOff>177800</xdr:rowOff>
    </xdr:from>
    <xdr:to>
      <xdr:col>5</xdr:col>
      <xdr:colOff>406400</xdr:colOff>
      <xdr:row>67</xdr:row>
      <xdr:rowOff>177800</xdr:rowOff>
    </xdr:to>
    <mc:AlternateContent xmlns:mc="http://schemas.openxmlformats.org/markup-compatibility/2006" xmlns:a14="http://schemas.microsoft.com/office/drawing/2010/main">
      <mc:Choice Requires="a14">
        <xdr:graphicFrame macro="">
          <xdr:nvGraphicFramePr>
            <xdr:cNvPr id="13" name="Months">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14569" y="10347569"/>
              <a:ext cx="3677139" cy="3692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xdr:colOff>
      <xdr:row>68</xdr:row>
      <xdr:rowOff>63500</xdr:rowOff>
    </xdr:from>
    <xdr:to>
      <xdr:col>5</xdr:col>
      <xdr:colOff>406400</xdr:colOff>
      <xdr:row>86</xdr:row>
      <xdr:rowOff>63500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0</xdr:colOff>
      <xdr:row>3</xdr:row>
      <xdr:rowOff>201082</xdr:rowOff>
    </xdr:from>
    <xdr:to>
      <xdr:col>37</xdr:col>
      <xdr:colOff>205409</xdr:colOff>
      <xdr:row>31</xdr:row>
      <xdr:rowOff>2285</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0</xdr:colOff>
      <xdr:row>31</xdr:row>
      <xdr:rowOff>88899</xdr:rowOff>
    </xdr:from>
    <xdr:to>
      <xdr:col>37</xdr:col>
      <xdr:colOff>205409</xdr:colOff>
      <xdr:row>68</xdr:row>
      <xdr:rowOff>63499</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uraFin2k25%20(Mariam%20Kamal's%20conflicted%20copy%202025-05-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amerKamel/Library/CloudStorage/Dropbox/Aura-Finance/Aura2k24/AuraFin2k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Report"/>
      <sheetName val="Dashboard"/>
      <sheetName val="Plugo"/>
      <sheetName val="Jan"/>
      <sheetName val="Feb"/>
      <sheetName val="Mar"/>
      <sheetName val="Apr"/>
      <sheetName val="May"/>
      <sheetName val="Jun"/>
      <sheetName val="Jul"/>
      <sheetName val="Aug"/>
      <sheetName val="Sep"/>
      <sheetName val="Oct"/>
      <sheetName val="Nov"/>
      <sheetName val="Dec"/>
      <sheetName val="Income Pivot"/>
      <sheetName val="Payroll Pivot"/>
      <sheetName val="Expenses Pivot"/>
      <sheetName val="OpEx Pivot"/>
      <sheetName val="CoS Pivot"/>
      <sheetName val="Tax Pivot"/>
      <sheetName val="Ads Pivot"/>
      <sheetName val="Hosting Pivot"/>
      <sheetName val="Customers Count Pivot"/>
      <sheetName val="VAT Pivot"/>
      <sheetName val="Categories"/>
      <sheetName val="AuraFin2k25 (Mariam Kamal's con"/>
    </sheetNames>
    <sheetDataSet>
      <sheetData sheetId="0" refreshError="1"/>
      <sheetData sheetId="1" refreshError="1"/>
      <sheetData sheetId="2" refreshError="1"/>
      <sheetData sheetId="3" refreshError="1"/>
      <sheetData sheetId="4" refreshError="1"/>
      <sheetData sheetId="5" refreshError="1"/>
      <sheetData sheetId="6" refreshError="1">
        <row r="25">
          <cell r="E25">
            <v>588.5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raFin2k24"/>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r Kamel" refreshedDate="44919.859250925925" createdVersion="6" refreshedVersion="8" minRefreshableVersion="3" recordCount="826" xr:uid="{00000000-000A-0000-FFFF-FFFF00000000}">
  <cacheSource type="worksheet">
    <worksheetSource name="Finance"/>
  </cacheSource>
  <cacheFields count="22">
    <cacheField name="Date" numFmtId="165">
      <sharedItems containsNonDate="0" containsDate="1" containsString="0" containsBlank="1" minDate="2022-01-01T00:00:00" maxDate="2022-12-21T00:00:00" count="208">
        <d v="2022-01-01T00:00:00"/>
        <d v="2022-01-02T00:00:00"/>
        <d v="2022-01-03T00:00:00"/>
        <d v="2022-01-04T00:00:00"/>
        <d v="2022-01-09T00:00:00"/>
        <d v="2022-01-10T00:00:00"/>
        <d v="2022-01-12T00:00:00"/>
        <d v="2022-01-13T00:00:00"/>
        <d v="2022-01-14T00:00:00"/>
        <d v="2022-01-16T00:00:00"/>
        <d v="2022-01-17T00:00:00"/>
        <d v="2022-01-18T00:00:00"/>
        <d v="2022-01-20T00:00:00"/>
        <d v="2022-01-24T00:00:00"/>
        <d v="2022-01-25T00:00:00"/>
        <d v="2022-01-26T00:00:00"/>
        <d v="2022-01-31T00:00:00"/>
        <d v="2022-02-01T00:00:00"/>
        <d v="2022-02-02T00:00:00"/>
        <d v="2022-02-03T00:00:00"/>
        <d v="2022-02-06T00:00:00"/>
        <d v="2022-02-07T00:00:00"/>
        <d v="2022-02-08T00:00:00"/>
        <d v="2022-02-09T00:00:00"/>
        <d v="2022-02-10T00:00:00"/>
        <d v="2022-02-14T00:00:00"/>
        <d v="2022-02-17T00:00:00"/>
        <d v="2022-02-20T00:00:00"/>
        <d v="2022-02-22T00:00:00"/>
        <d v="2022-02-24T00:00:00"/>
        <d v="2022-02-27T00:00:00"/>
        <d v="2022-02-28T00:00:00"/>
        <d v="2022-03-01T00:00:00"/>
        <d v="2022-03-02T00:00:00"/>
        <d v="2022-03-03T00:00:00"/>
        <d v="2022-03-04T00:00:00"/>
        <d v="2022-03-07T00:00:00"/>
        <d v="2022-03-08T00:00:00"/>
        <d v="2022-03-09T00:00:00"/>
        <d v="2022-03-13T00:00:00"/>
        <d v="2022-03-14T00:00:00"/>
        <d v="2022-03-15T00:00:00"/>
        <d v="2022-03-16T00:00:00"/>
        <d v="2022-03-17T00:00:00"/>
        <d v="2022-03-20T00:00:00"/>
        <d v="2022-03-22T00:00:00"/>
        <d v="2022-03-23T00:00:00"/>
        <d v="2022-03-24T00:00:00"/>
        <d v="2022-03-27T00:00:00"/>
        <d v="2022-03-29T00:00:00"/>
        <d v="2022-03-31T00:00:00"/>
        <d v="2022-04-01T00:00:00"/>
        <d v="2022-04-03T00:00:00"/>
        <d v="2022-04-04T00:00:00"/>
        <d v="2022-04-05T00:00:00"/>
        <d v="2022-04-07T00:00:00"/>
        <d v="2022-04-11T00:00:00"/>
        <d v="2022-04-12T00:00:00"/>
        <d v="2022-04-13T00:00:00"/>
        <d v="2022-04-14T00:00:00"/>
        <d v="2022-04-17T00:00:00"/>
        <d v="2022-04-18T00:00:00"/>
        <d v="2022-04-19T00:00:00"/>
        <d v="2022-04-20T00:00:00"/>
        <d v="2022-04-25T00:00:00"/>
        <d v="2022-04-26T00:00:00"/>
        <d v="2022-04-27T00:00:00"/>
        <d v="2022-04-28T00:00:00"/>
        <d v="2022-04-30T00:00:00"/>
        <d v="2022-05-01T00:00:00"/>
        <d v="2022-05-03T00:00:00"/>
        <d v="2022-05-08T00:00:00"/>
        <d v="2022-05-09T00:00:00"/>
        <d v="2022-05-10T00:00:00"/>
        <d v="2022-05-11T00:00:00"/>
        <d v="2022-05-12T00:00:00"/>
        <d v="2022-05-13T00:00:00"/>
        <d v="2022-05-14T00:00:00"/>
        <d v="2022-05-17T00:00:00"/>
        <d v="2022-05-18T00:00:00"/>
        <d v="2022-05-20T00:00:00"/>
        <d v="2022-05-22T00:00:00"/>
        <d v="2022-05-23T00:00:00"/>
        <d v="2022-05-25T00:00:00"/>
        <d v="2022-05-29T00:00:00"/>
        <d v="2022-05-30T00:00:00"/>
        <d v="2022-05-31T00:00:00"/>
        <d v="2022-06-01T00:00:00"/>
        <d v="2022-06-02T00:00:00"/>
        <d v="2022-06-03T00:00:00"/>
        <d v="2022-06-05T00:00:00"/>
        <d v="2022-06-06T00:00:00"/>
        <d v="2022-06-07T00:00:00"/>
        <d v="2022-06-08T00:00:00"/>
        <d v="2022-06-09T00:00:00"/>
        <d v="2022-06-10T00:00:00"/>
        <d v="2022-06-12T00:00:00"/>
        <d v="2022-06-13T00:00:00"/>
        <d v="2022-06-14T00:00:00"/>
        <d v="2022-06-15T00:00:00"/>
        <d v="2022-06-16T00:00:00"/>
        <d v="2022-06-17T00:00:00"/>
        <d v="2022-06-19T00:00:00"/>
        <d v="2022-06-20T00:00:00"/>
        <d v="2022-06-21T00:00:00"/>
        <d v="2022-06-22T00:00:00"/>
        <d v="2022-06-23T00:00:00"/>
        <d v="2022-06-25T00:00:00"/>
        <d v="2022-06-26T00:00:00"/>
        <d v="2022-06-27T00:00:00"/>
        <d v="2022-06-28T00:00:00"/>
        <d v="2022-06-29T00:00:00"/>
        <d v="2022-06-30T00:00:00"/>
        <d v="2022-07-01T00:00:00"/>
        <d v="2022-07-02T00:00:00"/>
        <d v="2022-07-03T00:00:00"/>
        <d v="2022-07-04T00:00:00"/>
        <d v="2022-07-06T00:00:00"/>
        <d v="2022-07-07T00:00:00"/>
        <d v="2022-07-08T00:00:00"/>
        <d v="2022-07-09T00:00:00"/>
        <d v="2022-07-10T00:00:00"/>
        <d v="2022-07-13T00:00:00"/>
        <d v="2022-07-14T00:00:00"/>
        <d v="2022-07-17T00:00:00"/>
        <d v="2022-07-18T00:00:00"/>
        <d v="2022-07-20T00:00:00"/>
        <d v="2022-07-21T00:00:00"/>
        <d v="2022-07-23T00:00:00"/>
        <d v="2022-07-24T00:00:00"/>
        <d v="2022-07-25T00:00:00"/>
        <d v="2022-07-26T00:00:00"/>
        <d v="2022-07-27T00:00:00"/>
        <d v="2022-07-28T00:00:00"/>
        <d v="2022-07-29T00:00:00"/>
        <d v="2022-07-31T00:00:00"/>
        <d v="2022-08-01T00:00:00"/>
        <d v="2022-08-02T00:00:00"/>
        <d v="2022-08-04T00:00:00"/>
        <d v="2022-08-05T00:00:00"/>
        <d v="2022-08-07T00:00:00"/>
        <d v="2022-08-08T00:00:00"/>
        <d v="2022-08-09T00:00:00"/>
        <d v="2022-08-10T00:00:00"/>
        <d v="2022-08-13T00:00:00"/>
        <d v="2022-08-14T00:00:00"/>
        <d v="2022-08-16T00:00:00"/>
        <d v="2022-08-17T00:00:00"/>
        <d v="2022-08-18T00:00:00"/>
        <d v="2022-08-20T00:00:00"/>
        <d v="2022-08-22T00:00:00"/>
        <d v="2022-08-23T00:00:00"/>
        <d v="2022-08-27T00:00:00"/>
        <d v="2022-08-28T00:00:00"/>
        <d v="2022-08-29T00:00:00"/>
        <d v="2022-08-30T00:00:00"/>
        <d v="2022-08-31T00:00:00"/>
        <d v="2022-09-01T00:00:00"/>
        <d v="2022-09-02T00:00:00"/>
        <d v="2022-09-04T00:00:00"/>
        <d v="2022-09-05T00:00:00"/>
        <d v="2022-09-10T00:00:00"/>
        <d v="2022-09-11T00:00:00"/>
        <d v="2022-09-12T00:00:00"/>
        <d v="2022-09-18T00:00:00"/>
        <d v="2022-09-13T00:00:00"/>
        <d v="2022-09-14T00:00:00"/>
        <d v="2022-09-17T00:00:00"/>
        <d v="2022-09-19T00:00:00"/>
        <d v="2022-09-20T00:00:00"/>
        <d v="2022-09-22T00:00:00"/>
        <d v="2022-09-28T00:00:00"/>
        <d v="2022-09-29T00:00:00"/>
        <d v="2022-10-02T00:00:00"/>
        <d v="2022-10-03T00:00:00"/>
        <d v="2022-10-04T00:00:00"/>
        <d v="2022-10-05T00:00:00"/>
        <d v="2022-10-09T00:00:00"/>
        <d v="2022-10-11T00:00:00"/>
        <d v="2022-10-12T00:00:00"/>
        <d v="2022-10-13T00:00:00"/>
        <d v="2022-10-16T00:00:00"/>
        <d v="2022-10-17T00:00:00"/>
        <d v="2022-10-24T00:00:00"/>
        <d v="2022-10-25T00:00:00"/>
        <d v="2022-10-26T00:00:00"/>
        <d v="2022-10-27T00:00:00"/>
        <d v="2022-10-30T00:00:00"/>
        <d v="2022-10-31T00:00:00"/>
        <d v="2022-11-01T00:00:00"/>
        <d v="2022-11-03T00:00:00"/>
        <d v="2022-11-06T00:00:00"/>
        <d v="2022-11-07T00:00:00"/>
        <d v="2022-11-10T00:00:00"/>
        <d v="2022-11-14T00:00:00"/>
        <d v="2022-11-15T00:00:00"/>
        <d v="2022-11-21T00:00:00"/>
        <d v="2022-11-23T00:00:00"/>
        <d v="2022-11-24T00:00:00"/>
        <m/>
        <d v="2022-11-27T00:00:00"/>
        <d v="2022-11-28T00:00:00"/>
        <d v="2022-12-04T00:00:00"/>
        <d v="2022-12-07T00:00:00"/>
        <d v="2022-12-11T00:00:00"/>
        <d v="2022-12-13T00:00:00"/>
        <d v="2022-12-14T00:00:00"/>
        <d v="2022-12-20T00:00:00"/>
      </sharedItems>
      <fieldGroup par="21" base="0">
        <rangePr groupBy="days" startDate="2022-01-01T00:00:00" endDate="2022-12-2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22"/>
        </groupItems>
      </fieldGroup>
    </cacheField>
    <cacheField name="Year" numFmtId="0">
      <sharedItems containsString="0" containsBlank="1" containsNumber="1" containsInteger="1" minValue="0" maxValue="2022"/>
    </cacheField>
    <cacheField name="Month" numFmtId="0">
      <sharedItems containsString="0" containsBlank="1" containsNumber="1" containsInteger="1" minValue="1" maxValue="12"/>
    </cacheField>
    <cacheField name="Item" numFmtId="0">
      <sharedItems containsBlank="1"/>
    </cacheField>
    <cacheField name="Type" numFmtId="0">
      <sharedItems containsBlank="1" count="9">
        <s v="Cost of Sales"/>
        <s v="CapEx"/>
        <s v="OpEx"/>
        <s v="Tax"/>
        <s v="Income"/>
        <s v="Investment"/>
        <m/>
        <s v="Payroll"/>
        <s v="Sunk"/>
      </sharedItems>
    </cacheField>
    <cacheField name="Category" numFmtId="0">
      <sharedItems containsBlank="1" count="42">
        <s v="Hosting Spend"/>
        <s v="Laptops"/>
        <s v="Bank Charges"/>
        <s v="VAT"/>
        <s v="Custom Software"/>
        <s v="Deduction Tax"/>
        <s v="Websites"/>
        <s v="Mobile App"/>
        <s v="Services"/>
        <s v="Balance Swap"/>
        <s v="Subscriptions"/>
        <s v="Outsourcing"/>
        <s v="Rent"/>
        <s v="Utilities"/>
        <s v="Bills"/>
        <s v="Ads Spend"/>
        <s v="Consumables"/>
        <m/>
        <s v="Domains Spend"/>
        <s v="Support Contracts"/>
        <s v="Transportation"/>
        <s v="Salaries"/>
        <s v="Internet"/>
        <s v="Other"/>
        <s v="Hosting"/>
        <s v="Office Supplies"/>
        <s v="Hosting "/>
        <s v="Plugins"/>
        <s v="Payroll Tax"/>
        <s v="Fan"/>
        <s v="Social Insurance"/>
        <s v="Imprest Fund" u="1"/>
        <s v="Microphones" u="1"/>
        <s v="Design" u="1"/>
        <s v="Templates" u="1"/>
        <s v="Income Tax" u="1"/>
        <s v="Ads" u="1"/>
        <s v="Digital Marketing Retainer" u="1"/>
        <s v="Inprest Fund" u="1"/>
        <s v="Hard Drives" u="1"/>
        <s v="Content" u="1"/>
        <s v="Medical" u="1"/>
      </sharedItems>
    </cacheField>
    <cacheField name="Sub Category" numFmtId="0">
      <sharedItems containsBlank="1" count="65">
        <s v="External"/>
        <s v="Office"/>
        <s v="Fees"/>
        <s v="VAT Spend"/>
        <s v="Check Collection"/>
        <s v="Check"/>
        <s v="VAT"/>
        <s v="Cash Funding"/>
        <s v="Online Tools"/>
        <s v="Social Media"/>
        <s v="Bank Funding"/>
        <s v="Electricity"/>
        <s v="LinkedIn"/>
        <s v="Higene"/>
        <m/>
        <s v="Internal"/>
        <s v="Ads Markup"/>
        <s v="Bank"/>
        <s v="Food&amp;Drink"/>
        <s v="Collection"/>
        <s v="Software Team"/>
        <s v="Mobile Teamm"/>
        <s v="General Team"/>
        <s v="Website Team"/>
        <s v="VAT Markup"/>
        <s v="Deduction Tax Spend"/>
        <s v="Deduction Tax Markup"/>
        <s v="We"/>
        <s v="Stationary"/>
        <s v="Cash"/>
        <s v="Over Money"/>
        <s v="WordPress"/>
        <s v="Facebook"/>
        <s v="Overdraft"/>
        <s v="Phone mail"/>
        <s v="Social Insurance"/>
        <s v="salary"/>
        <s v="Reimbursment"/>
        <s v="imprest"/>
        <s v="Tax Filing"/>
        <s v="4G" u="1"/>
        <s v="CapEx" u="1"/>
        <s v="Meeting" u="1"/>
        <s v="Incoming" u="1"/>
        <s v="Missing Cash" u="1"/>
        <s v="Debit Markup" u="1"/>
        <s v="Transfer In" u="1"/>
        <s v="Delivery" u="1"/>
        <s v="Insurance" u="1"/>
        <s v="ATM" u="1"/>
        <s v="Food &amp; Drink" u="1"/>
        <s v="Interest" u="1"/>
        <s v="Statement" u="1"/>
        <s v="Transfer Out" u="1"/>
        <s v="Google" u="1"/>
        <s v="Allowance" u="1"/>
        <s v="Maintenance" u="1"/>
        <s v="Salaries" u="1"/>
        <s v="Other" u="1"/>
        <s v="Phones" u="1"/>
        <s v="Payback" u="1"/>
        <s v="TEData" u="1"/>
        <s v="Commission" u="1"/>
        <s v="Marketing Team" u="1"/>
        <s v="Websites Team" u="1"/>
      </sharedItems>
    </cacheField>
    <cacheField name="Customer" numFmtId="0">
      <sharedItems containsBlank="1" containsMixedTypes="1" containsNumber="1" containsInteger="1" minValue="19011" maxValue="19011" count="44">
        <s v="Turni"/>
        <s v="Aura"/>
        <s v="Alfa Electronics"/>
        <s v="Fab Minds"/>
        <s v="Eatershub"/>
        <m/>
        <s v="CIB"/>
        <s v="Smart Furniture"/>
        <s v="Imkthis"/>
        <s v="Knowledge Economy Foundation"/>
        <s v="Eden Technologies"/>
        <s v="IBAG For Money"/>
        <s v="Instabug Software"/>
        <s v="IScore"/>
        <s v="Laluka"/>
        <s v="بريزينس كوتشينج مروة صالح"/>
        <s v="spoon"/>
        <s v="AS JOG"/>
        <s v="Papal Office"/>
        <e v="#N/A"/>
        <s v="Cheers"/>
        <s v="Modern Touch"/>
        <s v="Safe Kids"/>
        <s v="orion"/>
        <s v="Gemini"/>
        <s v="A Smart Telecom"/>
        <s v="Glint"/>
        <s v="HM2"/>
        <s v="Nowpay"/>
        <s v="مؤسسة سبون للدعايا والاعلان"/>
        <s v="TATA Wise Monkeys"/>
        <s v="جيمس ايجيبت"/>
        <s v="Eyad Pastries"/>
        <s v="Invest Sinai"/>
        <s v="St.Mark"/>
        <s v="اي ليرن للأستثمار التعليمي"/>
        <s v="اي ليرن للخدمات التعليمية"/>
        <s v="اي ليرن"/>
        <s v="CoptiCad"/>
        <s v="Medfest Egypt"/>
        <s v="Regency"/>
        <s v="Fulbright"/>
        <s v="Paraguru"/>
        <n v="19011" u="1"/>
      </sharedItems>
    </cacheField>
    <cacheField name="Department" numFmtId="0">
      <sharedItems containsString="0" containsBlank="1" containsNumber="1" containsInteger="1" minValue="0" maxValue="5" count="7">
        <n v="1"/>
        <n v="3"/>
        <n v="2"/>
        <n v="4"/>
        <n v="5"/>
        <n v="0"/>
        <m/>
      </sharedItems>
    </cacheField>
    <cacheField name="Inv #" numFmtId="0">
      <sharedItems containsNonDate="0" containsString="0" containsBlank="1"/>
    </cacheField>
    <cacheField name="Samer" numFmtId="164">
      <sharedItems containsString="0" containsBlank="1" containsNumber="1" minValue="-45800" maxValue="311066.09002720297"/>
    </cacheField>
    <cacheField name="Simon" numFmtId="0">
      <sharedItems containsString="0" containsBlank="1" containsNumber="1" minValue="-151364.3886441247" maxValue="-151364.3886441247"/>
    </cacheField>
    <cacheField name="Fadi" numFmtId="0">
      <sharedItems containsBlank="1" containsMixedTypes="1" containsNumber="1" minValue="-9560" maxValue="443209.68201131886"/>
    </cacheField>
    <cacheField name="Adel" numFmtId="0">
      <sharedItems containsString="0" containsBlank="1" containsNumber="1" minValue="-82000" maxValue="70000.003586957959"/>
    </cacheField>
    <cacheField name="CapEx Cash" numFmtId="0">
      <sharedItems containsNonDate="0" containsString="0" containsBlank="1"/>
    </cacheField>
    <cacheField name="Cash" numFmtId="164">
      <sharedItems containsString="0" containsBlank="1" containsNumber="1" minValue="-70000" maxValue="111060"/>
    </cacheField>
    <cacheField name="Bank (QNB)" numFmtId="0">
      <sharedItems containsString="0" containsBlank="1" containsNumber="1" minValue="-138000" maxValue="106000"/>
    </cacheField>
    <cacheField name="Margins" numFmtId="164">
      <sharedItems containsString="0" containsBlank="1" containsNumber="1" minValue="-18170" maxValue="4000"/>
    </cacheField>
    <cacheField name="Total (EGP)" numFmtId="164">
      <sharedItems containsSemiMixedTypes="0" containsString="0" containsNumber="1" minValue="-138000" maxValue="602037.84698135499"/>
    </cacheField>
    <cacheField name="Absolute Total" numFmtId="164">
      <sharedItems containsSemiMixedTypes="0" containsString="0" containsNumber="1" minValue="0" maxValue="602037.84698135499"/>
    </cacheField>
    <cacheField name="Comment" numFmtId="0">
      <sharedItems containsBlank="1" containsMixedTypes="1" containsNumber="1" minValue="382.73" maxValue="382.73"/>
    </cacheField>
    <cacheField name="Months" numFmtId="0" databaseField="0">
      <fieldGroup base="0">
        <rangePr groupBy="months" startDate="2022-01-01T00:00:00" endDate="2022-12-21T00:00:00"/>
        <groupItems count="14">
          <s v="&lt;01/01/2022"/>
          <s v="Jan"/>
          <s v="Feb"/>
          <s v="Mar"/>
          <s v="Apr"/>
          <s v="May"/>
          <s v="Jun"/>
          <s v="Jul"/>
          <s v="Aug"/>
          <s v="Sep"/>
          <s v="Oct"/>
          <s v="Nov"/>
          <s v="Dec"/>
          <s v="&gt;21/12/2022"/>
        </groupItems>
      </fieldGroup>
    </cacheField>
  </cacheFields>
  <extLst>
    <ext xmlns:x14="http://schemas.microsoft.com/office/spreadsheetml/2009/9/main" uri="{725AE2AE-9491-48be-B2B4-4EB974FC3084}">
      <x14:pivotCacheDefinition pivotCacheId="1537859849"/>
    </ext>
  </extLst>
</pivotCacheDefinition>
</file>

<file path=xl/pivotCache/pivotCacheRecords1.xml><?xml version="1.0" encoding="utf-8"?>
<pivotCacheRecords xmlns="http://schemas.openxmlformats.org/spreadsheetml/2006/main" xmlns:r="http://schemas.openxmlformats.org/officeDocument/2006/relationships" count="826">
  <r>
    <x v="0"/>
    <n v="2022"/>
    <n v="1"/>
    <s v="Turni Contabo -Jan/22"/>
    <x v="0"/>
    <x v="0"/>
    <x v="0"/>
    <x v="0"/>
    <x v="0"/>
    <m/>
    <n v="1053.9299999999998"/>
    <m/>
    <m/>
    <m/>
    <m/>
    <m/>
    <m/>
    <m/>
    <n v="1053.9299999999998"/>
    <n v="1053.9299999999998"/>
    <m/>
  </r>
  <r>
    <x v="0"/>
    <n v="2022"/>
    <n v="1"/>
    <s v="Seventh installment-Laptop"/>
    <x v="1"/>
    <x v="1"/>
    <x v="1"/>
    <x v="1"/>
    <x v="1"/>
    <m/>
    <n v="2347"/>
    <m/>
    <m/>
    <m/>
    <m/>
    <m/>
    <m/>
    <m/>
    <n v="2347"/>
    <n v="2347"/>
    <m/>
  </r>
  <r>
    <x v="1"/>
    <n v="2022"/>
    <n v="1"/>
    <s v="Recover Of Unpaid Fees"/>
    <x v="2"/>
    <x v="2"/>
    <x v="2"/>
    <x v="1"/>
    <x v="1"/>
    <m/>
    <m/>
    <m/>
    <m/>
    <m/>
    <m/>
    <m/>
    <n v="24.52"/>
    <m/>
    <n v="24.52"/>
    <n v="24.52"/>
    <m/>
  </r>
  <r>
    <x v="2"/>
    <n v="2022"/>
    <n v="1"/>
    <s v="Nov/21 Systems VAT"/>
    <x v="3"/>
    <x v="3"/>
    <x v="3"/>
    <x v="1"/>
    <x v="0"/>
    <m/>
    <m/>
    <m/>
    <m/>
    <m/>
    <m/>
    <m/>
    <n v="6300"/>
    <m/>
    <n v="6300"/>
    <n v="6300"/>
    <m/>
  </r>
  <r>
    <x v="2"/>
    <n v="2022"/>
    <n v="1"/>
    <s v="Nov/21 Markting VAT"/>
    <x v="3"/>
    <x v="3"/>
    <x v="3"/>
    <x v="1"/>
    <x v="2"/>
    <m/>
    <m/>
    <m/>
    <m/>
    <m/>
    <m/>
    <m/>
    <n v="4088"/>
    <m/>
    <n v="4088"/>
    <n v="4088"/>
    <m/>
  </r>
  <r>
    <x v="2"/>
    <n v="2022"/>
    <n v="1"/>
    <s v="Nov/21 Website VAT"/>
    <x v="3"/>
    <x v="3"/>
    <x v="3"/>
    <x v="1"/>
    <x v="3"/>
    <m/>
    <m/>
    <m/>
    <m/>
    <m/>
    <m/>
    <m/>
    <n v="8772.1200000000008"/>
    <m/>
    <n v="8772.1200000000008"/>
    <n v="8772.1200000000008"/>
    <m/>
  </r>
  <r>
    <x v="2"/>
    <n v="2022"/>
    <n v="1"/>
    <s v="Bank Tax Transfer Charge"/>
    <x v="2"/>
    <x v="2"/>
    <x v="2"/>
    <x v="1"/>
    <x v="1"/>
    <m/>
    <m/>
    <m/>
    <m/>
    <m/>
    <m/>
    <m/>
    <n v="194.41"/>
    <m/>
    <n v="194.41"/>
    <n v="194.41"/>
    <m/>
  </r>
  <r>
    <x v="2"/>
    <n v="2022"/>
    <n v="1"/>
    <s v="Check Collectoin Fees - Alfa Electronics Payment"/>
    <x v="2"/>
    <x v="2"/>
    <x v="4"/>
    <x v="2"/>
    <x v="1"/>
    <m/>
    <m/>
    <m/>
    <m/>
    <m/>
    <m/>
    <m/>
    <n v="15"/>
    <m/>
    <n v="15"/>
    <n v="15"/>
    <m/>
  </r>
  <r>
    <x v="2"/>
    <n v="2022"/>
    <n v="1"/>
    <s v="Alfa Electronics payment(inv100923)"/>
    <x v="4"/>
    <x v="4"/>
    <x v="5"/>
    <x v="2"/>
    <x v="0"/>
    <m/>
    <m/>
    <m/>
    <m/>
    <m/>
    <m/>
    <m/>
    <n v="-43650"/>
    <m/>
    <n v="-43650"/>
    <n v="43650"/>
    <m/>
  </r>
  <r>
    <x v="2"/>
    <n v="2022"/>
    <n v="1"/>
    <s v="Alfa Electronics payment-VAT"/>
    <x v="4"/>
    <x v="4"/>
    <x v="6"/>
    <x v="2"/>
    <x v="0"/>
    <m/>
    <m/>
    <m/>
    <m/>
    <m/>
    <m/>
    <m/>
    <n v="-6111.0000000000009"/>
    <m/>
    <n v="-6111.0000000000009"/>
    <n v="6111.0000000000009"/>
    <m/>
  </r>
  <r>
    <x v="2"/>
    <n v="2022"/>
    <n v="1"/>
    <s v="Alfa Electronics payment-Tax Deduction"/>
    <x v="3"/>
    <x v="5"/>
    <x v="5"/>
    <x v="2"/>
    <x v="0"/>
    <m/>
    <m/>
    <m/>
    <m/>
    <m/>
    <m/>
    <m/>
    <n v="1309.5"/>
    <m/>
    <n v="1309.5"/>
    <n v="1309.5"/>
    <m/>
  </r>
  <r>
    <x v="2"/>
    <n v="2022"/>
    <n v="1"/>
    <s v="Alfa Electronics payment(inv100923)"/>
    <x v="4"/>
    <x v="6"/>
    <x v="5"/>
    <x v="2"/>
    <x v="3"/>
    <m/>
    <m/>
    <m/>
    <m/>
    <m/>
    <m/>
    <m/>
    <n v="-8700"/>
    <m/>
    <n v="-8700"/>
    <n v="8700"/>
    <m/>
  </r>
  <r>
    <x v="2"/>
    <n v="2022"/>
    <n v="1"/>
    <s v="Alfa Electronics payment-VAT"/>
    <x v="4"/>
    <x v="6"/>
    <x v="6"/>
    <x v="2"/>
    <x v="3"/>
    <m/>
    <m/>
    <m/>
    <m/>
    <m/>
    <m/>
    <m/>
    <n v="-1218.0000000000002"/>
    <m/>
    <n v="-1218.0000000000002"/>
    <n v="1218.0000000000002"/>
    <m/>
  </r>
  <r>
    <x v="2"/>
    <n v="2022"/>
    <n v="1"/>
    <s v="Alfa Electronics payment-Tax Deduction"/>
    <x v="3"/>
    <x v="5"/>
    <x v="5"/>
    <x v="2"/>
    <x v="3"/>
    <m/>
    <m/>
    <m/>
    <m/>
    <m/>
    <m/>
    <m/>
    <n v="261"/>
    <m/>
    <n v="261"/>
    <n v="261"/>
    <m/>
  </r>
  <r>
    <x v="2"/>
    <n v="2022"/>
    <n v="1"/>
    <s v="Check Collectoin Fees - Fab Minds Payment"/>
    <x v="2"/>
    <x v="2"/>
    <x v="4"/>
    <x v="3"/>
    <x v="1"/>
    <m/>
    <m/>
    <m/>
    <m/>
    <m/>
    <m/>
    <m/>
    <n v="15"/>
    <m/>
    <n v="15"/>
    <n v="15"/>
    <m/>
  </r>
  <r>
    <x v="2"/>
    <n v="2022"/>
    <n v="1"/>
    <s v="Fab Minds payment(inv100924)Downpayment-30%"/>
    <x v="4"/>
    <x v="7"/>
    <x v="5"/>
    <x v="3"/>
    <x v="4"/>
    <m/>
    <m/>
    <m/>
    <m/>
    <m/>
    <m/>
    <m/>
    <n v="-84000"/>
    <m/>
    <n v="-84000"/>
    <n v="84000"/>
    <m/>
  </r>
  <r>
    <x v="2"/>
    <n v="2022"/>
    <n v="1"/>
    <s v="Fab Minds payment-VAT"/>
    <x v="4"/>
    <x v="7"/>
    <x v="6"/>
    <x v="3"/>
    <x v="4"/>
    <m/>
    <m/>
    <m/>
    <m/>
    <m/>
    <m/>
    <m/>
    <n v="-11760.000000000002"/>
    <m/>
    <n v="-11760.000000000002"/>
    <n v="11760.000000000002"/>
    <m/>
  </r>
  <r>
    <x v="2"/>
    <n v="2022"/>
    <n v="1"/>
    <s v="Fab Mids payment-Tax Deduction"/>
    <x v="3"/>
    <x v="5"/>
    <x v="5"/>
    <x v="3"/>
    <x v="4"/>
    <m/>
    <m/>
    <m/>
    <m/>
    <m/>
    <m/>
    <m/>
    <n v="2520"/>
    <m/>
    <n v="2520"/>
    <n v="2520"/>
    <m/>
  </r>
  <r>
    <x v="2"/>
    <n v="2022"/>
    <n v="1"/>
    <s v="Doorman Monthly salary (Jan/22)"/>
    <x v="2"/>
    <x v="8"/>
    <x v="1"/>
    <x v="1"/>
    <x v="1"/>
    <m/>
    <m/>
    <m/>
    <m/>
    <m/>
    <m/>
    <n v="350"/>
    <m/>
    <m/>
    <n v="350"/>
    <n v="350"/>
    <m/>
  </r>
  <r>
    <x v="2"/>
    <n v="2022"/>
    <n v="1"/>
    <s v="Bank Pays Cash"/>
    <x v="5"/>
    <x v="9"/>
    <x v="7"/>
    <x v="1"/>
    <x v="5"/>
    <m/>
    <m/>
    <m/>
    <m/>
    <m/>
    <m/>
    <n v="-4000"/>
    <n v="4000"/>
    <m/>
    <n v="0"/>
    <n v="0"/>
    <m/>
  </r>
  <r>
    <x v="2"/>
    <n v="2022"/>
    <n v="1"/>
    <s v="SonarCloud"/>
    <x v="2"/>
    <x v="10"/>
    <x v="8"/>
    <x v="1"/>
    <x v="0"/>
    <m/>
    <n v="184.92000000000002"/>
    <m/>
    <m/>
    <m/>
    <m/>
    <m/>
    <m/>
    <m/>
    <n v="184.92000000000002"/>
    <n v="184.92000000000002"/>
    <m/>
  </r>
  <r>
    <x v="2"/>
    <n v="2022"/>
    <n v="1"/>
    <s v="HawkHost 1 FERGUS CA"/>
    <x v="0"/>
    <x v="0"/>
    <x v="0"/>
    <x v="4"/>
    <x v="3"/>
    <m/>
    <n v="1751.1944639999999"/>
    <m/>
    <m/>
    <m/>
    <m/>
    <m/>
    <m/>
    <m/>
    <n v="1751.1944639999999"/>
    <n v="1751.1944639999999"/>
    <s v="107.88$"/>
  </r>
  <r>
    <x v="3"/>
    <n v="2022"/>
    <n v="1"/>
    <s v="HawkHost 1 FERGUS CA"/>
    <x v="0"/>
    <x v="0"/>
    <x v="0"/>
    <x v="5"/>
    <x v="3"/>
    <m/>
    <n v="1000.5897920000001"/>
    <m/>
    <m/>
    <m/>
    <m/>
    <m/>
    <m/>
    <m/>
    <n v="1000.5897920000001"/>
    <n v="1000.5897920000001"/>
    <s v="61.64$"/>
  </r>
  <r>
    <x v="3"/>
    <n v="2022"/>
    <n v="1"/>
    <s v="Cheque No.51675586 Humanize outsourcing for CIB,  SMM"/>
    <x v="0"/>
    <x v="11"/>
    <x v="9"/>
    <x v="6"/>
    <x v="2"/>
    <m/>
    <m/>
    <m/>
    <m/>
    <m/>
    <m/>
    <m/>
    <n v="25000"/>
    <m/>
    <n v="25000"/>
    <n v="25000"/>
    <m/>
  </r>
  <r>
    <x v="4"/>
    <n v="2022"/>
    <n v="1"/>
    <s v="Rent (Jan/22)"/>
    <x v="2"/>
    <x v="12"/>
    <x v="1"/>
    <x v="1"/>
    <x v="1"/>
    <m/>
    <m/>
    <m/>
    <m/>
    <m/>
    <m/>
    <m/>
    <n v="14641"/>
    <m/>
    <n v="14641"/>
    <n v="14641"/>
    <m/>
  </r>
  <r>
    <x v="4"/>
    <n v="2022"/>
    <n v="1"/>
    <s v="Bank Pays Samer "/>
    <x v="5"/>
    <x v="9"/>
    <x v="10"/>
    <x v="1"/>
    <x v="5"/>
    <m/>
    <n v="-30000"/>
    <m/>
    <m/>
    <m/>
    <m/>
    <m/>
    <n v="30000"/>
    <m/>
    <n v="0"/>
    <n v="0"/>
    <m/>
  </r>
  <r>
    <x v="5"/>
    <n v="2022"/>
    <n v="1"/>
    <s v="CloudwaysLTD Mosta MT"/>
    <x v="0"/>
    <x v="0"/>
    <x v="0"/>
    <x v="5"/>
    <x v="3"/>
    <m/>
    <n v="1996.6344000000001"/>
    <m/>
    <m/>
    <m/>
    <m/>
    <m/>
    <m/>
    <m/>
    <n v="1996.6344000000001"/>
    <n v="1996.6344000000001"/>
    <m/>
  </r>
  <r>
    <x v="5"/>
    <n v="2022"/>
    <n v="1"/>
    <s v="CloudwaysLTD Mosta MT-Jan/22"/>
    <x v="0"/>
    <x v="0"/>
    <x v="0"/>
    <x v="7"/>
    <x v="3"/>
    <m/>
    <n v="714.2432"/>
    <m/>
    <m/>
    <m/>
    <m/>
    <m/>
    <m/>
    <m/>
    <n v="714.2432"/>
    <n v="714.2432"/>
    <m/>
  </r>
  <r>
    <x v="6"/>
    <n v="2022"/>
    <n v="1"/>
    <s v="Paypal Ads - Namecheap"/>
    <x v="2"/>
    <x v="10"/>
    <x v="8"/>
    <x v="1"/>
    <x v="2"/>
    <m/>
    <n v="457.11987199999999"/>
    <m/>
    <m/>
    <m/>
    <m/>
    <m/>
    <m/>
    <m/>
    <n v="457.11987199999999"/>
    <n v="457.11987199999999"/>
    <m/>
  </r>
  <r>
    <x v="6"/>
    <n v="2022"/>
    <n v="1"/>
    <s v="Return Fees"/>
    <x v="2"/>
    <x v="2"/>
    <x v="2"/>
    <x v="1"/>
    <x v="1"/>
    <m/>
    <m/>
    <m/>
    <m/>
    <m/>
    <m/>
    <m/>
    <n v="-1.53"/>
    <m/>
    <n v="-1.53"/>
    <n v="1.53"/>
    <m/>
  </r>
  <r>
    <x v="6"/>
    <n v="2022"/>
    <n v="1"/>
    <s v="Electricity"/>
    <x v="2"/>
    <x v="13"/>
    <x v="11"/>
    <x v="1"/>
    <x v="1"/>
    <m/>
    <m/>
    <m/>
    <m/>
    <m/>
    <m/>
    <m/>
    <n v="963.5"/>
    <m/>
    <n v="963.5"/>
    <n v="963.5"/>
    <m/>
  </r>
  <r>
    <x v="7"/>
    <n v="2022"/>
    <n v="1"/>
    <s v="Atlassian-Jira(Jan/22)"/>
    <x v="2"/>
    <x v="10"/>
    <x v="8"/>
    <x v="1"/>
    <x v="0"/>
    <m/>
    <m/>
    <m/>
    <m/>
    <m/>
    <m/>
    <m/>
    <n v="3429.1"/>
    <m/>
    <n v="3429.1"/>
    <n v="3429.1"/>
    <m/>
  </r>
  <r>
    <x v="8"/>
    <n v="2022"/>
    <n v="1"/>
    <s v="Building Maintenance-3m rf3t"/>
    <x v="2"/>
    <x v="14"/>
    <x v="1"/>
    <x v="1"/>
    <x v="1"/>
    <m/>
    <m/>
    <m/>
    <m/>
    <m/>
    <m/>
    <m/>
    <m/>
    <n v="1800"/>
    <n v="1800"/>
    <n v="1800"/>
    <m/>
  </r>
  <r>
    <x v="9"/>
    <n v="2022"/>
    <n v="1"/>
    <s v="LinkedIn Premium - Jan/22"/>
    <x v="0"/>
    <x v="15"/>
    <x v="12"/>
    <x v="1"/>
    <x v="2"/>
    <m/>
    <n v="246.17000000000002"/>
    <m/>
    <m/>
    <m/>
    <m/>
    <m/>
    <m/>
    <m/>
    <n v="246.17000000000002"/>
    <n v="246.17000000000002"/>
    <m/>
  </r>
  <r>
    <x v="10"/>
    <n v="2022"/>
    <n v="1"/>
    <s v="Bank Fees"/>
    <x v="2"/>
    <x v="2"/>
    <x v="2"/>
    <x v="1"/>
    <x v="1"/>
    <m/>
    <m/>
    <m/>
    <m/>
    <m/>
    <m/>
    <m/>
    <n v="80"/>
    <m/>
    <n v="80"/>
    <n v="80"/>
    <m/>
  </r>
  <r>
    <x v="10"/>
    <n v="2022"/>
    <n v="1"/>
    <s v="Nodust"/>
    <x v="2"/>
    <x v="16"/>
    <x v="13"/>
    <x v="1"/>
    <x v="1"/>
    <m/>
    <m/>
    <m/>
    <m/>
    <m/>
    <m/>
    <m/>
    <m/>
    <n v="60"/>
    <n v="60"/>
    <n v="60"/>
    <m/>
  </r>
  <r>
    <x v="10"/>
    <n v="2022"/>
    <n v="1"/>
    <s v="Microwave repair"/>
    <x v="2"/>
    <x v="8"/>
    <x v="1"/>
    <x v="1"/>
    <x v="1"/>
    <m/>
    <m/>
    <m/>
    <m/>
    <m/>
    <m/>
    <m/>
    <m/>
    <n v="850"/>
    <n v="850"/>
    <n v="850"/>
    <m/>
  </r>
  <r>
    <x v="11"/>
    <n v="2022"/>
    <n v="1"/>
    <s v="Atlassian-Jira(Jan/22)-Bitbucket"/>
    <x v="2"/>
    <x v="10"/>
    <x v="8"/>
    <x v="1"/>
    <x v="0"/>
    <m/>
    <n v="340.88984999999997"/>
    <m/>
    <m/>
    <m/>
    <m/>
    <m/>
    <m/>
    <m/>
    <n v="340.88984999999997"/>
    <n v="340.88984999999997"/>
    <m/>
  </r>
  <r>
    <x v="11"/>
    <n v="2022"/>
    <n v="1"/>
    <s v="E-Finance Alexandria "/>
    <x v="2"/>
    <x v="17"/>
    <x v="14"/>
    <x v="1"/>
    <x v="1"/>
    <m/>
    <n v="14.56"/>
    <m/>
    <m/>
    <m/>
    <m/>
    <m/>
    <m/>
    <m/>
    <n v="14.56"/>
    <n v="14.56"/>
    <m/>
  </r>
  <r>
    <x v="11"/>
    <n v="2022"/>
    <n v="1"/>
    <s v="Aura Domain"/>
    <x v="0"/>
    <x v="18"/>
    <x v="15"/>
    <x v="1"/>
    <x v="3"/>
    <m/>
    <n v="291.31489999999997"/>
    <m/>
    <m/>
    <m/>
    <m/>
    <m/>
    <m/>
    <m/>
    <n v="291.31489999999997"/>
    <n v="291.31489999999997"/>
    <m/>
  </r>
  <r>
    <x v="12"/>
    <n v="2022"/>
    <n v="1"/>
    <s v="Turni Benefit Hosting(Jan/22)-Hetzner"/>
    <x v="0"/>
    <x v="0"/>
    <x v="0"/>
    <x v="0"/>
    <x v="0"/>
    <m/>
    <m/>
    <m/>
    <m/>
    <m/>
    <m/>
    <m/>
    <n v="1542.64"/>
    <m/>
    <n v="1542.64"/>
    <n v="1542.64"/>
    <m/>
  </r>
  <r>
    <x v="12"/>
    <n v="2022"/>
    <n v="1"/>
    <s v="Fs+flowmapp"/>
    <x v="6"/>
    <x v="17"/>
    <x v="14"/>
    <x v="1"/>
    <x v="6"/>
    <m/>
    <m/>
    <m/>
    <m/>
    <m/>
    <m/>
    <m/>
    <n v="1608.92"/>
    <m/>
    <n v="1608.92"/>
    <n v="1608.92"/>
    <m/>
  </r>
  <r>
    <x v="13"/>
    <n v="2022"/>
    <n v="1"/>
    <s v="Yukapo Subscription"/>
    <x v="2"/>
    <x v="10"/>
    <x v="8"/>
    <x v="1"/>
    <x v="1"/>
    <m/>
    <m/>
    <m/>
    <m/>
    <m/>
    <m/>
    <m/>
    <n v="323.41000000000003"/>
    <m/>
    <n v="323.41000000000003"/>
    <n v="323.41000000000003"/>
    <m/>
  </r>
  <r>
    <x v="13"/>
    <n v="2022"/>
    <n v="1"/>
    <s v="LinkedIn Ads"/>
    <x v="0"/>
    <x v="15"/>
    <x v="12"/>
    <x v="1"/>
    <x v="2"/>
    <m/>
    <m/>
    <m/>
    <m/>
    <m/>
    <m/>
    <m/>
    <n v="771.87"/>
    <m/>
    <n v="771.87"/>
    <n v="771.87"/>
    <m/>
  </r>
  <r>
    <x v="14"/>
    <n v="2022"/>
    <n v="1"/>
    <s v="Statement Request Fees"/>
    <x v="2"/>
    <x v="2"/>
    <x v="2"/>
    <x v="1"/>
    <x v="1"/>
    <m/>
    <m/>
    <m/>
    <m/>
    <m/>
    <m/>
    <m/>
    <n v="50"/>
    <m/>
    <n v="50"/>
    <n v="50"/>
    <m/>
  </r>
  <r>
    <x v="14"/>
    <n v="2022"/>
    <n v="1"/>
    <s v="HawkHost - ???"/>
    <x v="0"/>
    <x v="0"/>
    <x v="0"/>
    <x v="5"/>
    <x v="3"/>
    <m/>
    <n v="533.73446400000012"/>
    <m/>
    <m/>
    <m/>
    <m/>
    <m/>
    <n v="1227.3499999999999"/>
    <m/>
    <n v="1761.084464"/>
    <n v="1761.084464"/>
    <m/>
  </r>
  <r>
    <x v="14"/>
    <n v="2022"/>
    <n v="1"/>
    <s v="LinkedIn Ads Markup"/>
    <x v="2"/>
    <x v="2"/>
    <x v="16"/>
    <x v="1"/>
    <x v="1"/>
    <m/>
    <m/>
    <m/>
    <m/>
    <m/>
    <m/>
    <m/>
    <n v="23.156099999999999"/>
    <m/>
    <n v="23.156099999999999"/>
    <n v="23.156099999999999"/>
    <m/>
  </r>
  <r>
    <x v="14"/>
    <n v="2022"/>
    <n v="1"/>
    <s v="Imkthis Payment (inv100930)"/>
    <x v="4"/>
    <x v="19"/>
    <x v="17"/>
    <x v="8"/>
    <x v="3"/>
    <m/>
    <m/>
    <m/>
    <m/>
    <m/>
    <m/>
    <m/>
    <n v="-9980"/>
    <m/>
    <n v="-9980"/>
    <n v="9980"/>
    <m/>
  </r>
  <r>
    <x v="14"/>
    <n v="2022"/>
    <n v="1"/>
    <s v="Imkthis Payment - VAT"/>
    <x v="4"/>
    <x v="19"/>
    <x v="6"/>
    <x v="8"/>
    <x v="3"/>
    <m/>
    <m/>
    <m/>
    <m/>
    <m/>
    <m/>
    <m/>
    <n v="-1397.2"/>
    <m/>
    <n v="-1397.2"/>
    <n v="1397.2"/>
    <m/>
  </r>
  <r>
    <x v="15"/>
    <n v="2022"/>
    <n v="1"/>
    <s v="SAI payment (Smart Website Support - Oct/21)-inv 100905"/>
    <x v="4"/>
    <x v="19"/>
    <x v="5"/>
    <x v="7"/>
    <x v="3"/>
    <m/>
    <m/>
    <m/>
    <m/>
    <m/>
    <m/>
    <m/>
    <n v="-2980"/>
    <m/>
    <n v="-2980"/>
    <n v="2980"/>
    <m/>
  </r>
  <r>
    <x v="15"/>
    <n v="2022"/>
    <n v="1"/>
    <s v="SAI payment (Smart Website Support - Oct/21)-VAT"/>
    <x v="4"/>
    <x v="19"/>
    <x v="6"/>
    <x v="7"/>
    <x v="3"/>
    <m/>
    <m/>
    <m/>
    <m/>
    <m/>
    <m/>
    <m/>
    <n v="-417.2"/>
    <m/>
    <n v="-417.2"/>
    <n v="417.2"/>
    <m/>
  </r>
  <r>
    <x v="15"/>
    <n v="2022"/>
    <n v="1"/>
    <s v="SAI payment (Smart Website Support - Oct/21)-Tax Deduction"/>
    <x v="3"/>
    <x v="5"/>
    <x v="5"/>
    <x v="7"/>
    <x v="3"/>
    <m/>
    <m/>
    <m/>
    <m/>
    <m/>
    <m/>
    <m/>
    <n v="89.4"/>
    <m/>
    <n v="89.4"/>
    <n v="89.4"/>
    <m/>
  </r>
  <r>
    <x v="15"/>
    <n v="2022"/>
    <n v="1"/>
    <s v="SAI payment (Smart Website Support - Nov/21)-inv 100914"/>
    <x v="4"/>
    <x v="19"/>
    <x v="5"/>
    <x v="7"/>
    <x v="3"/>
    <m/>
    <m/>
    <m/>
    <m/>
    <m/>
    <m/>
    <m/>
    <n v="-2980"/>
    <m/>
    <n v="-2980"/>
    <n v="2980"/>
    <m/>
  </r>
  <r>
    <x v="15"/>
    <n v="2022"/>
    <n v="1"/>
    <s v="SAI payment (Smart Website Support - Nov/21)-VAT"/>
    <x v="4"/>
    <x v="19"/>
    <x v="6"/>
    <x v="7"/>
    <x v="3"/>
    <m/>
    <m/>
    <m/>
    <m/>
    <m/>
    <m/>
    <m/>
    <n v="-417.2"/>
    <m/>
    <n v="-417.2"/>
    <n v="417.2"/>
    <m/>
  </r>
  <r>
    <x v="15"/>
    <n v="2022"/>
    <n v="1"/>
    <s v="SAI payment (Smart Website Support - Nov/21)-Tax Deduction"/>
    <x v="3"/>
    <x v="5"/>
    <x v="5"/>
    <x v="7"/>
    <x v="3"/>
    <m/>
    <m/>
    <m/>
    <m/>
    <m/>
    <m/>
    <m/>
    <n v="89.4"/>
    <m/>
    <n v="89.4"/>
    <n v="89.4"/>
    <m/>
  </r>
  <r>
    <x v="15"/>
    <n v="2022"/>
    <n v="1"/>
    <s v="Check Collection Fees Smart Payment"/>
    <x v="2"/>
    <x v="2"/>
    <x v="4"/>
    <x v="7"/>
    <x v="1"/>
    <m/>
    <m/>
    <m/>
    <m/>
    <m/>
    <m/>
    <m/>
    <n v="30"/>
    <m/>
    <n v="30"/>
    <n v="30"/>
    <m/>
  </r>
  <r>
    <x v="15"/>
    <n v="2022"/>
    <n v="1"/>
    <s v="Zoom Subscription(Jan/22)"/>
    <x v="2"/>
    <x v="10"/>
    <x v="8"/>
    <x v="1"/>
    <x v="1"/>
    <m/>
    <m/>
    <m/>
    <m/>
    <m/>
    <m/>
    <m/>
    <n v="487.23"/>
    <m/>
    <n v="487.23"/>
    <n v="487.23"/>
    <m/>
  </r>
  <r>
    <x v="15"/>
    <n v="2022"/>
    <n v="1"/>
    <s v="Electricity"/>
    <x v="2"/>
    <x v="13"/>
    <x v="11"/>
    <x v="1"/>
    <x v="1"/>
    <m/>
    <m/>
    <m/>
    <m/>
    <m/>
    <m/>
    <m/>
    <n v="969.56"/>
    <m/>
    <n v="969.56"/>
    <n v="969.56"/>
    <m/>
  </r>
  <r>
    <x v="16"/>
    <n v="2022"/>
    <n v="1"/>
    <s v="Various Consumables"/>
    <x v="2"/>
    <x v="16"/>
    <x v="18"/>
    <x v="1"/>
    <x v="1"/>
    <m/>
    <m/>
    <m/>
    <m/>
    <m/>
    <m/>
    <m/>
    <m/>
    <n v="2539"/>
    <n v="2539"/>
    <n v="2539"/>
    <m/>
  </r>
  <r>
    <x v="16"/>
    <n v="2022"/>
    <n v="1"/>
    <s v="Ibrahim Transportation"/>
    <x v="2"/>
    <x v="20"/>
    <x v="19"/>
    <x v="1"/>
    <x v="1"/>
    <m/>
    <m/>
    <m/>
    <m/>
    <m/>
    <m/>
    <m/>
    <m/>
    <n v="130"/>
    <n v="130"/>
    <n v="130"/>
    <m/>
  </r>
  <r>
    <x v="17"/>
    <n v="2022"/>
    <n v="2"/>
    <s v="Turni Contabo -Feb/22"/>
    <x v="0"/>
    <x v="0"/>
    <x v="0"/>
    <x v="0"/>
    <x v="0"/>
    <m/>
    <n v="1048.5663"/>
    <m/>
    <m/>
    <m/>
    <m/>
    <m/>
    <m/>
    <m/>
    <n v="1048.5663"/>
    <n v="1048.5663"/>
    <m/>
  </r>
  <r>
    <x v="17"/>
    <n v="2022"/>
    <n v="2"/>
    <s v="Eighth installment-Laptop"/>
    <x v="1"/>
    <x v="1"/>
    <x v="1"/>
    <x v="1"/>
    <x v="1"/>
    <m/>
    <n v="2347"/>
    <m/>
    <m/>
    <m/>
    <m/>
    <m/>
    <m/>
    <m/>
    <n v="2347"/>
    <n v="2347"/>
    <m/>
  </r>
  <r>
    <x v="18"/>
    <n v="2022"/>
    <n v="2"/>
    <s v="Samer Pays Margins"/>
    <x v="5"/>
    <x v="9"/>
    <x v="7"/>
    <x v="1"/>
    <x v="5"/>
    <m/>
    <n v="537"/>
    <m/>
    <m/>
    <m/>
    <m/>
    <m/>
    <m/>
    <n v="-537"/>
    <n v="0"/>
    <n v="0"/>
    <m/>
  </r>
  <r>
    <x v="18"/>
    <n v="2022"/>
    <n v="2"/>
    <s v="Various Consumables"/>
    <x v="2"/>
    <x v="16"/>
    <x v="18"/>
    <x v="1"/>
    <x v="1"/>
    <m/>
    <m/>
    <m/>
    <m/>
    <m/>
    <m/>
    <m/>
    <m/>
    <n v="537"/>
    <n v="537"/>
    <n v="537"/>
    <m/>
  </r>
  <r>
    <x v="18"/>
    <n v="2022"/>
    <n v="2"/>
    <s v="Cheque No.51675589"/>
    <x v="5"/>
    <x v="9"/>
    <x v="7"/>
    <x v="1"/>
    <x v="5"/>
    <m/>
    <m/>
    <m/>
    <m/>
    <m/>
    <m/>
    <n v="-16000"/>
    <n v="16000"/>
    <m/>
    <n v="0"/>
    <n v="0"/>
    <m/>
  </r>
  <r>
    <x v="18"/>
    <n v="2022"/>
    <n v="2"/>
    <s v="Software Jan/22 Payroll"/>
    <x v="7"/>
    <x v="21"/>
    <x v="20"/>
    <x v="1"/>
    <x v="0"/>
    <m/>
    <n v="9000"/>
    <m/>
    <m/>
    <m/>
    <m/>
    <n v="14000"/>
    <n v="52700"/>
    <m/>
    <n v="75700"/>
    <n v="75700"/>
    <m/>
  </r>
  <r>
    <x v="18"/>
    <n v="2022"/>
    <n v="2"/>
    <s v="Mobile Jan/22 Payroll"/>
    <x v="7"/>
    <x v="21"/>
    <x v="21"/>
    <x v="1"/>
    <x v="4"/>
    <m/>
    <m/>
    <m/>
    <n v="14000"/>
    <m/>
    <m/>
    <n v="8000"/>
    <m/>
    <m/>
    <n v="22000"/>
    <n v="22000"/>
    <m/>
  </r>
  <r>
    <x v="18"/>
    <n v="2022"/>
    <n v="2"/>
    <s v="General Jan/22 Payroll"/>
    <x v="7"/>
    <x v="21"/>
    <x v="22"/>
    <x v="1"/>
    <x v="1"/>
    <m/>
    <n v="18000"/>
    <m/>
    <n v="14000"/>
    <m/>
    <m/>
    <m/>
    <n v="18600"/>
    <m/>
    <n v="50600"/>
    <n v="50600"/>
    <m/>
  </r>
  <r>
    <x v="18"/>
    <n v="2022"/>
    <n v="2"/>
    <s v="Websites Jan/22 Payroll"/>
    <x v="7"/>
    <x v="21"/>
    <x v="23"/>
    <x v="1"/>
    <x v="3"/>
    <m/>
    <n v="9000"/>
    <m/>
    <m/>
    <m/>
    <m/>
    <n v="7400"/>
    <n v="13450"/>
    <m/>
    <n v="29850"/>
    <n v="29850"/>
    <m/>
  </r>
  <r>
    <x v="19"/>
    <n v="2022"/>
    <n v="2"/>
    <s v="Check Collection Fees Bashaier Payment"/>
    <x v="2"/>
    <x v="2"/>
    <x v="4"/>
    <x v="9"/>
    <x v="1"/>
    <m/>
    <m/>
    <m/>
    <m/>
    <m/>
    <m/>
    <m/>
    <n v="15"/>
    <m/>
    <n v="15"/>
    <n v="15"/>
    <m/>
  </r>
  <r>
    <x v="19"/>
    <n v="2022"/>
    <n v="2"/>
    <s v="Doorman Monthly salary (Feb/22)"/>
    <x v="2"/>
    <x v="8"/>
    <x v="1"/>
    <x v="1"/>
    <x v="1"/>
    <m/>
    <m/>
    <m/>
    <m/>
    <m/>
    <m/>
    <n v="350"/>
    <m/>
    <m/>
    <n v="350"/>
    <n v="350"/>
    <m/>
  </r>
  <r>
    <x v="19"/>
    <n v="2022"/>
    <n v="2"/>
    <s v="SonarCloud"/>
    <x v="2"/>
    <x v="10"/>
    <x v="8"/>
    <x v="1"/>
    <x v="0"/>
    <m/>
    <n v="183.96"/>
    <m/>
    <m/>
    <m/>
    <m/>
    <m/>
    <m/>
    <m/>
    <n v="183.96"/>
    <n v="183.96"/>
    <m/>
  </r>
  <r>
    <x v="19"/>
    <n v="2022"/>
    <n v="2"/>
    <s v="Bashaier Down Payment20%-inv100933"/>
    <x v="4"/>
    <x v="7"/>
    <x v="5"/>
    <x v="9"/>
    <x v="4"/>
    <m/>
    <m/>
    <m/>
    <m/>
    <m/>
    <m/>
    <m/>
    <n v="-92000"/>
    <m/>
    <n v="-92000"/>
    <n v="92000"/>
    <m/>
  </r>
  <r>
    <x v="19"/>
    <n v="2022"/>
    <n v="2"/>
    <s v="Bashaier Down Payment20%-VAT"/>
    <x v="4"/>
    <x v="7"/>
    <x v="6"/>
    <x v="9"/>
    <x v="4"/>
    <m/>
    <m/>
    <m/>
    <m/>
    <m/>
    <m/>
    <m/>
    <n v="-12880.000000000002"/>
    <m/>
    <n v="-12880.000000000002"/>
    <n v="12880.000000000002"/>
    <m/>
  </r>
  <r>
    <x v="19"/>
    <n v="2022"/>
    <n v="2"/>
    <s v="Bashaier Down Payment20%-Tax Deduction"/>
    <x v="3"/>
    <x v="5"/>
    <x v="5"/>
    <x v="9"/>
    <x v="4"/>
    <m/>
    <m/>
    <m/>
    <m/>
    <m/>
    <m/>
    <m/>
    <n v="2760"/>
    <m/>
    <n v="2760"/>
    <n v="2760"/>
    <m/>
  </r>
  <r>
    <x v="19"/>
    <n v="2022"/>
    <n v="2"/>
    <s v="Aura-demo Hosting(Jan/22)"/>
    <x v="0"/>
    <x v="0"/>
    <x v="15"/>
    <x v="1"/>
    <x v="3"/>
    <m/>
    <m/>
    <m/>
    <m/>
    <m/>
    <m/>
    <m/>
    <n v="305.58999999999997"/>
    <m/>
    <n v="305.58999999999997"/>
    <n v="305.58999999999997"/>
    <m/>
  </r>
  <r>
    <x v="19"/>
    <n v="2022"/>
    <n v="2"/>
    <s v="VAT (Annual)"/>
    <x v="3"/>
    <x v="2"/>
    <x v="24"/>
    <x v="1"/>
    <x v="6"/>
    <m/>
    <m/>
    <m/>
    <m/>
    <m/>
    <m/>
    <m/>
    <n v="324.2"/>
    <m/>
    <n v="324.2"/>
    <n v="324.2"/>
    <m/>
  </r>
  <r>
    <x v="19"/>
    <n v="2022"/>
    <n v="2"/>
    <s v="Thaki Hosting (Cloudflare)"/>
    <x v="0"/>
    <x v="0"/>
    <x v="0"/>
    <x v="10"/>
    <x v="4"/>
    <m/>
    <m/>
    <m/>
    <m/>
    <m/>
    <m/>
    <m/>
    <n v="81.260000000000005"/>
    <m/>
    <n v="81.260000000000005"/>
    <n v="81.260000000000005"/>
    <m/>
  </r>
  <r>
    <x v="20"/>
    <n v="2022"/>
    <n v="2"/>
    <s v="Cheque No.51675590"/>
    <x v="5"/>
    <x v="9"/>
    <x v="7"/>
    <x v="1"/>
    <x v="5"/>
    <m/>
    <m/>
    <m/>
    <m/>
    <m/>
    <m/>
    <n v="-25000"/>
    <n v="25000"/>
    <m/>
    <n v="0"/>
    <n v="0"/>
    <s v="14700المرتبات الكاش"/>
  </r>
  <r>
    <x v="21"/>
    <n v="2022"/>
    <n v="2"/>
    <s v="Dec/21 Systems VAT"/>
    <x v="3"/>
    <x v="3"/>
    <x v="3"/>
    <x v="1"/>
    <x v="0"/>
    <m/>
    <m/>
    <m/>
    <m/>
    <m/>
    <m/>
    <m/>
    <n v="10567.75"/>
    <m/>
    <n v="10567.75"/>
    <n v="10567.75"/>
    <m/>
  </r>
  <r>
    <x v="21"/>
    <n v="2022"/>
    <n v="2"/>
    <s v="Dec/21 Markting VAT"/>
    <x v="3"/>
    <x v="3"/>
    <x v="3"/>
    <x v="1"/>
    <x v="2"/>
    <m/>
    <m/>
    <m/>
    <m/>
    <m/>
    <m/>
    <m/>
    <n v="46185.24"/>
    <m/>
    <n v="46185.24"/>
    <n v="46185.24"/>
    <m/>
  </r>
  <r>
    <x v="21"/>
    <n v="2022"/>
    <n v="2"/>
    <s v="Dec21 Website VAT"/>
    <x v="3"/>
    <x v="3"/>
    <x v="3"/>
    <x v="1"/>
    <x v="3"/>
    <m/>
    <m/>
    <m/>
    <m/>
    <m/>
    <m/>
    <m/>
    <n v="697.2"/>
    <m/>
    <n v="697.2"/>
    <n v="697.2"/>
    <m/>
  </r>
  <r>
    <x v="21"/>
    <n v="2022"/>
    <n v="2"/>
    <s v="Dec/21 Mobile VAT"/>
    <x v="3"/>
    <x v="3"/>
    <x v="3"/>
    <x v="1"/>
    <x v="4"/>
    <m/>
    <m/>
    <m/>
    <m/>
    <m/>
    <m/>
    <m/>
    <n v="11760"/>
    <m/>
    <n v="11760"/>
    <n v="11760"/>
    <m/>
  </r>
  <r>
    <x v="21"/>
    <n v="2022"/>
    <n v="2"/>
    <s v="Bank VAT Transfer Charge"/>
    <x v="2"/>
    <x v="2"/>
    <x v="24"/>
    <x v="1"/>
    <x v="1"/>
    <m/>
    <m/>
    <m/>
    <m/>
    <m/>
    <m/>
    <m/>
    <n v="741.37"/>
    <m/>
    <n v="741.37"/>
    <n v="741.37"/>
    <m/>
  </r>
  <r>
    <x v="21"/>
    <n v="2022"/>
    <n v="2"/>
    <s v="Deduction Tax (period Oct,Nov,Dec/21)"/>
    <x v="3"/>
    <x v="5"/>
    <x v="25"/>
    <x v="1"/>
    <x v="1"/>
    <m/>
    <m/>
    <m/>
    <m/>
    <m/>
    <m/>
    <m/>
    <n v="3310"/>
    <m/>
    <n v="3310"/>
    <n v="3310"/>
    <m/>
  </r>
  <r>
    <x v="21"/>
    <n v="2022"/>
    <n v="2"/>
    <s v="Bank Deduction Tax Transfer Charge"/>
    <x v="2"/>
    <x v="2"/>
    <x v="26"/>
    <x v="1"/>
    <x v="1"/>
    <m/>
    <m/>
    <m/>
    <m/>
    <m/>
    <m/>
    <m/>
    <n v="41.190000000000055"/>
    <m/>
    <n v="41.190000000000055"/>
    <n v="41.190000000000055"/>
    <m/>
  </r>
  <r>
    <x v="21"/>
    <n v="2022"/>
    <n v="2"/>
    <s v="Electricity"/>
    <x v="2"/>
    <x v="13"/>
    <x v="11"/>
    <x v="1"/>
    <x v="1"/>
    <m/>
    <m/>
    <m/>
    <m/>
    <m/>
    <m/>
    <m/>
    <n v="827.5"/>
    <m/>
    <n v="827.5"/>
    <n v="827.5"/>
    <m/>
  </r>
  <r>
    <x v="21"/>
    <n v="2022"/>
    <n v="2"/>
    <s v="Electricity"/>
    <x v="2"/>
    <x v="13"/>
    <x v="11"/>
    <x v="1"/>
    <x v="1"/>
    <m/>
    <m/>
    <m/>
    <m/>
    <m/>
    <m/>
    <m/>
    <n v="1152"/>
    <m/>
    <n v="1152"/>
    <n v="1152"/>
    <m/>
  </r>
  <r>
    <x v="21"/>
    <n v="2022"/>
    <n v="2"/>
    <s v="Envato"/>
    <x v="2"/>
    <x v="10"/>
    <x v="8"/>
    <x v="1"/>
    <x v="2"/>
    <m/>
    <m/>
    <m/>
    <m/>
    <m/>
    <m/>
    <m/>
    <n v="650.05999999999995"/>
    <m/>
    <n v="650.05999999999995"/>
    <n v="650.05999999999995"/>
    <m/>
  </r>
  <r>
    <x v="21"/>
    <n v="2022"/>
    <n v="2"/>
    <s v="Rent (Feb/22)"/>
    <x v="2"/>
    <x v="12"/>
    <x v="1"/>
    <x v="1"/>
    <x v="1"/>
    <m/>
    <m/>
    <m/>
    <m/>
    <m/>
    <m/>
    <m/>
    <n v="14641"/>
    <m/>
    <n v="14641"/>
    <n v="14641"/>
    <m/>
  </r>
  <r>
    <x v="22"/>
    <n v="2022"/>
    <n v="2"/>
    <s v="We Internet Recharge "/>
    <x v="2"/>
    <x v="22"/>
    <x v="27"/>
    <x v="1"/>
    <x v="1"/>
    <m/>
    <m/>
    <m/>
    <m/>
    <m/>
    <m/>
    <m/>
    <n v="148.71080000000003"/>
    <m/>
    <n v="148.71080000000003"/>
    <n v="148.71080000000003"/>
    <m/>
  </r>
  <r>
    <x v="22"/>
    <n v="2022"/>
    <n v="2"/>
    <s v="Copy Of Commercial Register"/>
    <x v="2"/>
    <x v="23"/>
    <x v="1"/>
    <x v="1"/>
    <x v="1"/>
    <m/>
    <m/>
    <m/>
    <m/>
    <m/>
    <m/>
    <m/>
    <m/>
    <n v="230"/>
    <n v="230"/>
    <n v="230"/>
    <m/>
  </r>
  <r>
    <x v="23"/>
    <n v="2022"/>
    <n v="2"/>
    <s v="Bank Pays Cash"/>
    <x v="5"/>
    <x v="9"/>
    <x v="7"/>
    <x v="1"/>
    <x v="5"/>
    <m/>
    <m/>
    <m/>
    <m/>
    <m/>
    <m/>
    <n v="-4000"/>
    <n v="4000"/>
    <m/>
    <n v="0"/>
    <n v="0"/>
    <m/>
  </r>
  <r>
    <x v="23"/>
    <n v="2022"/>
    <n v="2"/>
    <s v="CloudwaysLTD Mosta MT"/>
    <x v="0"/>
    <x v="0"/>
    <x v="0"/>
    <x v="5"/>
    <x v="3"/>
    <m/>
    <n v="1996.6344000000001"/>
    <m/>
    <m/>
    <m/>
    <m/>
    <m/>
    <m/>
    <m/>
    <n v="1996.6344000000001"/>
    <n v="1996.6344000000001"/>
    <m/>
  </r>
  <r>
    <x v="23"/>
    <n v="2022"/>
    <n v="2"/>
    <s v="CloudwaysLTD Mosta MT-Feb/22"/>
    <x v="0"/>
    <x v="0"/>
    <x v="0"/>
    <x v="7"/>
    <x v="3"/>
    <m/>
    <n v="714.2432"/>
    <m/>
    <m/>
    <m/>
    <m/>
    <m/>
    <m/>
    <m/>
    <n v="714.2432"/>
    <n v="714.2432"/>
    <m/>
  </r>
  <r>
    <x v="24"/>
    <n v="2022"/>
    <n v="2"/>
    <s v="IBAG Cloud Attendance Payment-inv100927"/>
    <x v="4"/>
    <x v="17"/>
    <x v="17"/>
    <x v="11"/>
    <x v="6"/>
    <m/>
    <m/>
    <m/>
    <m/>
    <m/>
    <m/>
    <m/>
    <n v="-12000"/>
    <m/>
    <n v="-12000"/>
    <n v="12000"/>
    <m/>
  </r>
  <r>
    <x v="24"/>
    <n v="2022"/>
    <n v="2"/>
    <s v="IBAG Cloud Attendance Payment-VAT"/>
    <x v="4"/>
    <x v="17"/>
    <x v="6"/>
    <x v="11"/>
    <x v="6"/>
    <m/>
    <m/>
    <m/>
    <m/>
    <m/>
    <m/>
    <m/>
    <n v="-1680.0000000000002"/>
    <m/>
    <n v="-1680.0000000000002"/>
    <n v="1680.0000000000002"/>
    <m/>
  </r>
  <r>
    <x v="24"/>
    <n v="2022"/>
    <n v="2"/>
    <s v="IBAG Cloud Attendance Payment-Tax Deduction"/>
    <x v="3"/>
    <x v="5"/>
    <x v="17"/>
    <x v="11"/>
    <x v="6"/>
    <m/>
    <m/>
    <m/>
    <m/>
    <m/>
    <m/>
    <m/>
    <n v="120"/>
    <m/>
    <n v="120"/>
    <n v="120"/>
    <m/>
  </r>
  <r>
    <x v="24"/>
    <n v="2022"/>
    <n v="2"/>
    <s v="Check Collection Fees Instabug Software Payment"/>
    <x v="2"/>
    <x v="2"/>
    <x v="4"/>
    <x v="12"/>
    <x v="1"/>
    <m/>
    <m/>
    <m/>
    <m/>
    <m/>
    <m/>
    <m/>
    <n v="15"/>
    <m/>
    <n v="15"/>
    <n v="15"/>
    <m/>
  </r>
  <r>
    <x v="24"/>
    <n v="2022"/>
    <n v="2"/>
    <s v="Instabug Software Downpayment 50% - inv100936"/>
    <x v="4"/>
    <x v="6"/>
    <x v="5"/>
    <x v="12"/>
    <x v="3"/>
    <m/>
    <m/>
    <m/>
    <m/>
    <m/>
    <m/>
    <m/>
    <n v="-9000"/>
    <m/>
    <n v="-9000"/>
    <n v="9000"/>
    <m/>
  </r>
  <r>
    <x v="24"/>
    <n v="2022"/>
    <n v="2"/>
    <s v="Instabug Software  Downpayment 50% - VAT"/>
    <x v="4"/>
    <x v="6"/>
    <x v="6"/>
    <x v="12"/>
    <x v="3"/>
    <m/>
    <m/>
    <m/>
    <m/>
    <m/>
    <m/>
    <m/>
    <n v="-1260.0000000000002"/>
    <m/>
    <n v="-1260.0000000000002"/>
    <n v="1260.0000000000002"/>
    <m/>
  </r>
  <r>
    <x v="24"/>
    <n v="2022"/>
    <n v="2"/>
    <s v="We Internet Recharge "/>
    <x v="2"/>
    <x v="22"/>
    <x v="27"/>
    <x v="1"/>
    <x v="1"/>
    <m/>
    <m/>
    <m/>
    <m/>
    <m/>
    <m/>
    <m/>
    <n v="11.5"/>
    <m/>
    <n v="11.5"/>
    <n v="11.5"/>
    <m/>
  </r>
  <r>
    <x v="24"/>
    <n v="2022"/>
    <n v="2"/>
    <s v="Egypt Trust "/>
    <x v="2"/>
    <x v="23"/>
    <x v="1"/>
    <x v="1"/>
    <x v="1"/>
    <m/>
    <m/>
    <m/>
    <m/>
    <m/>
    <m/>
    <m/>
    <m/>
    <n v="4000"/>
    <n v="4000"/>
    <n v="4000"/>
    <m/>
  </r>
  <r>
    <x v="25"/>
    <n v="2022"/>
    <n v="2"/>
    <s v="LinkedIn Premium - Feb/22"/>
    <x v="0"/>
    <x v="15"/>
    <x v="12"/>
    <x v="1"/>
    <x v="2"/>
    <m/>
    <n v="246.17000000000002"/>
    <m/>
    <m/>
    <m/>
    <m/>
    <m/>
    <m/>
    <m/>
    <n v="246.17000000000002"/>
    <n v="246.17000000000002"/>
    <m/>
  </r>
  <r>
    <x v="25"/>
    <n v="2022"/>
    <n v="2"/>
    <s v="Atlassian-Jira(Feb/22)"/>
    <x v="2"/>
    <x v="10"/>
    <x v="8"/>
    <x v="1"/>
    <x v="0"/>
    <m/>
    <m/>
    <m/>
    <m/>
    <m/>
    <m/>
    <m/>
    <n v="3414.49"/>
    <m/>
    <n v="3414.49"/>
    <n v="3414.49"/>
    <m/>
  </r>
  <r>
    <x v="25"/>
    <n v="2022"/>
    <n v="2"/>
    <s v="Bank Pays Samer "/>
    <x v="5"/>
    <x v="9"/>
    <x v="10"/>
    <x v="1"/>
    <x v="5"/>
    <m/>
    <n v="-30000"/>
    <m/>
    <m/>
    <m/>
    <m/>
    <m/>
    <n v="30000"/>
    <m/>
    <n v="0"/>
    <n v="0"/>
    <m/>
  </r>
  <r>
    <x v="25"/>
    <n v="2022"/>
    <n v="2"/>
    <s v="Nodust"/>
    <x v="2"/>
    <x v="16"/>
    <x v="13"/>
    <x v="1"/>
    <x v="1"/>
    <m/>
    <m/>
    <m/>
    <m/>
    <m/>
    <m/>
    <m/>
    <m/>
    <n v="60"/>
    <n v="60"/>
    <n v="60"/>
    <m/>
  </r>
  <r>
    <x v="26"/>
    <n v="2022"/>
    <n v="2"/>
    <s v="Bank Fees"/>
    <x v="2"/>
    <x v="2"/>
    <x v="2"/>
    <x v="1"/>
    <x v="1"/>
    <m/>
    <m/>
    <m/>
    <m/>
    <m/>
    <m/>
    <m/>
    <n v="80"/>
    <m/>
    <n v="80"/>
    <n v="80"/>
    <m/>
  </r>
  <r>
    <x v="27"/>
    <n v="2022"/>
    <n v="2"/>
    <s v="Atlassian-Jira(Feb/22)-Bitbucket"/>
    <x v="2"/>
    <x v="10"/>
    <x v="8"/>
    <x v="1"/>
    <x v="0"/>
    <m/>
    <n v="340.88984999999997"/>
    <m/>
    <m/>
    <m/>
    <m/>
    <m/>
    <m/>
    <m/>
    <n v="340.88984999999997"/>
    <n v="340.88984999999997"/>
    <m/>
  </r>
  <r>
    <x v="27"/>
    <n v="2022"/>
    <n v="2"/>
    <s v="Turni Server Management (Aug21&amp;Sep21&amp;Oct21&amp;Nov21&amp;Dec21&amp;Jan22)"/>
    <x v="0"/>
    <x v="11"/>
    <x v="14"/>
    <x v="0"/>
    <x v="0"/>
    <m/>
    <n v="15000"/>
    <m/>
    <m/>
    <m/>
    <m/>
    <m/>
    <m/>
    <m/>
    <n v="15000"/>
    <n v="15000"/>
    <m/>
  </r>
  <r>
    <x v="27"/>
    <n v="2022"/>
    <n v="2"/>
    <s v="Check Collectoin Fees - Alfa Electronics Payment"/>
    <x v="2"/>
    <x v="2"/>
    <x v="4"/>
    <x v="2"/>
    <x v="1"/>
    <m/>
    <m/>
    <m/>
    <m/>
    <m/>
    <m/>
    <m/>
    <n v="15"/>
    <m/>
    <n v="15"/>
    <n v="15"/>
    <m/>
  </r>
  <r>
    <x v="27"/>
    <n v="2022"/>
    <n v="2"/>
    <s v="Alfa Electronics payment(inv100931)"/>
    <x v="4"/>
    <x v="4"/>
    <x v="5"/>
    <x v="2"/>
    <x v="0"/>
    <m/>
    <m/>
    <m/>
    <m/>
    <m/>
    <m/>
    <m/>
    <n v="-44400"/>
    <m/>
    <n v="-44400"/>
    <n v="44400"/>
    <m/>
  </r>
  <r>
    <x v="27"/>
    <n v="2022"/>
    <n v="2"/>
    <s v="Alfa Electronics payment-VAT"/>
    <x v="4"/>
    <x v="4"/>
    <x v="6"/>
    <x v="2"/>
    <x v="0"/>
    <m/>
    <m/>
    <m/>
    <m/>
    <m/>
    <m/>
    <m/>
    <n v="-6216.0000000000009"/>
    <m/>
    <n v="-6216.0000000000009"/>
    <n v="6216.0000000000009"/>
    <m/>
  </r>
  <r>
    <x v="27"/>
    <n v="2022"/>
    <n v="2"/>
    <s v="Alfa Electronics payment-Tax Deduction"/>
    <x v="3"/>
    <x v="5"/>
    <x v="5"/>
    <x v="2"/>
    <x v="0"/>
    <m/>
    <m/>
    <m/>
    <m/>
    <m/>
    <m/>
    <m/>
    <n v="1332"/>
    <m/>
    <n v="1332"/>
    <n v="1332"/>
    <m/>
  </r>
  <r>
    <x v="27"/>
    <n v="2022"/>
    <n v="2"/>
    <s v="Alfa Electronics payment(inv100932)"/>
    <x v="4"/>
    <x v="24"/>
    <x v="5"/>
    <x v="0"/>
    <x v="3"/>
    <m/>
    <m/>
    <m/>
    <m/>
    <m/>
    <m/>
    <m/>
    <n v="-20389.02"/>
    <m/>
    <n v="-20389.02"/>
    <n v="20389.02"/>
    <m/>
  </r>
  <r>
    <x v="27"/>
    <n v="2022"/>
    <n v="2"/>
    <s v="Alfa Electronics payment-VAT"/>
    <x v="4"/>
    <x v="24"/>
    <x v="6"/>
    <x v="0"/>
    <x v="3"/>
    <m/>
    <m/>
    <m/>
    <m/>
    <m/>
    <m/>
    <m/>
    <n v="-2854.4628000000002"/>
    <m/>
    <n v="-2854.4628000000002"/>
    <n v="2854.4628000000002"/>
    <m/>
  </r>
  <r>
    <x v="27"/>
    <n v="2022"/>
    <n v="2"/>
    <s v="Alfa Electronics payment-Tax Deduction"/>
    <x v="3"/>
    <x v="5"/>
    <x v="5"/>
    <x v="0"/>
    <x v="3"/>
    <m/>
    <m/>
    <m/>
    <m/>
    <m/>
    <m/>
    <m/>
    <n v="203.89060000000006"/>
    <m/>
    <n v="203.89060000000006"/>
    <n v="203.89060000000006"/>
    <m/>
  </r>
  <r>
    <x v="27"/>
    <n v="2022"/>
    <n v="2"/>
    <s v="Turni Benefit Hosting(Feb/22)-Hetzner"/>
    <x v="0"/>
    <x v="0"/>
    <x v="0"/>
    <x v="0"/>
    <x v="0"/>
    <m/>
    <m/>
    <m/>
    <m/>
    <m/>
    <m/>
    <m/>
    <n v="1537.43"/>
    <m/>
    <n v="1537.43"/>
    <n v="1537.43"/>
    <m/>
  </r>
  <r>
    <x v="28"/>
    <n v="2022"/>
    <n v="2"/>
    <s v="Iscore payment الشركة المصرية للاستعلام الائتماني (inv100937)"/>
    <x v="4"/>
    <x v="19"/>
    <x v="17"/>
    <x v="13"/>
    <x v="0"/>
    <m/>
    <m/>
    <m/>
    <m/>
    <m/>
    <m/>
    <m/>
    <n v="-1200"/>
    <m/>
    <n v="-1200"/>
    <n v="1200"/>
    <m/>
  </r>
  <r>
    <x v="28"/>
    <n v="2022"/>
    <n v="2"/>
    <s v="Iscore payment الشركة المصرية للاستعلام الائتماني-VAT"/>
    <x v="4"/>
    <x v="19"/>
    <x v="6"/>
    <x v="13"/>
    <x v="0"/>
    <m/>
    <m/>
    <m/>
    <m/>
    <m/>
    <m/>
    <m/>
    <n v="-168.00000000000003"/>
    <m/>
    <n v="-168.00000000000003"/>
    <n v="168.00000000000003"/>
    <m/>
  </r>
  <r>
    <x v="28"/>
    <n v="2022"/>
    <n v="2"/>
    <s v="Iscore payment الشركة المصرية للاستعلام الائتماني- Tax Deduction"/>
    <x v="3"/>
    <x v="5"/>
    <x v="17"/>
    <x v="13"/>
    <x v="0"/>
    <m/>
    <m/>
    <m/>
    <m/>
    <m/>
    <m/>
    <m/>
    <n v="36"/>
    <m/>
    <n v="36"/>
    <n v="36"/>
    <m/>
  </r>
  <r>
    <x v="29"/>
    <n v="2022"/>
    <n v="2"/>
    <s v="Signature Cards"/>
    <x v="2"/>
    <x v="2"/>
    <x v="2"/>
    <x v="1"/>
    <x v="1"/>
    <m/>
    <m/>
    <m/>
    <m/>
    <m/>
    <m/>
    <m/>
    <n v="125"/>
    <m/>
    <n v="125"/>
    <n v="125"/>
    <m/>
  </r>
  <r>
    <x v="30"/>
    <n v="2022"/>
    <n v="2"/>
    <s v="Zoom Subscription(Feb/22)"/>
    <x v="2"/>
    <x v="10"/>
    <x v="8"/>
    <x v="1"/>
    <x v="1"/>
    <m/>
    <m/>
    <m/>
    <m/>
    <m/>
    <m/>
    <m/>
    <n v="487.21"/>
    <m/>
    <n v="487.21"/>
    <n v="487.21"/>
    <m/>
  </r>
  <r>
    <x v="30"/>
    <n v="2022"/>
    <n v="2"/>
    <s v="We Internet Recharge "/>
    <x v="2"/>
    <x v="22"/>
    <x v="27"/>
    <x v="1"/>
    <x v="1"/>
    <m/>
    <n v="353"/>
    <m/>
    <m/>
    <m/>
    <m/>
    <m/>
    <m/>
    <m/>
    <n v="353"/>
    <n v="353"/>
    <m/>
  </r>
  <r>
    <x v="30"/>
    <n v="2022"/>
    <n v="2"/>
    <s v="CloudwaysLTD Mosta MT"/>
    <x v="0"/>
    <x v="0"/>
    <x v="0"/>
    <x v="5"/>
    <x v="3"/>
    <m/>
    <n v="4869.84"/>
    <m/>
    <m/>
    <m/>
    <m/>
    <m/>
    <m/>
    <m/>
    <n v="4869.84"/>
    <n v="4869.84"/>
    <m/>
  </r>
  <r>
    <x v="30"/>
    <n v="2022"/>
    <n v="2"/>
    <s v="Accept Paymob Cairo EG"/>
    <x v="2"/>
    <x v="25"/>
    <x v="28"/>
    <x v="1"/>
    <x v="1"/>
    <m/>
    <n v="100"/>
    <m/>
    <m/>
    <m/>
    <m/>
    <m/>
    <m/>
    <m/>
    <n v="100"/>
    <n v="100"/>
    <m/>
  </r>
  <r>
    <x v="31"/>
    <n v="2022"/>
    <n v="2"/>
    <s v="Aura-demo Hosting(Feb/22)"/>
    <x v="0"/>
    <x v="0"/>
    <x v="15"/>
    <x v="1"/>
    <x v="3"/>
    <m/>
    <m/>
    <m/>
    <m/>
    <m/>
    <m/>
    <m/>
    <n v="307.47000000000003"/>
    <m/>
    <n v="307.47000000000003"/>
    <n v="307.47000000000003"/>
    <m/>
  </r>
  <r>
    <x v="31"/>
    <n v="2022"/>
    <n v="2"/>
    <s v="Various Consumables"/>
    <x v="2"/>
    <x v="16"/>
    <x v="18"/>
    <x v="1"/>
    <x v="1"/>
    <m/>
    <m/>
    <m/>
    <m/>
    <m/>
    <m/>
    <m/>
    <m/>
    <n v="3263"/>
    <n v="3263"/>
    <n v="3263"/>
    <m/>
  </r>
  <r>
    <x v="31"/>
    <n v="2022"/>
    <n v="2"/>
    <s v="Ibrahim Transportation"/>
    <x v="2"/>
    <x v="20"/>
    <x v="19"/>
    <x v="1"/>
    <x v="1"/>
    <m/>
    <m/>
    <m/>
    <m/>
    <m/>
    <m/>
    <m/>
    <m/>
    <n v="255"/>
    <n v="255"/>
    <n v="255"/>
    <m/>
  </r>
  <r>
    <x v="32"/>
    <n v="2022"/>
    <n v="3"/>
    <s v="Turni Contabo -Mar/22"/>
    <x v="0"/>
    <x v="0"/>
    <x v="0"/>
    <x v="0"/>
    <x v="0"/>
    <m/>
    <n v="1031.7"/>
    <m/>
    <m/>
    <m/>
    <m/>
    <m/>
    <m/>
    <m/>
    <n v="1031.7"/>
    <n v="1031.7"/>
    <m/>
  </r>
  <r>
    <x v="32"/>
    <n v="2022"/>
    <n v="3"/>
    <s v="Ninth installment-Laptop"/>
    <x v="1"/>
    <x v="1"/>
    <x v="1"/>
    <x v="1"/>
    <x v="1"/>
    <m/>
    <n v="2347"/>
    <m/>
    <m/>
    <m/>
    <m/>
    <m/>
    <m/>
    <m/>
    <n v="2347"/>
    <n v="2347"/>
    <m/>
  </r>
  <r>
    <x v="32"/>
    <n v="2022"/>
    <n v="3"/>
    <s v="Min Balance Fees"/>
    <x v="2"/>
    <x v="2"/>
    <x v="2"/>
    <x v="1"/>
    <x v="1"/>
    <m/>
    <m/>
    <m/>
    <m/>
    <m/>
    <m/>
    <m/>
    <n v="25"/>
    <m/>
    <n v="25"/>
    <n v="25"/>
    <m/>
  </r>
  <r>
    <x v="33"/>
    <n v="2022"/>
    <n v="3"/>
    <s v="Cheque No.51675591"/>
    <x v="5"/>
    <x v="9"/>
    <x v="7"/>
    <x v="1"/>
    <x v="5"/>
    <m/>
    <m/>
    <m/>
    <m/>
    <m/>
    <m/>
    <n v="-16000"/>
    <n v="16000"/>
    <m/>
    <n v="0"/>
    <n v="0"/>
    <m/>
  </r>
  <r>
    <x v="33"/>
    <n v="2022"/>
    <n v="3"/>
    <s v="David Locas Laluka Payment Without invoice"/>
    <x v="4"/>
    <x v="4"/>
    <x v="7"/>
    <x v="14"/>
    <x v="0"/>
    <m/>
    <m/>
    <m/>
    <n v="-9560"/>
    <m/>
    <m/>
    <m/>
    <m/>
    <m/>
    <n v="-9560"/>
    <n v="9560"/>
    <m/>
  </r>
  <r>
    <x v="34"/>
    <n v="2022"/>
    <n v="3"/>
    <s v="Doorman Monthly salary (Mar/22)"/>
    <x v="2"/>
    <x v="8"/>
    <x v="1"/>
    <x v="1"/>
    <x v="1"/>
    <m/>
    <m/>
    <m/>
    <m/>
    <m/>
    <m/>
    <n v="350"/>
    <m/>
    <m/>
    <n v="350"/>
    <n v="350"/>
    <m/>
  </r>
  <r>
    <x v="34"/>
    <n v="2022"/>
    <n v="3"/>
    <s v="SonarCloud"/>
    <x v="2"/>
    <x v="10"/>
    <x v="8"/>
    <x v="1"/>
    <x v="0"/>
    <m/>
    <n v="181.08"/>
    <m/>
    <m/>
    <m/>
    <m/>
    <m/>
    <m/>
    <m/>
    <n v="181.08"/>
    <n v="181.08"/>
    <m/>
  </r>
  <r>
    <x v="34"/>
    <n v="2022"/>
    <n v="3"/>
    <s v="Aura Domain"/>
    <x v="0"/>
    <x v="18"/>
    <x v="15"/>
    <x v="1"/>
    <x v="3"/>
    <m/>
    <n v="291.31489999999997"/>
    <m/>
    <m/>
    <m/>
    <m/>
    <m/>
    <m/>
    <m/>
    <n v="291.31489999999997"/>
    <n v="291.31489999999997"/>
    <m/>
  </r>
  <r>
    <x v="34"/>
    <n v="2022"/>
    <n v="3"/>
    <s v="Presence Payment-inv(100928)"/>
    <x v="4"/>
    <x v="6"/>
    <x v="17"/>
    <x v="15"/>
    <x v="3"/>
    <m/>
    <m/>
    <m/>
    <m/>
    <m/>
    <m/>
    <m/>
    <n v="-4800"/>
    <m/>
    <n v="-4800"/>
    <n v="4800"/>
    <m/>
  </r>
  <r>
    <x v="34"/>
    <n v="2022"/>
    <n v="3"/>
    <s v="Presence Payment-VAT"/>
    <x v="4"/>
    <x v="6"/>
    <x v="6"/>
    <x v="15"/>
    <x v="3"/>
    <m/>
    <m/>
    <m/>
    <m/>
    <m/>
    <m/>
    <m/>
    <n v="-672.00000000000011"/>
    <m/>
    <n v="-672.00000000000011"/>
    <n v="672.00000000000011"/>
    <m/>
  </r>
  <r>
    <x v="34"/>
    <n v="2022"/>
    <n v="3"/>
    <s v="Fadi Pays Cash"/>
    <x v="5"/>
    <x v="9"/>
    <x v="7"/>
    <x v="1"/>
    <x v="5"/>
    <m/>
    <m/>
    <m/>
    <n v="15000"/>
    <m/>
    <m/>
    <n v="-15000"/>
    <m/>
    <m/>
    <n v="0"/>
    <n v="0"/>
    <m/>
  </r>
  <r>
    <x v="34"/>
    <n v="2022"/>
    <n v="3"/>
    <s v="Signatures"/>
    <x v="2"/>
    <x v="2"/>
    <x v="2"/>
    <x v="1"/>
    <x v="1"/>
    <m/>
    <m/>
    <m/>
    <m/>
    <m/>
    <m/>
    <m/>
    <n v="50"/>
    <m/>
    <n v="50"/>
    <n v="50"/>
    <m/>
  </r>
  <r>
    <x v="34"/>
    <n v="2022"/>
    <n v="3"/>
    <s v="Spoon payment(inv100942)"/>
    <x v="4"/>
    <x v="6"/>
    <x v="17"/>
    <x v="16"/>
    <x v="3"/>
    <m/>
    <m/>
    <m/>
    <m/>
    <m/>
    <m/>
    <m/>
    <n v="-14500"/>
    <m/>
    <n v="-14500"/>
    <n v="14500"/>
    <m/>
  </r>
  <r>
    <x v="34"/>
    <n v="2022"/>
    <n v="3"/>
    <s v="Spoon payment-VAT"/>
    <x v="4"/>
    <x v="6"/>
    <x v="6"/>
    <x v="16"/>
    <x v="3"/>
    <m/>
    <m/>
    <m/>
    <m/>
    <m/>
    <m/>
    <m/>
    <n v="-2100"/>
    <m/>
    <n v="-2100"/>
    <n v="2100"/>
    <m/>
  </r>
  <r>
    <x v="34"/>
    <n v="2022"/>
    <n v="3"/>
    <s v="Electricity"/>
    <x v="2"/>
    <x v="13"/>
    <x v="11"/>
    <x v="1"/>
    <x v="1"/>
    <m/>
    <m/>
    <m/>
    <m/>
    <m/>
    <m/>
    <m/>
    <n v="962.33"/>
    <m/>
    <n v="962.33"/>
    <n v="962.33"/>
    <m/>
  </r>
  <r>
    <x v="34"/>
    <n v="2022"/>
    <n v="3"/>
    <s v="Thaki Hosting (Cloudflare)"/>
    <x v="0"/>
    <x v="0"/>
    <x v="0"/>
    <x v="10"/>
    <x v="4"/>
    <m/>
    <m/>
    <m/>
    <m/>
    <m/>
    <m/>
    <m/>
    <n v="81.260000000000005"/>
    <m/>
    <n v="81.260000000000005"/>
    <n v="81.260000000000005"/>
    <m/>
  </r>
  <r>
    <x v="34"/>
    <n v="2022"/>
    <n v="3"/>
    <s v="Bank Pays Cash"/>
    <x v="5"/>
    <x v="9"/>
    <x v="7"/>
    <x v="1"/>
    <x v="5"/>
    <m/>
    <m/>
    <m/>
    <m/>
    <m/>
    <m/>
    <n v="-8000"/>
    <n v="8000"/>
    <m/>
    <n v="0"/>
    <n v="0"/>
    <m/>
  </r>
  <r>
    <x v="35"/>
    <n v="2022"/>
    <n v="3"/>
    <s v="AS JOG Payment - (inv100941)"/>
    <x v="4"/>
    <x v="6"/>
    <x v="29"/>
    <x v="17"/>
    <x v="3"/>
    <m/>
    <m/>
    <m/>
    <m/>
    <m/>
    <m/>
    <n v="-5500"/>
    <m/>
    <m/>
    <n v="-5500"/>
    <n v="5500"/>
    <m/>
  </r>
  <r>
    <x v="35"/>
    <n v="2022"/>
    <n v="3"/>
    <s v="AS JOG Payment - VAT"/>
    <x v="4"/>
    <x v="6"/>
    <x v="6"/>
    <x v="17"/>
    <x v="3"/>
    <m/>
    <m/>
    <m/>
    <m/>
    <m/>
    <m/>
    <n v="-770.00000000000011"/>
    <m/>
    <m/>
    <n v="-770.00000000000011"/>
    <n v="770.00000000000011"/>
    <m/>
  </r>
  <r>
    <x v="36"/>
    <n v="2022"/>
    <n v="3"/>
    <s v="Check Collectoin Fees - Alfa Electronics Payment"/>
    <x v="2"/>
    <x v="2"/>
    <x v="4"/>
    <x v="2"/>
    <x v="1"/>
    <m/>
    <m/>
    <m/>
    <m/>
    <m/>
    <m/>
    <m/>
    <n v="15"/>
    <m/>
    <n v="15"/>
    <n v="15"/>
    <m/>
  </r>
  <r>
    <x v="36"/>
    <n v="2022"/>
    <n v="3"/>
    <s v="Alfa Electronics payment(inv100938)"/>
    <x v="4"/>
    <x v="4"/>
    <x v="5"/>
    <x v="2"/>
    <x v="0"/>
    <m/>
    <m/>
    <m/>
    <m/>
    <m/>
    <m/>
    <m/>
    <n v="-39000"/>
    <m/>
    <n v="-39000"/>
    <n v="39000"/>
    <m/>
  </r>
  <r>
    <x v="36"/>
    <n v="2022"/>
    <n v="3"/>
    <s v="Alfa Electronics payment-VAT"/>
    <x v="4"/>
    <x v="4"/>
    <x v="6"/>
    <x v="2"/>
    <x v="0"/>
    <m/>
    <m/>
    <m/>
    <m/>
    <m/>
    <m/>
    <m/>
    <n v="-5460.0000000000009"/>
    <m/>
    <n v="-5460.0000000000009"/>
    <n v="5460.0000000000009"/>
    <m/>
  </r>
  <r>
    <x v="36"/>
    <n v="2022"/>
    <n v="3"/>
    <s v="Alfa Electronics payment-Tax Deduction"/>
    <x v="3"/>
    <x v="5"/>
    <x v="5"/>
    <x v="2"/>
    <x v="0"/>
    <m/>
    <m/>
    <m/>
    <m/>
    <m/>
    <m/>
    <m/>
    <n v="1170"/>
    <m/>
    <n v="1170"/>
    <n v="1170"/>
    <m/>
  </r>
  <r>
    <x v="36"/>
    <n v="2022"/>
    <n v="3"/>
    <s v="Alfa Electronics payment(inv100938)"/>
    <x v="4"/>
    <x v="6"/>
    <x v="5"/>
    <x v="2"/>
    <x v="3"/>
    <m/>
    <m/>
    <m/>
    <m/>
    <m/>
    <m/>
    <m/>
    <n v="-6300"/>
    <m/>
    <n v="-6300"/>
    <n v="6300"/>
    <m/>
  </r>
  <r>
    <x v="36"/>
    <n v="2022"/>
    <n v="3"/>
    <s v="Alfa Electronics payment-VAT"/>
    <x v="4"/>
    <x v="6"/>
    <x v="6"/>
    <x v="2"/>
    <x v="3"/>
    <m/>
    <m/>
    <m/>
    <m/>
    <m/>
    <m/>
    <m/>
    <n v="-882.00000000000011"/>
    <m/>
    <n v="-882.00000000000011"/>
    <n v="882.00000000000011"/>
    <m/>
  </r>
  <r>
    <x v="36"/>
    <n v="2022"/>
    <n v="3"/>
    <s v="Alfa Electronics payment-Tax Deduction"/>
    <x v="3"/>
    <x v="5"/>
    <x v="5"/>
    <x v="2"/>
    <x v="3"/>
    <m/>
    <m/>
    <m/>
    <m/>
    <m/>
    <m/>
    <m/>
    <n v="189"/>
    <m/>
    <n v="189"/>
    <n v="189"/>
    <m/>
  </r>
  <r>
    <x v="36"/>
    <n v="2022"/>
    <n v="3"/>
    <s v="Bank Pays Margins"/>
    <x v="5"/>
    <x v="9"/>
    <x v="7"/>
    <x v="1"/>
    <x v="5"/>
    <m/>
    <m/>
    <m/>
    <m/>
    <m/>
    <m/>
    <m/>
    <n v="1000"/>
    <n v="-1000"/>
    <n v="0"/>
    <n v="0"/>
    <m/>
  </r>
  <r>
    <x v="36"/>
    <n v="2022"/>
    <n v="3"/>
    <s v="Rent (Mar/22)"/>
    <x v="2"/>
    <x v="12"/>
    <x v="1"/>
    <x v="1"/>
    <x v="1"/>
    <m/>
    <m/>
    <m/>
    <m/>
    <m/>
    <m/>
    <m/>
    <n v="14641"/>
    <m/>
    <n v="14641"/>
    <n v="14641"/>
    <m/>
  </r>
  <r>
    <x v="37"/>
    <n v="2022"/>
    <n v="3"/>
    <s v="Software Feb/22 Payroll"/>
    <x v="7"/>
    <x v="21"/>
    <x v="20"/>
    <x v="1"/>
    <x v="0"/>
    <m/>
    <n v="9000"/>
    <m/>
    <m/>
    <m/>
    <m/>
    <n v="25800"/>
    <n v="44700"/>
    <m/>
    <n v="79500"/>
    <n v="79500"/>
    <m/>
  </r>
  <r>
    <x v="37"/>
    <n v="2022"/>
    <n v="3"/>
    <s v="Mobile Feb/22 Payroll"/>
    <x v="7"/>
    <x v="21"/>
    <x v="21"/>
    <x v="1"/>
    <x v="4"/>
    <m/>
    <m/>
    <m/>
    <n v="14000"/>
    <m/>
    <m/>
    <n v="8000"/>
    <m/>
    <m/>
    <n v="22000"/>
    <n v="22000"/>
    <m/>
  </r>
  <r>
    <x v="37"/>
    <n v="2022"/>
    <n v="3"/>
    <s v="General Feb/22 Payroll"/>
    <x v="7"/>
    <x v="21"/>
    <x v="22"/>
    <x v="1"/>
    <x v="1"/>
    <m/>
    <n v="18000"/>
    <m/>
    <n v="14000"/>
    <m/>
    <m/>
    <n v="2000"/>
    <n v="16600"/>
    <m/>
    <n v="50600"/>
    <n v="50600"/>
    <m/>
  </r>
  <r>
    <x v="37"/>
    <n v="2022"/>
    <n v="3"/>
    <s v="Websites Feb/22 Payroll"/>
    <x v="7"/>
    <x v="21"/>
    <x v="23"/>
    <x v="1"/>
    <x v="3"/>
    <m/>
    <n v="9000"/>
    <m/>
    <m/>
    <m/>
    <m/>
    <n v="13400"/>
    <n v="7450"/>
    <m/>
    <n v="29850"/>
    <n v="29850"/>
    <m/>
  </r>
  <r>
    <x v="37"/>
    <n v="2022"/>
    <n v="3"/>
    <s v="Jan/22 Systems VAT"/>
    <x v="3"/>
    <x v="3"/>
    <x v="3"/>
    <x v="1"/>
    <x v="0"/>
    <m/>
    <m/>
    <m/>
    <m/>
    <m/>
    <m/>
    <m/>
    <n v="7613.2"/>
    <m/>
    <n v="7613.2"/>
    <n v="7613.2"/>
    <m/>
  </r>
  <r>
    <x v="37"/>
    <n v="2022"/>
    <n v="3"/>
    <s v="Jan/22 Website VAT"/>
    <x v="3"/>
    <x v="3"/>
    <x v="3"/>
    <x v="1"/>
    <x v="3"/>
    <m/>
    <m/>
    <m/>
    <m/>
    <m/>
    <m/>
    <m/>
    <n v="5712.42"/>
    <m/>
    <n v="5712.42"/>
    <n v="5712.42"/>
    <m/>
  </r>
  <r>
    <x v="37"/>
    <n v="2022"/>
    <n v="3"/>
    <s v="Jan/22 Mobile VAT"/>
    <x v="3"/>
    <x v="3"/>
    <x v="3"/>
    <x v="1"/>
    <x v="4"/>
    <m/>
    <m/>
    <m/>
    <m/>
    <m/>
    <m/>
    <m/>
    <n v="12880"/>
    <m/>
    <n v="12880"/>
    <n v="12880"/>
    <m/>
  </r>
  <r>
    <x v="37"/>
    <n v="2022"/>
    <n v="3"/>
    <s v="Bank VAT Transfer Charge"/>
    <x v="2"/>
    <x v="2"/>
    <x v="24"/>
    <x v="1"/>
    <x v="1"/>
    <m/>
    <m/>
    <m/>
    <m/>
    <m/>
    <m/>
    <m/>
    <n v="280.79999999999927"/>
    <m/>
    <n v="280.79999999999927"/>
    <n v="280.79999999999927"/>
    <m/>
  </r>
  <r>
    <x v="37"/>
    <n v="2022"/>
    <n v="3"/>
    <s v="Paypal+Freepik Ads"/>
    <x v="2"/>
    <x v="10"/>
    <x v="8"/>
    <x v="1"/>
    <x v="2"/>
    <m/>
    <m/>
    <m/>
    <m/>
    <m/>
    <m/>
    <m/>
    <n v="184.1"/>
    <m/>
    <n v="184.1"/>
    <n v="184.1"/>
    <m/>
  </r>
  <r>
    <x v="38"/>
    <n v="2022"/>
    <n v="3"/>
    <s v="Debit Card markup - Paypal+Freepik Ads"/>
    <x v="2"/>
    <x v="2"/>
    <x v="16"/>
    <x v="1"/>
    <x v="1"/>
    <m/>
    <m/>
    <m/>
    <m/>
    <m/>
    <m/>
    <m/>
    <n v="5.5229999999999997"/>
    <m/>
    <n v="5.5229999999999997"/>
    <n v="5.5229999999999997"/>
    <m/>
  </r>
  <r>
    <x v="38"/>
    <n v="2022"/>
    <n v="3"/>
    <s v="Coptic Church Payment(inv100940)"/>
    <x v="4"/>
    <x v="7"/>
    <x v="29"/>
    <x v="18"/>
    <x v="4"/>
    <m/>
    <m/>
    <m/>
    <m/>
    <m/>
    <m/>
    <n v="-21875"/>
    <m/>
    <m/>
    <n v="-21875"/>
    <n v="21875"/>
    <m/>
  </r>
  <r>
    <x v="38"/>
    <n v="2022"/>
    <n v="3"/>
    <s v="Coptic Church-VAT"/>
    <x v="4"/>
    <x v="7"/>
    <x v="29"/>
    <x v="18"/>
    <x v="4"/>
    <m/>
    <m/>
    <m/>
    <m/>
    <m/>
    <m/>
    <n v="-3062.5000000000005"/>
    <m/>
    <m/>
    <n v="-3062.5000000000005"/>
    <n v="3062.5000000000005"/>
    <m/>
  </r>
  <r>
    <x v="38"/>
    <n v="2022"/>
    <n v="3"/>
    <s v="Coptic Church Payment(inv100940)"/>
    <x v="4"/>
    <x v="26"/>
    <x v="29"/>
    <x v="18"/>
    <x v="3"/>
    <m/>
    <m/>
    <m/>
    <m/>
    <m/>
    <m/>
    <n v="-7014.35"/>
    <m/>
    <m/>
    <n v="-7014.35"/>
    <n v="7014.35"/>
    <m/>
  </r>
  <r>
    <x v="38"/>
    <n v="2022"/>
    <n v="3"/>
    <s v="Coptic Church-VAT"/>
    <x v="4"/>
    <x v="24"/>
    <x v="29"/>
    <x v="18"/>
    <x v="3"/>
    <m/>
    <m/>
    <m/>
    <m/>
    <m/>
    <m/>
    <n v="-982.00900000000013"/>
    <m/>
    <m/>
    <n v="-982.00900000000013"/>
    <n v="982.00900000000013"/>
    <m/>
  </r>
  <r>
    <x v="38"/>
    <n v="2022"/>
    <n v="3"/>
    <s v="Over Money on papal office Payment"/>
    <x v="8"/>
    <x v="23"/>
    <x v="30"/>
    <x v="18"/>
    <x v="1"/>
    <m/>
    <m/>
    <m/>
    <m/>
    <m/>
    <m/>
    <n v="-1.1399999999999999"/>
    <m/>
    <m/>
    <n v="-1.1399999999999999"/>
    <n v="1.1399999999999999"/>
    <m/>
  </r>
  <r>
    <x v="38"/>
    <n v="2022"/>
    <n v="3"/>
    <s v="Cash Pays Bank,Samer,Margins"/>
    <x v="5"/>
    <x v="9"/>
    <x v="10"/>
    <x v="1"/>
    <x v="5"/>
    <m/>
    <n v="-17000"/>
    <m/>
    <m/>
    <m/>
    <m/>
    <n v="32935"/>
    <n v="-15000"/>
    <n v="-935"/>
    <n v="0"/>
    <n v="0"/>
    <m/>
  </r>
  <r>
    <x v="39"/>
    <n v="2022"/>
    <n v="3"/>
    <s v="We Internet Recharge "/>
    <x v="2"/>
    <x v="22"/>
    <x v="27"/>
    <x v="1"/>
    <x v="1"/>
    <m/>
    <m/>
    <m/>
    <m/>
    <m/>
    <m/>
    <m/>
    <n v="149.21"/>
    <m/>
    <n v="149.21"/>
    <n v="149.21"/>
    <m/>
  </r>
  <r>
    <x v="40"/>
    <n v="2022"/>
    <n v="3"/>
    <s v="LinkedIn Premium - Mar/22"/>
    <x v="0"/>
    <x v="15"/>
    <x v="12"/>
    <x v="1"/>
    <x v="2"/>
    <m/>
    <n v="246.17000000000002"/>
    <m/>
    <m/>
    <m/>
    <m/>
    <m/>
    <m/>
    <m/>
    <n v="246.17000000000002"/>
    <n v="246.17000000000002"/>
    <m/>
  </r>
  <r>
    <x v="40"/>
    <n v="2022"/>
    <n v="3"/>
    <s v="Nodust"/>
    <x v="2"/>
    <x v="16"/>
    <x v="13"/>
    <x v="1"/>
    <x v="1"/>
    <m/>
    <m/>
    <m/>
    <m/>
    <m/>
    <m/>
    <m/>
    <m/>
    <n v="60"/>
    <n v="60"/>
    <n v="60"/>
    <m/>
  </r>
  <r>
    <x v="41"/>
    <n v="2022"/>
    <n v="3"/>
    <s v="Check Collection Fees Bashaier Payment"/>
    <x v="2"/>
    <x v="2"/>
    <x v="4"/>
    <x v="9"/>
    <x v="1"/>
    <m/>
    <m/>
    <m/>
    <m/>
    <m/>
    <m/>
    <m/>
    <n v="15"/>
    <m/>
    <n v="15"/>
    <n v="15"/>
    <m/>
  </r>
  <r>
    <x v="41"/>
    <n v="2022"/>
    <n v="3"/>
    <s v="Bashaier Second Payment10%-inv100939"/>
    <x v="4"/>
    <x v="7"/>
    <x v="5"/>
    <x v="9"/>
    <x v="4"/>
    <m/>
    <m/>
    <m/>
    <m/>
    <m/>
    <m/>
    <m/>
    <n v="-46000"/>
    <m/>
    <n v="-46000"/>
    <n v="46000"/>
    <m/>
  </r>
  <r>
    <x v="41"/>
    <n v="2022"/>
    <n v="3"/>
    <s v="Bashaier  Second Payment10%-VAT"/>
    <x v="4"/>
    <x v="7"/>
    <x v="6"/>
    <x v="9"/>
    <x v="4"/>
    <m/>
    <m/>
    <m/>
    <m/>
    <m/>
    <m/>
    <m/>
    <n v="-6440.0000000000009"/>
    <m/>
    <n v="-6440.0000000000009"/>
    <n v="6440.0000000000009"/>
    <m/>
  </r>
  <r>
    <x v="41"/>
    <n v="2022"/>
    <n v="3"/>
    <s v="Bashaier  Second Payment10%-Tax Deduction"/>
    <x v="3"/>
    <x v="5"/>
    <x v="5"/>
    <x v="9"/>
    <x v="4"/>
    <m/>
    <m/>
    <m/>
    <m/>
    <m/>
    <m/>
    <m/>
    <n v="1380"/>
    <m/>
    <n v="1380"/>
    <n v="1380"/>
    <m/>
  </r>
  <r>
    <x v="41"/>
    <n v="2022"/>
    <n v="3"/>
    <s v="rapidgator.net markup"/>
    <x v="2"/>
    <x v="2"/>
    <x v="16"/>
    <x v="1"/>
    <x v="1"/>
    <m/>
    <m/>
    <m/>
    <m/>
    <m/>
    <m/>
    <m/>
    <n v="19.36"/>
    <m/>
    <n v="19.36"/>
    <n v="19.36"/>
    <m/>
  </r>
  <r>
    <x v="41"/>
    <n v="2022"/>
    <n v="3"/>
    <s v="Atlassian-Jira(Mar/22)"/>
    <x v="2"/>
    <x v="10"/>
    <x v="8"/>
    <x v="1"/>
    <x v="0"/>
    <m/>
    <m/>
    <m/>
    <m/>
    <m/>
    <m/>
    <m/>
    <n v="3447.04"/>
    <m/>
    <n v="3447.04"/>
    <n v="3447.04"/>
    <m/>
  </r>
  <r>
    <x v="41"/>
    <n v="2022"/>
    <n v="3"/>
    <s v="rapidgator.net ???"/>
    <x v="6"/>
    <x v="17"/>
    <x v="14"/>
    <x v="19"/>
    <x v="6"/>
    <m/>
    <m/>
    <m/>
    <m/>
    <m/>
    <m/>
    <m/>
    <n v="649.91999999999996"/>
    <m/>
    <n v="649.91999999999996"/>
    <n v="649.91999999999996"/>
    <m/>
  </r>
  <r>
    <x v="42"/>
    <n v="2022"/>
    <n v="3"/>
    <s v="Elementor License"/>
    <x v="0"/>
    <x v="27"/>
    <x v="31"/>
    <x v="1"/>
    <x v="3"/>
    <m/>
    <m/>
    <m/>
    <m/>
    <m/>
    <m/>
    <m/>
    <n v="3234.14"/>
    <m/>
    <n v="3234.14"/>
    <n v="3234.14"/>
    <m/>
  </r>
  <r>
    <x v="42"/>
    <n v="2022"/>
    <n v="3"/>
    <s v="Paypal Ads - Jetimpexinc"/>
    <x v="2"/>
    <x v="10"/>
    <x v="8"/>
    <x v="1"/>
    <x v="2"/>
    <m/>
    <n v="1673.0187000000001"/>
    <m/>
    <m/>
    <m/>
    <m/>
    <m/>
    <m/>
    <m/>
    <n v="1673.0187000000001"/>
    <n v="1673.0187000000001"/>
    <m/>
  </r>
  <r>
    <x v="43"/>
    <n v="2022"/>
    <n v="3"/>
    <s v="Paypal Ads - Jetimpexinc"/>
    <x v="2"/>
    <x v="10"/>
    <x v="8"/>
    <x v="1"/>
    <x v="2"/>
    <m/>
    <n v="523.91980000000001"/>
    <m/>
    <m/>
    <m/>
    <m/>
    <m/>
    <m/>
    <m/>
    <n v="523.91980000000001"/>
    <n v="523.91980000000001"/>
    <m/>
  </r>
  <r>
    <x v="43"/>
    <n v="2022"/>
    <n v="3"/>
    <s v="CloudwaysLTD Mosta MT"/>
    <x v="0"/>
    <x v="0"/>
    <x v="0"/>
    <x v="5"/>
    <x v="3"/>
    <m/>
    <n v="4155.5968000000003"/>
    <m/>
    <m/>
    <m/>
    <m/>
    <m/>
    <m/>
    <m/>
    <n v="4155.5968000000003"/>
    <n v="4155.5968000000003"/>
    <m/>
  </r>
  <r>
    <x v="43"/>
    <n v="2022"/>
    <n v="3"/>
    <s v="CloudwaysLTD Mosta MT-Mar/22"/>
    <x v="0"/>
    <x v="0"/>
    <x v="0"/>
    <x v="7"/>
    <x v="3"/>
    <m/>
    <n v="714.2432"/>
    <m/>
    <m/>
    <m/>
    <m/>
    <m/>
    <m/>
    <m/>
    <n v="714.2432"/>
    <n v="714.2432"/>
    <m/>
  </r>
  <r>
    <x v="43"/>
    <n v="2022"/>
    <n v="3"/>
    <s v="Facebook Ads"/>
    <x v="0"/>
    <x v="15"/>
    <x v="32"/>
    <x v="1"/>
    <x v="2"/>
    <m/>
    <m/>
    <m/>
    <m/>
    <m/>
    <m/>
    <m/>
    <n v="2810"/>
    <m/>
    <n v="2810"/>
    <n v="2810"/>
    <s v="تم رد المبلغ"/>
  </r>
  <r>
    <x v="43"/>
    <n v="2022"/>
    <n v="3"/>
    <s v="Debit Card markup - Facebook Ads"/>
    <x v="2"/>
    <x v="2"/>
    <x v="16"/>
    <x v="1"/>
    <x v="1"/>
    <m/>
    <m/>
    <m/>
    <m/>
    <m/>
    <m/>
    <m/>
    <n v="84.3"/>
    <m/>
    <n v="84.3"/>
    <n v="84.3"/>
    <m/>
  </r>
  <r>
    <x v="43"/>
    <n v="2022"/>
    <n v="3"/>
    <s v="Bank Fees"/>
    <x v="2"/>
    <x v="2"/>
    <x v="2"/>
    <x v="1"/>
    <x v="1"/>
    <m/>
    <m/>
    <m/>
    <m/>
    <m/>
    <m/>
    <m/>
    <n v="80"/>
    <m/>
    <n v="80"/>
    <n v="80"/>
    <m/>
  </r>
  <r>
    <x v="44"/>
    <n v="2022"/>
    <n v="3"/>
    <s v="Atlassian-Jira(Mar/22)-Bitbucket"/>
    <x v="2"/>
    <x v="10"/>
    <x v="8"/>
    <x v="1"/>
    <x v="0"/>
    <m/>
    <n v="340.88984999999997"/>
    <m/>
    <m/>
    <m/>
    <m/>
    <m/>
    <m/>
    <m/>
    <n v="340.88984999999997"/>
    <n v="340.88984999999997"/>
    <m/>
  </r>
  <r>
    <x v="44"/>
    <n v="2022"/>
    <n v="3"/>
    <s v="Turni Benefit Hosting(Mar/22)-Hetzner"/>
    <x v="0"/>
    <x v="0"/>
    <x v="0"/>
    <x v="0"/>
    <x v="0"/>
    <m/>
    <n v="1734.9398699999999"/>
    <m/>
    <m/>
    <m/>
    <m/>
    <m/>
    <m/>
    <m/>
    <n v="1734.9398699999999"/>
    <n v="1734.9398699999999"/>
    <m/>
  </r>
  <r>
    <x v="45"/>
    <n v="2022"/>
    <n v="3"/>
    <s v="Cheque No.51675593"/>
    <x v="5"/>
    <x v="9"/>
    <x v="7"/>
    <x v="1"/>
    <x v="5"/>
    <m/>
    <m/>
    <m/>
    <m/>
    <m/>
    <m/>
    <n v="-25000"/>
    <n v="25000"/>
    <m/>
    <n v="0"/>
    <n v="0"/>
    <m/>
  </r>
  <r>
    <x v="46"/>
    <n v="2022"/>
    <n v="3"/>
    <s v="HawkHost 1 FERGUS CA"/>
    <x v="0"/>
    <x v="0"/>
    <x v="0"/>
    <x v="5"/>
    <x v="3"/>
    <m/>
    <n v="2045.6529239999998"/>
    <m/>
    <m/>
    <m/>
    <m/>
    <m/>
    <m/>
    <m/>
    <n v="2045.6529239999998"/>
    <n v="2045.6529239999998"/>
    <m/>
  </r>
  <r>
    <x v="47"/>
    <n v="2022"/>
    <n v="3"/>
    <s v="Aura Domain"/>
    <x v="0"/>
    <x v="18"/>
    <x v="15"/>
    <x v="1"/>
    <x v="3"/>
    <m/>
    <n v="363.5754"/>
    <m/>
    <m/>
    <m/>
    <m/>
    <m/>
    <m/>
    <m/>
    <n v="363.5754"/>
    <n v="363.5754"/>
    <m/>
  </r>
  <r>
    <x v="48"/>
    <n v="2022"/>
    <n v="3"/>
    <s v="Renulled.com Frankfurt AM DE"/>
    <x v="6"/>
    <x v="17"/>
    <x v="14"/>
    <x v="19"/>
    <x v="6"/>
    <m/>
    <n v="377.80980059999996"/>
    <m/>
    <m/>
    <m/>
    <m/>
    <m/>
    <m/>
    <m/>
    <n v="377.80980059999996"/>
    <n v="377.80980059999996"/>
    <m/>
  </r>
  <r>
    <x v="48"/>
    <n v="2022"/>
    <n v="3"/>
    <s v="Feb/22 Systems VAT"/>
    <x v="3"/>
    <x v="3"/>
    <x v="3"/>
    <x v="1"/>
    <x v="0"/>
    <m/>
    <n v="6510"/>
    <m/>
    <m/>
    <m/>
    <m/>
    <m/>
    <m/>
    <m/>
    <n v="6510"/>
    <n v="6510"/>
    <m/>
  </r>
  <r>
    <x v="48"/>
    <n v="2022"/>
    <n v="3"/>
    <s v="Feb/22 Website VAT"/>
    <x v="3"/>
    <x v="3"/>
    <x v="3"/>
    <x v="1"/>
    <x v="3"/>
    <m/>
    <n v="2242.08"/>
    <m/>
    <m/>
    <m/>
    <m/>
    <m/>
    <m/>
    <m/>
    <n v="2242.08"/>
    <n v="2242.08"/>
    <m/>
  </r>
  <r>
    <x v="48"/>
    <n v="2022"/>
    <n v="3"/>
    <s v="Feb/22 Mobile VAT"/>
    <x v="3"/>
    <x v="3"/>
    <x v="3"/>
    <x v="1"/>
    <x v="4"/>
    <m/>
    <n v="9502.5"/>
    <m/>
    <m/>
    <m/>
    <m/>
    <m/>
    <m/>
    <m/>
    <n v="9502.5"/>
    <n v="9502.5"/>
    <m/>
  </r>
  <r>
    <x v="48"/>
    <n v="2022"/>
    <n v="3"/>
    <s v="Bank VAT Transfer Charge"/>
    <x v="2"/>
    <x v="2"/>
    <x v="24"/>
    <x v="1"/>
    <x v="1"/>
    <m/>
    <n v="165.44000000000042"/>
    <m/>
    <m/>
    <m/>
    <m/>
    <m/>
    <m/>
    <m/>
    <n v="165.44000000000042"/>
    <n v="165.44000000000042"/>
    <m/>
  </r>
  <r>
    <x v="48"/>
    <n v="2022"/>
    <n v="3"/>
    <s v="We Internet Recharge "/>
    <x v="2"/>
    <x v="22"/>
    <x v="27"/>
    <x v="1"/>
    <x v="1"/>
    <m/>
    <m/>
    <m/>
    <m/>
    <m/>
    <m/>
    <m/>
    <m/>
    <n v="1204"/>
    <n v="1204"/>
    <n v="1204"/>
    <m/>
  </r>
  <r>
    <x v="49"/>
    <n v="2022"/>
    <n v="3"/>
    <s v="Thaki Hosting (Cloudflare)"/>
    <x v="0"/>
    <x v="0"/>
    <x v="0"/>
    <x v="10"/>
    <x v="4"/>
    <m/>
    <n v="94.600000000000009"/>
    <m/>
    <m/>
    <m/>
    <m/>
    <m/>
    <m/>
    <m/>
    <n v="94.600000000000009"/>
    <n v="94.600000000000009"/>
    <m/>
  </r>
  <r>
    <x v="50"/>
    <n v="2022"/>
    <n v="3"/>
    <s v="Cheque No.51675594"/>
    <x v="5"/>
    <x v="9"/>
    <x v="7"/>
    <x v="1"/>
    <x v="5"/>
    <m/>
    <m/>
    <m/>
    <m/>
    <m/>
    <m/>
    <n v="-4000"/>
    <n v="4000"/>
    <m/>
    <n v="0"/>
    <n v="0"/>
    <m/>
  </r>
  <r>
    <x v="50"/>
    <n v="2022"/>
    <n v="3"/>
    <s v="Charges Current Acc"/>
    <x v="2"/>
    <x v="2"/>
    <x v="2"/>
    <x v="1"/>
    <x v="1"/>
    <m/>
    <m/>
    <m/>
    <m/>
    <m/>
    <m/>
    <m/>
    <n v="100"/>
    <m/>
    <n v="100"/>
    <n v="100"/>
    <m/>
  </r>
  <r>
    <x v="50"/>
    <n v="2022"/>
    <n v="3"/>
    <s v="Various Consumables"/>
    <x v="2"/>
    <x v="16"/>
    <x v="18"/>
    <x v="1"/>
    <x v="1"/>
    <m/>
    <m/>
    <m/>
    <m/>
    <m/>
    <m/>
    <m/>
    <m/>
    <n v="2781"/>
    <n v="2781"/>
    <n v="2781"/>
    <m/>
  </r>
  <r>
    <x v="50"/>
    <n v="2022"/>
    <n v="3"/>
    <s v="Ibrahim Transportation"/>
    <x v="2"/>
    <x v="20"/>
    <x v="19"/>
    <x v="1"/>
    <x v="1"/>
    <m/>
    <m/>
    <m/>
    <m/>
    <m/>
    <m/>
    <m/>
    <m/>
    <n v="350"/>
    <n v="350"/>
    <n v="350"/>
    <m/>
  </r>
  <r>
    <x v="51"/>
    <n v="2022"/>
    <n v="4"/>
    <s v="Turni Contabo -Apr/22"/>
    <x v="0"/>
    <x v="0"/>
    <x v="0"/>
    <x v="0"/>
    <x v="0"/>
    <m/>
    <n v="1190.73"/>
    <m/>
    <m/>
    <m/>
    <m/>
    <m/>
    <m/>
    <m/>
    <n v="1190.73"/>
    <n v="1190.73"/>
    <m/>
  </r>
  <r>
    <x v="51"/>
    <n v="2022"/>
    <n v="4"/>
    <s v="Tenth installment-Laptop"/>
    <x v="1"/>
    <x v="1"/>
    <x v="1"/>
    <x v="1"/>
    <x v="1"/>
    <m/>
    <n v="2347"/>
    <m/>
    <m/>
    <m/>
    <m/>
    <m/>
    <m/>
    <m/>
    <n v="2347"/>
    <n v="2347"/>
    <m/>
  </r>
  <r>
    <x v="52"/>
    <n v="2022"/>
    <n v="4"/>
    <s v="Doorman Monthly salary (Apr/22)"/>
    <x v="2"/>
    <x v="8"/>
    <x v="1"/>
    <x v="1"/>
    <x v="1"/>
    <m/>
    <m/>
    <m/>
    <m/>
    <m/>
    <m/>
    <n v="350"/>
    <m/>
    <m/>
    <n v="350"/>
    <n v="350"/>
    <m/>
  </r>
  <r>
    <x v="52"/>
    <n v="2022"/>
    <n v="4"/>
    <s v="Sky line Adel Farouk Shafik (Without invoice)"/>
    <x v="4"/>
    <x v="17"/>
    <x v="14"/>
    <x v="1"/>
    <x v="6"/>
    <m/>
    <m/>
    <m/>
    <m/>
    <m/>
    <m/>
    <m/>
    <n v="-20000"/>
    <m/>
    <n v="-20000"/>
    <n v="20000"/>
    <m/>
  </r>
  <r>
    <x v="52"/>
    <n v="2022"/>
    <n v="4"/>
    <s v="Software Mar/22 Payroll"/>
    <x v="7"/>
    <x v="21"/>
    <x v="20"/>
    <x v="1"/>
    <x v="0"/>
    <m/>
    <n v="9000"/>
    <m/>
    <m/>
    <m/>
    <m/>
    <n v="34900"/>
    <n v="28200"/>
    <m/>
    <n v="72100"/>
    <n v="72100"/>
    <m/>
  </r>
  <r>
    <x v="52"/>
    <n v="2022"/>
    <n v="4"/>
    <s v="Mobile Mar/22 Payroll"/>
    <x v="7"/>
    <x v="21"/>
    <x v="21"/>
    <x v="1"/>
    <x v="4"/>
    <m/>
    <m/>
    <m/>
    <n v="14000"/>
    <m/>
    <m/>
    <n v="8000"/>
    <m/>
    <m/>
    <n v="22000"/>
    <n v="22000"/>
    <m/>
  </r>
  <r>
    <x v="52"/>
    <n v="2022"/>
    <n v="4"/>
    <s v="General Mar/22 Payroll"/>
    <x v="7"/>
    <x v="21"/>
    <x v="22"/>
    <x v="1"/>
    <x v="1"/>
    <m/>
    <n v="18000"/>
    <m/>
    <n v="14000"/>
    <m/>
    <m/>
    <m/>
    <n v="18600"/>
    <m/>
    <n v="50600"/>
    <n v="50600"/>
    <m/>
  </r>
  <r>
    <x v="52"/>
    <n v="2022"/>
    <n v="4"/>
    <s v="Websites Mar/22 Payroll"/>
    <x v="7"/>
    <x v="21"/>
    <x v="23"/>
    <x v="1"/>
    <x v="3"/>
    <m/>
    <n v="9000"/>
    <m/>
    <m/>
    <m/>
    <m/>
    <n v="7400"/>
    <n v="13450"/>
    <m/>
    <n v="29850"/>
    <n v="29850"/>
    <m/>
  </r>
  <r>
    <x v="53"/>
    <n v="2022"/>
    <n v="4"/>
    <s v="SonarCloud "/>
    <x v="2"/>
    <x v="10"/>
    <x v="8"/>
    <x v="1"/>
    <x v="0"/>
    <m/>
    <n v="208.96"/>
    <m/>
    <m/>
    <m/>
    <m/>
    <m/>
    <m/>
    <m/>
    <n v="208.96"/>
    <n v="208.96"/>
    <m/>
  </r>
  <r>
    <x v="54"/>
    <n v="2022"/>
    <n v="4"/>
    <s v="Rent (Apr/22)"/>
    <x v="2"/>
    <x v="12"/>
    <x v="1"/>
    <x v="1"/>
    <x v="1"/>
    <m/>
    <m/>
    <m/>
    <m/>
    <m/>
    <m/>
    <m/>
    <n v="14641"/>
    <m/>
    <n v="14641"/>
    <n v="14641"/>
    <m/>
  </r>
  <r>
    <x v="54"/>
    <n v="2022"/>
    <n v="4"/>
    <s v="Bank Pays Samer "/>
    <x v="5"/>
    <x v="9"/>
    <x v="10"/>
    <x v="1"/>
    <x v="5"/>
    <m/>
    <n v="-6500"/>
    <m/>
    <m/>
    <m/>
    <m/>
    <m/>
    <n v="6500"/>
    <m/>
    <n v="0"/>
    <n v="0"/>
    <m/>
  </r>
  <r>
    <x v="55"/>
    <n v="2022"/>
    <n v="4"/>
    <s v="Zoom Subscription(Mar/22)"/>
    <x v="2"/>
    <x v="10"/>
    <x v="8"/>
    <x v="1"/>
    <x v="1"/>
    <m/>
    <n v="567.86916800000006"/>
    <m/>
    <m/>
    <m/>
    <m/>
    <m/>
    <m/>
    <m/>
    <n v="567.86916800000006"/>
    <n v="567.86916800000006"/>
    <m/>
  </r>
  <r>
    <x v="55"/>
    <n v="2022"/>
    <n v="4"/>
    <s v="CloudwaysLTD Mosta MT"/>
    <x v="0"/>
    <x v="0"/>
    <x v="0"/>
    <x v="5"/>
    <x v="3"/>
    <m/>
    <n v="19434.14316"/>
    <m/>
    <m/>
    <m/>
    <m/>
    <m/>
    <m/>
    <m/>
    <n v="19434.14316"/>
    <n v="19434.14316"/>
    <m/>
  </r>
  <r>
    <x v="55"/>
    <n v="2022"/>
    <n v="4"/>
    <s v="CloudwaysLTD Mosta MT-Apr/22"/>
    <x v="0"/>
    <x v="0"/>
    <x v="0"/>
    <x v="7"/>
    <x v="3"/>
    <m/>
    <n v="833.43303999999989"/>
    <m/>
    <m/>
    <m/>
    <m/>
    <m/>
    <m/>
    <m/>
    <n v="833.43303999999989"/>
    <n v="833.43303999999989"/>
    <m/>
  </r>
  <r>
    <x v="56"/>
    <n v="2022"/>
    <n v="4"/>
    <s v="Nodust"/>
    <x v="2"/>
    <x v="16"/>
    <x v="13"/>
    <x v="1"/>
    <x v="1"/>
    <m/>
    <m/>
    <m/>
    <m/>
    <m/>
    <m/>
    <m/>
    <m/>
    <n v="60"/>
    <n v="60"/>
    <n v="60"/>
    <m/>
  </r>
  <r>
    <x v="57"/>
    <n v="2022"/>
    <n v="4"/>
    <s v="Alfa Electronics payment(inv100943)"/>
    <x v="4"/>
    <x v="4"/>
    <x v="5"/>
    <x v="2"/>
    <x v="0"/>
    <m/>
    <m/>
    <m/>
    <m/>
    <m/>
    <m/>
    <m/>
    <n v="-46000"/>
    <m/>
    <n v="-46000"/>
    <n v="46000"/>
    <m/>
  </r>
  <r>
    <x v="57"/>
    <n v="2022"/>
    <n v="4"/>
    <s v="Alfa Electronics payment-VAT"/>
    <x v="4"/>
    <x v="4"/>
    <x v="6"/>
    <x v="2"/>
    <x v="0"/>
    <m/>
    <m/>
    <m/>
    <m/>
    <m/>
    <m/>
    <m/>
    <n v="-6440.0000000000009"/>
    <m/>
    <n v="-6440.0000000000009"/>
    <n v="6440.0000000000009"/>
    <m/>
  </r>
  <r>
    <x v="57"/>
    <n v="2022"/>
    <n v="4"/>
    <s v="Alfa Electronics payment-Tax Deduction"/>
    <x v="3"/>
    <x v="5"/>
    <x v="5"/>
    <x v="2"/>
    <x v="0"/>
    <m/>
    <m/>
    <m/>
    <m/>
    <m/>
    <m/>
    <m/>
    <n v="1380"/>
    <m/>
    <n v="1380"/>
    <n v="1380"/>
    <m/>
  </r>
  <r>
    <x v="57"/>
    <n v="2022"/>
    <n v="4"/>
    <s v="Check Collectoin Fees - Alfa Electronics Payment"/>
    <x v="2"/>
    <x v="2"/>
    <x v="4"/>
    <x v="2"/>
    <x v="1"/>
    <m/>
    <m/>
    <m/>
    <m/>
    <m/>
    <m/>
    <m/>
    <n v="15"/>
    <m/>
    <n v="15"/>
    <n v="15"/>
    <m/>
  </r>
  <r>
    <x v="58"/>
    <n v="2022"/>
    <n v="4"/>
    <s v="Cheque No.51675595"/>
    <x v="5"/>
    <x v="9"/>
    <x v="7"/>
    <x v="1"/>
    <x v="5"/>
    <m/>
    <m/>
    <m/>
    <m/>
    <m/>
    <m/>
    <n v="-5000"/>
    <n v="5000"/>
    <m/>
    <n v="0"/>
    <n v="0"/>
    <m/>
  </r>
  <r>
    <x v="59"/>
    <n v="2022"/>
    <n v="4"/>
    <s v="Adobe Creative - Cloud Dublin lE -Apr/22"/>
    <x v="6"/>
    <x v="17"/>
    <x v="14"/>
    <x v="19"/>
    <x v="6"/>
    <m/>
    <n v="694.22"/>
    <m/>
    <m/>
    <m/>
    <m/>
    <m/>
    <m/>
    <m/>
    <n v="694.22"/>
    <n v="694.22"/>
    <m/>
  </r>
  <r>
    <x v="59"/>
    <n v="2022"/>
    <n v="4"/>
    <s v="LinkedIn Premium - Apr/22"/>
    <x v="0"/>
    <x v="15"/>
    <x v="12"/>
    <x v="1"/>
    <x v="2"/>
    <m/>
    <n v="246.17000000000002"/>
    <m/>
    <m/>
    <m/>
    <m/>
    <m/>
    <m/>
    <m/>
    <n v="246.17000000000002"/>
    <n v="246.17000000000002"/>
    <m/>
  </r>
  <r>
    <x v="60"/>
    <n v="2022"/>
    <n v="4"/>
    <s v="Atlassian-Jira(Apr/22)"/>
    <x v="2"/>
    <x v="10"/>
    <x v="8"/>
    <x v="1"/>
    <x v="0"/>
    <m/>
    <n v="4427.3079269999998"/>
    <m/>
    <m/>
    <m/>
    <m/>
    <m/>
    <m/>
    <m/>
    <n v="4427.3079269999998"/>
    <n v="4427.3079269999998"/>
    <m/>
  </r>
  <r>
    <x v="60"/>
    <n v="2022"/>
    <n v="4"/>
    <s v="Bank Fees"/>
    <x v="2"/>
    <x v="2"/>
    <x v="2"/>
    <x v="1"/>
    <x v="1"/>
    <m/>
    <m/>
    <m/>
    <m/>
    <m/>
    <m/>
    <m/>
    <n v="80"/>
    <m/>
    <n v="80"/>
    <n v="80"/>
    <m/>
  </r>
  <r>
    <x v="60"/>
    <n v="2022"/>
    <n v="4"/>
    <s v="Imkthis Payment (inv100955)"/>
    <x v="4"/>
    <x v="19"/>
    <x v="17"/>
    <x v="8"/>
    <x v="3"/>
    <m/>
    <m/>
    <m/>
    <m/>
    <m/>
    <m/>
    <m/>
    <n v="-6900"/>
    <m/>
    <n v="-6900"/>
    <n v="6900"/>
    <m/>
  </r>
  <r>
    <x v="60"/>
    <n v="2022"/>
    <n v="4"/>
    <s v="Imkthis Payment - VAT"/>
    <x v="4"/>
    <x v="19"/>
    <x v="6"/>
    <x v="8"/>
    <x v="3"/>
    <m/>
    <m/>
    <m/>
    <m/>
    <m/>
    <m/>
    <m/>
    <n v="-966.00000000000011"/>
    <m/>
    <n v="-966.00000000000011"/>
    <n v="966.00000000000011"/>
    <m/>
  </r>
  <r>
    <x v="60"/>
    <n v="2022"/>
    <n v="4"/>
    <s v="Cheque No.51675596"/>
    <x v="5"/>
    <x v="9"/>
    <x v="7"/>
    <x v="1"/>
    <x v="5"/>
    <m/>
    <m/>
    <m/>
    <m/>
    <m/>
    <m/>
    <n v="-20800"/>
    <n v="21000"/>
    <n v="-200"/>
    <n v="0"/>
    <n v="0"/>
    <m/>
  </r>
  <r>
    <x v="61"/>
    <n v="2022"/>
    <n v="4"/>
    <s v="Cheers payment Dec,Jan,Feb,Mar -inv(100925-100934-100951-100952)"/>
    <x v="4"/>
    <x v="19"/>
    <x v="5"/>
    <x v="20"/>
    <x v="3"/>
    <m/>
    <m/>
    <m/>
    <m/>
    <m/>
    <m/>
    <m/>
    <n v="-8000"/>
    <m/>
    <n v="-8000"/>
    <n v="8000"/>
    <m/>
  </r>
  <r>
    <x v="61"/>
    <n v="2022"/>
    <n v="4"/>
    <s v="Cheers payment -VAT"/>
    <x v="4"/>
    <x v="19"/>
    <x v="6"/>
    <x v="20"/>
    <x v="3"/>
    <m/>
    <m/>
    <m/>
    <m/>
    <m/>
    <m/>
    <m/>
    <n v="-1120"/>
    <m/>
    <n v="-1120"/>
    <n v="1120"/>
    <m/>
  </r>
  <r>
    <x v="61"/>
    <n v="2022"/>
    <n v="4"/>
    <s v="Cheers payment -Tax Deduction"/>
    <x v="3"/>
    <x v="5"/>
    <x v="5"/>
    <x v="20"/>
    <x v="3"/>
    <m/>
    <m/>
    <m/>
    <m/>
    <m/>
    <m/>
    <m/>
    <n v="240"/>
    <m/>
    <n v="240"/>
    <n v="240"/>
    <m/>
  </r>
  <r>
    <x v="61"/>
    <n v="2022"/>
    <n v="4"/>
    <s v="Check Collection Fees Cheers Payment"/>
    <x v="2"/>
    <x v="2"/>
    <x v="4"/>
    <x v="20"/>
    <x v="1"/>
    <m/>
    <m/>
    <m/>
    <m/>
    <m/>
    <m/>
    <m/>
    <n v="15"/>
    <m/>
    <n v="15"/>
    <n v="15"/>
    <m/>
  </r>
  <r>
    <x v="62"/>
    <n v="2022"/>
    <n v="4"/>
    <s v="Atlassian-Jira(Apr/22)-Bitbucket"/>
    <x v="2"/>
    <x v="10"/>
    <x v="8"/>
    <x v="1"/>
    <x v="0"/>
    <m/>
    <n v="400.1592"/>
    <m/>
    <m/>
    <m/>
    <m/>
    <m/>
    <m/>
    <m/>
    <n v="400.1592"/>
    <n v="400.1592"/>
    <m/>
  </r>
  <r>
    <x v="63"/>
    <n v="2022"/>
    <n v="4"/>
    <s v="HawkHost 1 FERGUS CA"/>
    <x v="0"/>
    <x v="0"/>
    <x v="0"/>
    <x v="5"/>
    <x v="3"/>
    <m/>
    <n v="2057.8799353199997"/>
    <m/>
    <m/>
    <m/>
    <m/>
    <m/>
    <m/>
    <m/>
    <n v="2057.8799353199997"/>
    <n v="2057.8799353199997"/>
    <m/>
  </r>
  <r>
    <x v="63"/>
    <n v="2022"/>
    <n v="4"/>
    <s v="Turni Benefit Hosting(Apr/22)-Hetzner"/>
    <x v="0"/>
    <x v="0"/>
    <x v="0"/>
    <x v="0"/>
    <x v="0"/>
    <m/>
    <n v="1714.1658"/>
    <m/>
    <m/>
    <m/>
    <m/>
    <m/>
    <m/>
    <m/>
    <n v="1714.1658"/>
    <n v="1714.1658"/>
    <m/>
  </r>
  <r>
    <x v="64"/>
    <n v="2022"/>
    <n v="4"/>
    <s v="We Internet Recharge "/>
    <x v="2"/>
    <x v="22"/>
    <x v="27"/>
    <x v="1"/>
    <x v="1"/>
    <m/>
    <n v="500"/>
    <m/>
    <m/>
    <m/>
    <m/>
    <m/>
    <m/>
    <m/>
    <n v="500"/>
    <n v="500"/>
    <m/>
  </r>
  <r>
    <x v="64"/>
    <n v="2022"/>
    <n v="4"/>
    <s v="Zoom Subscription(Apr/22)"/>
    <x v="2"/>
    <x v="10"/>
    <x v="8"/>
    <x v="1"/>
    <x v="1"/>
    <m/>
    <n v="574.35983800000008"/>
    <m/>
    <m/>
    <m/>
    <m/>
    <m/>
    <m/>
    <m/>
    <n v="574.35983800000008"/>
    <n v="574.35983800000008"/>
    <m/>
  </r>
  <r>
    <x v="64"/>
    <n v="2022"/>
    <n v="4"/>
    <s v="Renulled.com Frankfurt AM DE"/>
    <x v="6"/>
    <x v="17"/>
    <x v="14"/>
    <x v="19"/>
    <x v="6"/>
    <m/>
    <n v="382.95998421999997"/>
    <m/>
    <m/>
    <m/>
    <m/>
    <m/>
    <m/>
    <m/>
    <n v="382.95998421999997"/>
    <n v="382.95998421999997"/>
    <m/>
  </r>
  <r>
    <x v="65"/>
    <n v="2022"/>
    <n v="4"/>
    <s v="Coptic Church Payment(without invoice)"/>
    <x v="4"/>
    <x v="7"/>
    <x v="29"/>
    <x v="18"/>
    <x v="4"/>
    <m/>
    <m/>
    <m/>
    <m/>
    <m/>
    <m/>
    <n v="-19018"/>
    <m/>
    <m/>
    <n v="-19018"/>
    <n v="19018"/>
    <m/>
  </r>
  <r>
    <x v="65"/>
    <n v="2022"/>
    <n v="4"/>
    <s v="We Internet Recharge "/>
    <x v="2"/>
    <x v="22"/>
    <x v="27"/>
    <x v="1"/>
    <x v="1"/>
    <m/>
    <m/>
    <m/>
    <m/>
    <m/>
    <m/>
    <n v="1000"/>
    <m/>
    <m/>
    <n v="1000"/>
    <n v="1000"/>
    <m/>
  </r>
  <r>
    <x v="65"/>
    <n v="2022"/>
    <n v="4"/>
    <s v="Cash Pays Samer"/>
    <x v="5"/>
    <x v="9"/>
    <x v="7"/>
    <x v="1"/>
    <x v="5"/>
    <m/>
    <n v="-29000"/>
    <m/>
    <m/>
    <m/>
    <m/>
    <n v="29000"/>
    <m/>
    <m/>
    <n v="0"/>
    <n v="0"/>
    <m/>
  </r>
  <r>
    <x v="65"/>
    <n v="2022"/>
    <n v="4"/>
    <s v="Alfa Electronics payment(inv100957)"/>
    <x v="4"/>
    <x v="4"/>
    <x v="5"/>
    <x v="2"/>
    <x v="0"/>
    <m/>
    <m/>
    <m/>
    <m/>
    <m/>
    <m/>
    <n v="-46000"/>
    <m/>
    <m/>
    <n v="-46000"/>
    <n v="46000"/>
    <m/>
  </r>
  <r>
    <x v="65"/>
    <n v="2022"/>
    <n v="4"/>
    <s v="Alfa Electronics payment-VAT"/>
    <x v="4"/>
    <x v="4"/>
    <x v="6"/>
    <x v="2"/>
    <x v="0"/>
    <m/>
    <m/>
    <m/>
    <m/>
    <m/>
    <m/>
    <n v="-6440.0000000000009"/>
    <m/>
    <m/>
    <n v="-6440.0000000000009"/>
    <n v="6440.0000000000009"/>
    <m/>
  </r>
  <r>
    <x v="65"/>
    <n v="2022"/>
    <n v="4"/>
    <s v="Alfa Electronics payment-Tax Deduction"/>
    <x v="3"/>
    <x v="5"/>
    <x v="5"/>
    <x v="2"/>
    <x v="0"/>
    <m/>
    <m/>
    <m/>
    <m/>
    <m/>
    <m/>
    <n v="1380"/>
    <m/>
    <m/>
    <n v="1380"/>
    <n v="1380"/>
    <m/>
  </r>
  <r>
    <x v="65"/>
    <n v="2022"/>
    <n v="4"/>
    <s v="Turni Server Management (Feb22&amp;Mar22&amp;Apr22)"/>
    <x v="0"/>
    <x v="11"/>
    <x v="14"/>
    <x v="0"/>
    <x v="0"/>
    <m/>
    <n v="7500"/>
    <m/>
    <m/>
    <m/>
    <m/>
    <m/>
    <m/>
    <m/>
    <n v="7500"/>
    <n v="7500"/>
    <m/>
  </r>
  <r>
    <x v="65"/>
    <n v="2022"/>
    <n v="4"/>
    <s v="Alfa Electronics payment(inv100956)"/>
    <x v="4"/>
    <x v="24"/>
    <x v="5"/>
    <x v="0"/>
    <x v="3"/>
    <m/>
    <m/>
    <m/>
    <m/>
    <m/>
    <m/>
    <n v="-13535.82"/>
    <m/>
    <m/>
    <n v="-13535.82"/>
    <n v="13535.82"/>
    <m/>
  </r>
  <r>
    <x v="65"/>
    <n v="2022"/>
    <n v="4"/>
    <s v="Alfa Electronics payment-VAT"/>
    <x v="4"/>
    <x v="24"/>
    <x v="6"/>
    <x v="0"/>
    <x v="3"/>
    <m/>
    <m/>
    <m/>
    <m/>
    <m/>
    <m/>
    <n v="-1895.0148000000002"/>
    <m/>
    <m/>
    <n v="-1895.0148000000002"/>
    <n v="1895.0148000000002"/>
    <m/>
  </r>
  <r>
    <x v="65"/>
    <n v="2022"/>
    <n v="4"/>
    <s v="Alfa Electronics payment-Tax Deduction"/>
    <x v="3"/>
    <x v="5"/>
    <x v="5"/>
    <x v="0"/>
    <x v="3"/>
    <m/>
    <m/>
    <m/>
    <m/>
    <m/>
    <m/>
    <n v="406.07459999999998"/>
    <m/>
    <m/>
    <n v="406.07459999999998"/>
    <n v="406.07459999999998"/>
    <m/>
  </r>
  <r>
    <x v="66"/>
    <n v="2022"/>
    <n v="4"/>
    <s v="Fab Minds payment(inv100958)Phase 1 - 25%"/>
    <x v="4"/>
    <x v="7"/>
    <x v="5"/>
    <x v="3"/>
    <x v="4"/>
    <m/>
    <m/>
    <m/>
    <m/>
    <m/>
    <m/>
    <n v="-70000"/>
    <m/>
    <m/>
    <n v="-70000"/>
    <n v="70000"/>
    <m/>
  </r>
  <r>
    <x v="66"/>
    <n v="2022"/>
    <n v="4"/>
    <s v="Fab Minds payment-VAT"/>
    <x v="4"/>
    <x v="7"/>
    <x v="6"/>
    <x v="3"/>
    <x v="4"/>
    <m/>
    <m/>
    <m/>
    <m/>
    <m/>
    <m/>
    <n v="-9800.0000000000018"/>
    <m/>
    <m/>
    <n v="-9800.0000000000018"/>
    <n v="9800.0000000000018"/>
    <m/>
  </r>
  <r>
    <x v="66"/>
    <n v="2022"/>
    <n v="4"/>
    <s v="Fab Mids payment-Tax Deduction"/>
    <x v="3"/>
    <x v="5"/>
    <x v="5"/>
    <x v="3"/>
    <x v="4"/>
    <m/>
    <m/>
    <m/>
    <m/>
    <m/>
    <m/>
    <n v="2100"/>
    <m/>
    <m/>
    <n v="2100"/>
    <n v="2100"/>
    <m/>
  </r>
  <r>
    <x v="66"/>
    <n v="2022"/>
    <n v="4"/>
    <s v="Mar/22 Systems VAT"/>
    <x v="3"/>
    <x v="3"/>
    <x v="3"/>
    <x v="1"/>
    <x v="0"/>
    <m/>
    <m/>
    <m/>
    <n v="7210"/>
    <m/>
    <m/>
    <m/>
    <m/>
    <m/>
    <n v="7210"/>
    <n v="7210"/>
    <m/>
  </r>
  <r>
    <x v="66"/>
    <n v="2022"/>
    <n v="4"/>
    <s v="Mar/22 Website VAT"/>
    <x v="3"/>
    <x v="3"/>
    <x v="3"/>
    <x v="1"/>
    <x v="3"/>
    <m/>
    <m/>
    <m/>
    <n v="2100"/>
    <m/>
    <m/>
    <m/>
    <m/>
    <m/>
    <n v="2100"/>
    <n v="2100"/>
    <m/>
  </r>
  <r>
    <x v="66"/>
    <n v="2022"/>
    <n v="4"/>
    <s v="Mar/22 Mobile VAT"/>
    <x v="3"/>
    <x v="3"/>
    <x v="3"/>
    <x v="1"/>
    <x v="4"/>
    <m/>
    <m/>
    <m/>
    <n v="3920"/>
    <m/>
    <m/>
    <m/>
    <m/>
    <m/>
    <n v="3920"/>
    <n v="3920"/>
    <m/>
  </r>
  <r>
    <x v="66"/>
    <n v="2022"/>
    <n v="4"/>
    <s v="Bank VAT Transfer Charge"/>
    <x v="2"/>
    <x v="2"/>
    <x v="24"/>
    <x v="1"/>
    <x v="1"/>
    <m/>
    <m/>
    <m/>
    <s v="??"/>
    <m/>
    <m/>
    <m/>
    <m/>
    <m/>
    <n v="0"/>
    <n v="0"/>
    <m/>
  </r>
  <r>
    <x v="66"/>
    <n v="2022"/>
    <n v="4"/>
    <s v="Tax(Jan-Feb-Mar/21)- ضرائب كسب العمل الفترة الاولى"/>
    <x v="3"/>
    <x v="28"/>
    <x v="17"/>
    <x v="1"/>
    <x v="1"/>
    <m/>
    <m/>
    <m/>
    <m/>
    <m/>
    <m/>
    <m/>
    <n v="17132"/>
    <m/>
    <n v="17132"/>
    <n v="17132"/>
    <m/>
  </r>
  <r>
    <x v="66"/>
    <n v="2022"/>
    <n v="4"/>
    <s v="Bank Tax Transfer Charge"/>
    <x v="2"/>
    <x v="2"/>
    <x v="2"/>
    <x v="1"/>
    <x v="1"/>
    <m/>
    <m/>
    <m/>
    <m/>
    <m/>
    <m/>
    <m/>
    <n v="29.3"/>
    <m/>
    <n v="29.3"/>
    <n v="29.3"/>
    <m/>
  </r>
  <r>
    <x v="66"/>
    <n v="2022"/>
    <n v="4"/>
    <s v="Cash Pays Bank"/>
    <x v="5"/>
    <x v="9"/>
    <x v="10"/>
    <x v="1"/>
    <x v="5"/>
    <m/>
    <m/>
    <m/>
    <m/>
    <m/>
    <m/>
    <n v="50000"/>
    <n v="-50000"/>
    <m/>
    <n v="0"/>
    <n v="0"/>
    <m/>
  </r>
  <r>
    <x v="66"/>
    <n v="2022"/>
    <n v="4"/>
    <s v="Modern Touch  Final Payment 50% (inv100947)"/>
    <x v="4"/>
    <x v="6"/>
    <x v="5"/>
    <x v="21"/>
    <x v="3"/>
    <m/>
    <m/>
    <m/>
    <m/>
    <m/>
    <m/>
    <m/>
    <n v="-7886.25"/>
    <m/>
    <n v="-7886.25"/>
    <n v="7886.25"/>
    <m/>
  </r>
  <r>
    <x v="66"/>
    <n v="2022"/>
    <n v="4"/>
    <s v="Modern Touch Final Payment 50%-VAT"/>
    <x v="4"/>
    <x v="6"/>
    <x v="6"/>
    <x v="21"/>
    <x v="3"/>
    <m/>
    <m/>
    <m/>
    <m/>
    <m/>
    <m/>
    <m/>
    <n v="-1104.08"/>
    <m/>
    <n v="-1104.08"/>
    <n v="1104.08"/>
    <m/>
  </r>
  <r>
    <x v="66"/>
    <n v="2022"/>
    <n v="4"/>
    <s v="Modern Touch Payment -Tax Deduction"/>
    <x v="3"/>
    <x v="5"/>
    <x v="5"/>
    <x v="21"/>
    <x v="3"/>
    <m/>
    <m/>
    <m/>
    <m/>
    <m/>
    <m/>
    <m/>
    <n v="236.58"/>
    <m/>
    <n v="236.58"/>
    <n v="236.58"/>
    <m/>
  </r>
  <r>
    <x v="66"/>
    <n v="2022"/>
    <n v="4"/>
    <s v="check Collection Fees Modern Touch Payment"/>
    <x v="2"/>
    <x v="2"/>
    <x v="4"/>
    <x v="21"/>
    <x v="1"/>
    <m/>
    <m/>
    <m/>
    <m/>
    <m/>
    <m/>
    <m/>
    <n v="15"/>
    <m/>
    <n v="15"/>
    <n v="15"/>
    <m/>
  </r>
  <r>
    <x v="66"/>
    <n v="2022"/>
    <n v="4"/>
    <s v="Check Collection Fees Instabug Software Payment"/>
    <x v="2"/>
    <x v="2"/>
    <x v="4"/>
    <x v="12"/>
    <x v="1"/>
    <m/>
    <m/>
    <m/>
    <m/>
    <m/>
    <m/>
    <m/>
    <n v="15"/>
    <m/>
    <n v="15"/>
    <n v="15"/>
    <m/>
  </r>
  <r>
    <x v="66"/>
    <n v="2022"/>
    <n v="4"/>
    <s v="Instabug Software Final payment 50% - inv100946"/>
    <x v="4"/>
    <x v="6"/>
    <x v="5"/>
    <x v="12"/>
    <x v="3"/>
    <m/>
    <m/>
    <m/>
    <m/>
    <m/>
    <m/>
    <m/>
    <n v="-9000"/>
    <m/>
    <n v="-9000"/>
    <n v="9000"/>
    <m/>
  </r>
  <r>
    <x v="66"/>
    <n v="2022"/>
    <n v="4"/>
    <s v="Instabug Software  Final payment 50% - VAT"/>
    <x v="4"/>
    <x v="6"/>
    <x v="6"/>
    <x v="12"/>
    <x v="3"/>
    <m/>
    <m/>
    <m/>
    <m/>
    <m/>
    <m/>
    <m/>
    <n v="-1260.0000000000002"/>
    <m/>
    <n v="-1260.0000000000002"/>
    <n v="1260.0000000000002"/>
    <m/>
  </r>
  <r>
    <x v="66"/>
    <n v="2022"/>
    <n v="4"/>
    <s v="We Internet Recharge "/>
    <x v="2"/>
    <x v="22"/>
    <x v="27"/>
    <x v="1"/>
    <x v="1"/>
    <m/>
    <m/>
    <m/>
    <m/>
    <m/>
    <m/>
    <m/>
    <m/>
    <n v="1003"/>
    <n v="1003"/>
    <n v="1003"/>
    <m/>
  </r>
  <r>
    <x v="67"/>
    <n v="2022"/>
    <n v="4"/>
    <s v="Overdraft Commission"/>
    <x v="2"/>
    <x v="2"/>
    <x v="33"/>
    <x v="1"/>
    <x v="1"/>
    <m/>
    <m/>
    <m/>
    <m/>
    <m/>
    <m/>
    <m/>
    <n v="53.33"/>
    <m/>
    <n v="53.33"/>
    <n v="53.33"/>
    <m/>
  </r>
  <r>
    <x v="67"/>
    <n v="2022"/>
    <n v="4"/>
    <s v="Debit Interests"/>
    <x v="2"/>
    <x v="2"/>
    <x v="2"/>
    <x v="1"/>
    <x v="1"/>
    <m/>
    <m/>
    <m/>
    <m/>
    <m/>
    <m/>
    <m/>
    <n v="88.89"/>
    <m/>
    <n v="88.89"/>
    <n v="88.89"/>
    <m/>
  </r>
  <r>
    <x v="67"/>
    <n v="2022"/>
    <n v="4"/>
    <s v="Cash Pays Bank"/>
    <x v="5"/>
    <x v="9"/>
    <x v="10"/>
    <x v="1"/>
    <x v="5"/>
    <m/>
    <m/>
    <m/>
    <m/>
    <m/>
    <m/>
    <n v="43935"/>
    <n v="-43935"/>
    <m/>
    <n v="0"/>
    <n v="0"/>
    <m/>
  </r>
  <r>
    <x v="67"/>
    <n v="2022"/>
    <n v="4"/>
    <s v="Software Apr/22 Payroll"/>
    <x v="7"/>
    <x v="21"/>
    <x v="20"/>
    <x v="1"/>
    <x v="0"/>
    <m/>
    <n v="9000"/>
    <m/>
    <m/>
    <m/>
    <m/>
    <n v="24100"/>
    <n v="44100"/>
    <m/>
    <n v="77200"/>
    <n v="77200"/>
    <m/>
  </r>
  <r>
    <x v="67"/>
    <n v="2022"/>
    <n v="4"/>
    <s v="Mobile Apr/22 Payroll"/>
    <x v="7"/>
    <x v="21"/>
    <x v="21"/>
    <x v="1"/>
    <x v="4"/>
    <m/>
    <m/>
    <m/>
    <n v="14000"/>
    <m/>
    <m/>
    <n v="8000"/>
    <m/>
    <m/>
    <n v="22000"/>
    <n v="22000"/>
    <m/>
  </r>
  <r>
    <x v="67"/>
    <n v="2022"/>
    <n v="4"/>
    <s v="General Apr/22 Payroll"/>
    <x v="7"/>
    <x v="21"/>
    <x v="22"/>
    <x v="1"/>
    <x v="1"/>
    <m/>
    <n v="18000"/>
    <m/>
    <n v="14000"/>
    <m/>
    <m/>
    <m/>
    <n v="18600"/>
    <m/>
    <n v="50600"/>
    <n v="50600"/>
    <m/>
  </r>
  <r>
    <x v="67"/>
    <n v="2022"/>
    <n v="4"/>
    <s v="Websites Apr/22 Payroll"/>
    <x v="7"/>
    <x v="21"/>
    <x v="23"/>
    <x v="1"/>
    <x v="3"/>
    <m/>
    <n v="9000"/>
    <m/>
    <m/>
    <m/>
    <m/>
    <m/>
    <n v="13450"/>
    <m/>
    <n v="22450"/>
    <n v="22450"/>
    <m/>
  </r>
  <r>
    <x v="67"/>
    <n v="2022"/>
    <n v="4"/>
    <s v="Thaki Hosting (Cloudflare)"/>
    <x v="0"/>
    <x v="0"/>
    <x v="0"/>
    <x v="10"/>
    <x v="4"/>
    <m/>
    <n v="95.429999999999993"/>
    <m/>
    <m/>
    <m/>
    <m/>
    <m/>
    <m/>
    <m/>
    <n v="95.429999999999993"/>
    <n v="95.429999999999993"/>
    <m/>
  </r>
  <r>
    <x v="68"/>
    <n v="2022"/>
    <n v="4"/>
    <s v="Various Consumables"/>
    <x v="2"/>
    <x v="16"/>
    <x v="18"/>
    <x v="1"/>
    <x v="1"/>
    <m/>
    <m/>
    <m/>
    <m/>
    <m/>
    <m/>
    <m/>
    <m/>
    <n v="612"/>
    <n v="612"/>
    <n v="612"/>
    <m/>
  </r>
  <r>
    <x v="68"/>
    <n v="2022"/>
    <n v="4"/>
    <s v="Ibrahim Transportation"/>
    <x v="2"/>
    <x v="20"/>
    <x v="19"/>
    <x v="1"/>
    <x v="1"/>
    <m/>
    <m/>
    <m/>
    <m/>
    <m/>
    <m/>
    <m/>
    <m/>
    <n v="435"/>
    <n v="435"/>
    <n v="435"/>
    <m/>
  </r>
  <r>
    <x v="69"/>
    <n v="2022"/>
    <n v="5"/>
    <s v="Turni Contabo -May/22"/>
    <x v="0"/>
    <x v="0"/>
    <x v="0"/>
    <x v="0"/>
    <x v="0"/>
    <m/>
    <n v="1151.3999999999999"/>
    <m/>
    <m/>
    <m/>
    <m/>
    <m/>
    <m/>
    <m/>
    <n v="1151.3999999999999"/>
    <n v="1151.3999999999999"/>
    <m/>
  </r>
  <r>
    <x v="69"/>
    <n v="2022"/>
    <n v="5"/>
    <s v="Eleventh installment-Laptop"/>
    <x v="1"/>
    <x v="1"/>
    <x v="1"/>
    <x v="1"/>
    <x v="1"/>
    <m/>
    <n v="2347"/>
    <m/>
    <m/>
    <m/>
    <m/>
    <m/>
    <m/>
    <m/>
    <n v="2347"/>
    <n v="2347"/>
    <m/>
  </r>
  <r>
    <x v="70"/>
    <n v="2022"/>
    <n v="5"/>
    <s v="Doorman Monthly salary (May/22)"/>
    <x v="2"/>
    <x v="8"/>
    <x v="1"/>
    <x v="1"/>
    <x v="1"/>
    <m/>
    <m/>
    <m/>
    <m/>
    <m/>
    <m/>
    <m/>
    <m/>
    <n v="350"/>
    <n v="350"/>
    <n v="350"/>
    <m/>
  </r>
  <r>
    <x v="71"/>
    <n v="2022"/>
    <n v="5"/>
    <s v="We Internet Recharge "/>
    <x v="2"/>
    <x v="22"/>
    <x v="27"/>
    <x v="1"/>
    <x v="1"/>
    <m/>
    <n v="100"/>
    <m/>
    <m/>
    <m/>
    <m/>
    <m/>
    <m/>
    <m/>
    <n v="100"/>
    <n v="100"/>
    <m/>
  </r>
  <r>
    <x v="71"/>
    <n v="2022"/>
    <n v="5"/>
    <s v="Aura-demo Hosting(Mar/22)"/>
    <x v="0"/>
    <x v="0"/>
    <x v="15"/>
    <x v="1"/>
    <x v="3"/>
    <m/>
    <n v="338.16985840000001"/>
    <m/>
    <m/>
    <m/>
    <m/>
    <m/>
    <m/>
    <m/>
    <n v="338.16985840000001"/>
    <n v="338.16985840000001"/>
    <m/>
  </r>
  <r>
    <x v="71"/>
    <n v="2022"/>
    <n v="5"/>
    <s v="Aura-demo Hosting(Apr/22)"/>
    <x v="0"/>
    <x v="0"/>
    <x v="15"/>
    <x v="1"/>
    <x v="3"/>
    <m/>
    <n v="338.16985840000001"/>
    <m/>
    <m/>
    <m/>
    <m/>
    <m/>
    <m/>
    <m/>
    <n v="338.16985840000001"/>
    <n v="338.16985840000001"/>
    <m/>
  </r>
  <r>
    <x v="71"/>
    <n v="2022"/>
    <n v="5"/>
    <s v="SonarCloud "/>
    <x v="2"/>
    <x v="10"/>
    <x v="8"/>
    <x v="1"/>
    <x v="0"/>
    <m/>
    <n v="202"/>
    <m/>
    <m/>
    <m/>
    <m/>
    <m/>
    <m/>
    <m/>
    <n v="202"/>
    <n v="202"/>
    <m/>
  </r>
  <r>
    <x v="71"/>
    <n v="2022"/>
    <n v="5"/>
    <s v="CloudwaysLTD Mosta MT"/>
    <x v="0"/>
    <x v="0"/>
    <x v="0"/>
    <x v="5"/>
    <x v="3"/>
    <m/>
    <n v="20040.201300000001"/>
    <m/>
    <m/>
    <m/>
    <m/>
    <m/>
    <m/>
    <m/>
    <n v="20040.201300000001"/>
    <n v="20040.201300000001"/>
    <m/>
  </r>
  <r>
    <x v="71"/>
    <n v="2022"/>
    <n v="5"/>
    <s v="CloudwaysLTD Mosta MT-May/22"/>
    <x v="0"/>
    <x v="0"/>
    <x v="0"/>
    <x v="7"/>
    <x v="3"/>
    <m/>
    <n v="839.77986400000009"/>
    <m/>
    <m/>
    <m/>
    <m/>
    <m/>
    <m/>
    <m/>
    <n v="839.77986400000009"/>
    <n v="839.77986400000009"/>
    <m/>
  </r>
  <r>
    <x v="71"/>
    <n v="2022"/>
    <n v="5"/>
    <s v="Min Balance Fees"/>
    <x v="2"/>
    <x v="2"/>
    <x v="2"/>
    <x v="1"/>
    <x v="1"/>
    <m/>
    <m/>
    <m/>
    <m/>
    <m/>
    <m/>
    <m/>
    <n v="25"/>
    <m/>
    <n v="25"/>
    <n v="25"/>
    <m/>
  </r>
  <r>
    <x v="71"/>
    <n v="2022"/>
    <n v="5"/>
    <s v="Cheque No.51675597"/>
    <x v="5"/>
    <x v="9"/>
    <x v="7"/>
    <x v="1"/>
    <x v="5"/>
    <m/>
    <m/>
    <m/>
    <m/>
    <m/>
    <m/>
    <n v="-9000"/>
    <n v="10000"/>
    <n v="-1000"/>
    <n v="0"/>
    <n v="0"/>
    <m/>
  </r>
  <r>
    <x v="71"/>
    <n v="2022"/>
    <n v="5"/>
    <s v="Fan"/>
    <x v="1"/>
    <x v="29"/>
    <x v="1"/>
    <x v="1"/>
    <x v="1"/>
    <m/>
    <m/>
    <m/>
    <m/>
    <m/>
    <m/>
    <m/>
    <m/>
    <n v="385"/>
    <n v="385"/>
    <n v="385"/>
    <m/>
  </r>
  <r>
    <x v="72"/>
    <n v="2022"/>
    <n v="5"/>
    <s v="Fiscal Stamps Debit Cards"/>
    <x v="2"/>
    <x v="2"/>
    <x v="2"/>
    <x v="1"/>
    <x v="1"/>
    <m/>
    <m/>
    <m/>
    <m/>
    <m/>
    <m/>
    <m/>
    <n v="5.8"/>
    <m/>
    <n v="5.8"/>
    <n v="5.8"/>
    <m/>
  </r>
  <r>
    <x v="72"/>
    <n v="2022"/>
    <n v="5"/>
    <s v="Phone Mail"/>
    <x v="2"/>
    <x v="17"/>
    <x v="34"/>
    <x v="1"/>
    <x v="1"/>
    <m/>
    <n v="190.75965200000002"/>
    <m/>
    <m/>
    <m/>
    <m/>
    <m/>
    <m/>
    <m/>
    <n v="190.75965200000002"/>
    <n v="190.75965200000002"/>
    <m/>
  </r>
  <r>
    <x v="72"/>
    <n v="2022"/>
    <n v="5"/>
    <s v="Nodust"/>
    <x v="2"/>
    <x v="16"/>
    <x v="13"/>
    <x v="1"/>
    <x v="1"/>
    <m/>
    <m/>
    <m/>
    <m/>
    <m/>
    <m/>
    <m/>
    <m/>
    <n v="60"/>
    <n v="60"/>
    <n v="60"/>
    <m/>
  </r>
  <r>
    <x v="73"/>
    <n v="2022"/>
    <n v="5"/>
    <s v="HawkHost 1 FERGUS CA"/>
    <x v="0"/>
    <x v="0"/>
    <x v="0"/>
    <x v="5"/>
    <x v="3"/>
    <m/>
    <n v="913.82954040000016"/>
    <m/>
    <m/>
    <m/>
    <m/>
    <m/>
    <m/>
    <m/>
    <n v="913.82954040000016"/>
    <n v="913.82954040000016"/>
    <m/>
  </r>
  <r>
    <x v="73"/>
    <n v="2022"/>
    <n v="5"/>
    <s v="Aura Domain"/>
    <x v="0"/>
    <x v="18"/>
    <x v="15"/>
    <x v="1"/>
    <x v="3"/>
    <m/>
    <n v="2681.7598089999997"/>
    <m/>
    <m/>
    <m/>
    <m/>
    <m/>
    <m/>
    <m/>
    <n v="2681.7598089999997"/>
    <n v="2681.7598089999997"/>
    <m/>
  </r>
  <r>
    <x v="73"/>
    <n v="2022"/>
    <n v="5"/>
    <s v="Yukapo Subscription"/>
    <x v="2"/>
    <x v="10"/>
    <x v="8"/>
    <x v="1"/>
    <x v="1"/>
    <m/>
    <n v="1524.9594150000003"/>
    <m/>
    <m/>
    <m/>
    <m/>
    <m/>
    <m/>
    <m/>
    <n v="1524.9594150000003"/>
    <n v="1524.9594150000003"/>
    <m/>
  </r>
  <r>
    <x v="73"/>
    <n v="2022"/>
    <n v="5"/>
    <s v="Rent (May/22)"/>
    <x v="2"/>
    <x v="12"/>
    <x v="1"/>
    <x v="1"/>
    <x v="1"/>
    <m/>
    <m/>
    <m/>
    <m/>
    <m/>
    <m/>
    <m/>
    <n v="14641"/>
    <m/>
    <n v="14641"/>
    <n v="14641"/>
    <m/>
  </r>
  <r>
    <x v="73"/>
    <n v="2022"/>
    <n v="5"/>
    <s v="Cheque No.51675598"/>
    <x v="5"/>
    <x v="9"/>
    <x v="7"/>
    <x v="1"/>
    <x v="5"/>
    <m/>
    <m/>
    <m/>
    <m/>
    <m/>
    <m/>
    <n v="-7720"/>
    <n v="10000"/>
    <n v="-2280"/>
    <n v="0"/>
    <n v="0"/>
    <m/>
  </r>
  <r>
    <x v="73"/>
    <n v="2022"/>
    <n v="5"/>
    <s v="Electricity"/>
    <x v="2"/>
    <x v="13"/>
    <x v="11"/>
    <x v="1"/>
    <x v="1"/>
    <m/>
    <n v="889.81"/>
    <m/>
    <m/>
    <m/>
    <m/>
    <m/>
    <m/>
    <m/>
    <n v="889.81"/>
    <n v="889.81"/>
    <m/>
  </r>
  <r>
    <x v="74"/>
    <n v="2022"/>
    <n v="5"/>
    <s v="Transf FR MC22/4/2022    Facebook Ads"/>
    <x v="0"/>
    <x v="15"/>
    <x v="32"/>
    <x v="1"/>
    <x v="2"/>
    <m/>
    <m/>
    <m/>
    <m/>
    <m/>
    <m/>
    <m/>
    <n v="-2810"/>
    <m/>
    <n v="-2810"/>
    <n v="2810"/>
    <m/>
  </r>
  <r>
    <x v="74"/>
    <n v="2022"/>
    <n v="5"/>
    <s v="Atlassian-Jira(May/22)"/>
    <x v="2"/>
    <x v="10"/>
    <x v="8"/>
    <x v="1"/>
    <x v="0"/>
    <m/>
    <n v="4271.6799893999996"/>
    <m/>
    <m/>
    <m/>
    <m/>
    <m/>
    <m/>
    <m/>
    <n v="4271.6799893999996"/>
    <n v="4271.6799893999996"/>
    <m/>
  </r>
  <r>
    <x v="74"/>
    <n v="2022"/>
    <n v="5"/>
    <s v="2Copy Of Commercial Register"/>
    <x v="2"/>
    <x v="23"/>
    <x v="1"/>
    <x v="1"/>
    <x v="1"/>
    <m/>
    <m/>
    <m/>
    <m/>
    <m/>
    <m/>
    <m/>
    <m/>
    <n v="460"/>
    <n v="460"/>
    <n v="460"/>
    <m/>
  </r>
  <r>
    <x v="75"/>
    <n v="2022"/>
    <n v="5"/>
    <s v="Cheque No.51675599"/>
    <x v="5"/>
    <x v="9"/>
    <x v="7"/>
    <x v="1"/>
    <x v="5"/>
    <m/>
    <m/>
    <m/>
    <m/>
    <m/>
    <m/>
    <n v="-3000"/>
    <n v="5000"/>
    <n v="-2000"/>
    <n v="0"/>
    <n v="0"/>
    <m/>
  </r>
  <r>
    <x v="76"/>
    <n v="2022"/>
    <n v="5"/>
    <s v="Adobe Creative - Cloud Dublin lE -May/22"/>
    <x v="6"/>
    <x v="17"/>
    <x v="14"/>
    <x v="19"/>
    <x v="6"/>
    <m/>
    <n v="513.97"/>
    <m/>
    <m/>
    <m/>
    <m/>
    <m/>
    <m/>
    <m/>
    <n v="513.97"/>
    <n v="513.97"/>
    <m/>
  </r>
  <r>
    <x v="77"/>
    <n v="2022"/>
    <n v="5"/>
    <s v="LinkedIn Premium - May/22"/>
    <x v="0"/>
    <x v="15"/>
    <x v="12"/>
    <x v="1"/>
    <x v="2"/>
    <m/>
    <n v="246.17000000000002"/>
    <m/>
    <m/>
    <m/>
    <m/>
    <m/>
    <m/>
    <m/>
    <n v="246.17000000000002"/>
    <n v="246.17000000000002"/>
    <m/>
  </r>
  <r>
    <x v="77"/>
    <n v="2022"/>
    <n v="5"/>
    <s v="Aura Domain"/>
    <x v="0"/>
    <x v="18"/>
    <x v="15"/>
    <x v="1"/>
    <x v="3"/>
    <m/>
    <n v="343.22948300000007"/>
    <m/>
    <m/>
    <m/>
    <m/>
    <m/>
    <m/>
    <m/>
    <n v="343.22948300000007"/>
    <n v="343.22948300000007"/>
    <m/>
  </r>
  <r>
    <x v="78"/>
    <n v="2022"/>
    <n v="5"/>
    <s v="Bank Fees"/>
    <x v="2"/>
    <x v="2"/>
    <x v="2"/>
    <x v="1"/>
    <x v="1"/>
    <m/>
    <m/>
    <m/>
    <m/>
    <m/>
    <m/>
    <m/>
    <n v="80"/>
    <m/>
    <n v="80"/>
    <n v="80"/>
    <m/>
  </r>
  <r>
    <x v="79"/>
    <n v="2022"/>
    <n v="5"/>
    <s v="Atlassian-Jira(May/22)-Bitbucket"/>
    <x v="2"/>
    <x v="10"/>
    <x v="8"/>
    <x v="1"/>
    <x v="0"/>
    <m/>
    <n v="396.04950000000002"/>
    <m/>
    <m/>
    <m/>
    <m/>
    <m/>
    <m/>
    <m/>
    <n v="396.04950000000002"/>
    <n v="396.04950000000002"/>
    <m/>
  </r>
  <r>
    <x v="80"/>
    <n v="2022"/>
    <n v="5"/>
    <s v="Turni Benefit Hosting(May/22)-Hetzner"/>
    <x v="0"/>
    <x v="0"/>
    <x v="0"/>
    <x v="0"/>
    <x v="0"/>
    <m/>
    <n v="1635.2576999999999"/>
    <m/>
    <m/>
    <m/>
    <m/>
    <m/>
    <m/>
    <m/>
    <n v="1635.2576999999999"/>
    <n v="1635.2576999999999"/>
    <m/>
  </r>
  <r>
    <x v="81"/>
    <n v="2022"/>
    <n v="5"/>
    <s v="Eden Technologies Payment- inv 100959"/>
    <x v="4"/>
    <x v="17"/>
    <x v="17"/>
    <x v="10"/>
    <x v="6"/>
    <m/>
    <m/>
    <m/>
    <m/>
    <m/>
    <m/>
    <m/>
    <n v="-25600"/>
    <m/>
    <n v="-25600"/>
    <n v="25600"/>
    <m/>
  </r>
  <r>
    <x v="81"/>
    <n v="2022"/>
    <n v="5"/>
    <s v="Eden Technologies Payment-VAT"/>
    <x v="4"/>
    <x v="17"/>
    <x v="6"/>
    <x v="10"/>
    <x v="6"/>
    <m/>
    <m/>
    <m/>
    <m/>
    <m/>
    <m/>
    <m/>
    <n v="-3584.0000000000005"/>
    <m/>
    <n v="-3584.0000000000005"/>
    <n v="3584.0000000000005"/>
    <m/>
  </r>
  <r>
    <x v="82"/>
    <n v="2022"/>
    <n v="5"/>
    <s v="Zoom Subscription(May/22)"/>
    <x v="2"/>
    <x v="10"/>
    <x v="8"/>
    <x v="1"/>
    <x v="1"/>
    <m/>
    <n v="572.80987200000004"/>
    <m/>
    <m/>
    <m/>
    <m/>
    <m/>
    <m/>
    <m/>
    <n v="572.80987200000004"/>
    <n v="572.80987200000004"/>
    <m/>
  </r>
  <r>
    <x v="83"/>
    <n v="2022"/>
    <n v="5"/>
    <s v="Aura-demo Hosting(May/22)"/>
    <x v="0"/>
    <x v="0"/>
    <x v="15"/>
    <x v="1"/>
    <x v="3"/>
    <m/>
    <n v="344.719584"/>
    <m/>
    <m/>
    <m/>
    <m/>
    <m/>
    <m/>
    <m/>
    <n v="344.719584"/>
    <n v="344.719584"/>
    <m/>
  </r>
  <r>
    <x v="84"/>
    <n v="2022"/>
    <n v="5"/>
    <s v="Cheque No.51675600"/>
    <x v="5"/>
    <x v="9"/>
    <x v="7"/>
    <x v="1"/>
    <x v="5"/>
    <m/>
    <m/>
    <m/>
    <m/>
    <m/>
    <m/>
    <n v="-26500"/>
    <n v="26500"/>
    <m/>
    <n v="0"/>
    <n v="0"/>
    <m/>
  </r>
  <r>
    <x v="84"/>
    <n v="2022"/>
    <n v="5"/>
    <s v="We Internet Recharge "/>
    <x v="2"/>
    <x v="22"/>
    <x v="27"/>
    <x v="1"/>
    <x v="1"/>
    <m/>
    <m/>
    <m/>
    <m/>
    <m/>
    <m/>
    <m/>
    <m/>
    <n v="1000"/>
    <n v="1000"/>
    <n v="1000"/>
    <m/>
  </r>
  <r>
    <x v="85"/>
    <n v="2022"/>
    <n v="5"/>
    <s v="Signatures"/>
    <x v="2"/>
    <x v="2"/>
    <x v="2"/>
    <x v="1"/>
    <x v="1"/>
    <m/>
    <m/>
    <m/>
    <m/>
    <m/>
    <m/>
    <m/>
    <n v="25"/>
    <m/>
    <n v="25"/>
    <n v="25"/>
    <m/>
  </r>
  <r>
    <x v="85"/>
    <n v="2022"/>
    <n v="5"/>
    <s v="Apr/22 Systems VAT"/>
    <x v="3"/>
    <x v="3"/>
    <x v="3"/>
    <x v="1"/>
    <x v="0"/>
    <m/>
    <n v="6475"/>
    <m/>
    <m/>
    <m/>
    <m/>
    <m/>
    <m/>
    <m/>
    <n v="6475"/>
    <n v="6475"/>
    <m/>
  </r>
  <r>
    <x v="85"/>
    <n v="2022"/>
    <n v="5"/>
    <s v="Apr/22 Website VAT"/>
    <x v="3"/>
    <x v="3"/>
    <x v="3"/>
    <x v="1"/>
    <x v="3"/>
    <m/>
    <n v="4915.6899999999996"/>
    <m/>
    <m/>
    <m/>
    <m/>
    <m/>
    <m/>
    <m/>
    <n v="4915.6899999999996"/>
    <n v="4915.6899999999996"/>
    <m/>
  </r>
  <r>
    <x v="85"/>
    <n v="2022"/>
    <n v="5"/>
    <s v="Apr/22 Mobile VAT"/>
    <x v="3"/>
    <x v="3"/>
    <x v="3"/>
    <x v="1"/>
    <x v="4"/>
    <m/>
    <n v="13384"/>
    <m/>
    <m/>
    <m/>
    <m/>
    <m/>
    <m/>
    <m/>
    <n v="13384"/>
    <n v="13384"/>
    <m/>
  </r>
  <r>
    <x v="85"/>
    <n v="2022"/>
    <n v="5"/>
    <m/>
    <x v="6"/>
    <x v="17"/>
    <x v="14"/>
    <x v="19"/>
    <x v="6"/>
    <m/>
    <n v="-2480.6999999999998"/>
    <m/>
    <m/>
    <m/>
    <m/>
    <m/>
    <m/>
    <m/>
    <n v="-2480.6999999999998"/>
    <n v="2480.6999999999998"/>
    <m/>
  </r>
  <r>
    <x v="85"/>
    <n v="2022"/>
    <n v="5"/>
    <s v="Bank VAT Transfer Charge"/>
    <x v="2"/>
    <x v="2"/>
    <x v="24"/>
    <x v="1"/>
    <x v="1"/>
    <m/>
    <n v="238.55999999999767"/>
    <m/>
    <m/>
    <m/>
    <m/>
    <m/>
    <m/>
    <m/>
    <n v="238.55999999999767"/>
    <n v="238.55999999999767"/>
    <m/>
  </r>
  <r>
    <x v="85"/>
    <n v="2022"/>
    <n v="5"/>
    <s v="Samer Mobile (VAT)"/>
    <x v="6"/>
    <x v="17"/>
    <x v="14"/>
    <x v="19"/>
    <x v="6"/>
    <m/>
    <n v="2480.6999999999998"/>
    <m/>
    <m/>
    <m/>
    <m/>
    <m/>
    <m/>
    <m/>
    <n v="2480.6999999999998"/>
    <n v="2480.6999999999998"/>
    <m/>
  </r>
  <r>
    <x v="86"/>
    <n v="2022"/>
    <n v="5"/>
    <s v="Overdraft Commission"/>
    <x v="2"/>
    <x v="2"/>
    <x v="33"/>
    <x v="1"/>
    <x v="1"/>
    <m/>
    <m/>
    <m/>
    <m/>
    <m/>
    <m/>
    <m/>
    <n v="53.5"/>
    <m/>
    <n v="53.5"/>
    <n v="53.5"/>
    <m/>
  </r>
  <r>
    <x v="86"/>
    <n v="2022"/>
    <n v="5"/>
    <s v="Debit Interests"/>
    <x v="2"/>
    <x v="2"/>
    <x v="2"/>
    <x v="1"/>
    <x v="1"/>
    <m/>
    <m/>
    <m/>
    <m/>
    <m/>
    <m/>
    <m/>
    <n v="215.56"/>
    <m/>
    <n v="215.56"/>
    <n v="215.56"/>
    <m/>
  </r>
  <r>
    <x v="86"/>
    <n v="2022"/>
    <n v="5"/>
    <s v="Fiscal Stamps Debit Cards"/>
    <x v="2"/>
    <x v="2"/>
    <x v="2"/>
    <x v="1"/>
    <x v="1"/>
    <m/>
    <m/>
    <m/>
    <m/>
    <m/>
    <m/>
    <m/>
    <n v="5.8"/>
    <m/>
    <n v="5.8"/>
    <n v="5.8"/>
    <m/>
  </r>
  <r>
    <x v="86"/>
    <n v="2022"/>
    <n v="5"/>
    <s v="Alfa Electronics payment(inv100963)"/>
    <x v="4"/>
    <x v="4"/>
    <x v="5"/>
    <x v="2"/>
    <x v="0"/>
    <m/>
    <m/>
    <m/>
    <m/>
    <m/>
    <m/>
    <m/>
    <n v="-46000"/>
    <m/>
    <n v="-46000"/>
    <n v="46000"/>
    <m/>
  </r>
  <r>
    <x v="86"/>
    <n v="2022"/>
    <n v="5"/>
    <s v="Alfa Electronics payment-VAT"/>
    <x v="4"/>
    <x v="4"/>
    <x v="6"/>
    <x v="2"/>
    <x v="0"/>
    <m/>
    <m/>
    <m/>
    <m/>
    <m/>
    <m/>
    <m/>
    <n v="-6440.0000000000009"/>
    <m/>
    <n v="-6440.0000000000009"/>
    <n v="6440.0000000000009"/>
    <m/>
  </r>
  <r>
    <x v="86"/>
    <n v="2022"/>
    <n v="5"/>
    <s v="Alfa Electronics payment-Tax Deduction"/>
    <x v="3"/>
    <x v="5"/>
    <x v="5"/>
    <x v="2"/>
    <x v="0"/>
    <m/>
    <m/>
    <m/>
    <m/>
    <m/>
    <m/>
    <m/>
    <n v="1380"/>
    <m/>
    <n v="1380"/>
    <n v="1380"/>
    <m/>
  </r>
  <r>
    <x v="86"/>
    <n v="2022"/>
    <n v="5"/>
    <s v="Check Collectoin Fees - Alfa Electronics Payment"/>
    <x v="2"/>
    <x v="2"/>
    <x v="4"/>
    <x v="2"/>
    <x v="1"/>
    <m/>
    <m/>
    <m/>
    <m/>
    <m/>
    <m/>
    <m/>
    <n v="15"/>
    <m/>
    <n v="15"/>
    <n v="15"/>
    <m/>
  </r>
  <r>
    <x v="86"/>
    <n v="2022"/>
    <n v="5"/>
    <s v="Aura Domain"/>
    <x v="0"/>
    <x v="18"/>
    <x v="15"/>
    <x v="1"/>
    <x v="3"/>
    <m/>
    <n v="387.65993709999998"/>
    <m/>
    <m/>
    <m/>
    <m/>
    <m/>
    <m/>
    <m/>
    <n v="387.65993709999998"/>
    <n v="387.65993709999998"/>
    <m/>
  </r>
  <r>
    <x v="86"/>
    <n v="2022"/>
    <n v="5"/>
    <s v="Various Consumables"/>
    <x v="2"/>
    <x v="16"/>
    <x v="18"/>
    <x v="1"/>
    <x v="1"/>
    <m/>
    <m/>
    <m/>
    <m/>
    <m/>
    <m/>
    <m/>
    <m/>
    <n v="2693"/>
    <n v="2693"/>
    <n v="2693"/>
    <m/>
  </r>
  <r>
    <x v="86"/>
    <n v="2022"/>
    <n v="5"/>
    <s v="Ibrahim Transportation"/>
    <x v="2"/>
    <x v="20"/>
    <x v="19"/>
    <x v="1"/>
    <x v="1"/>
    <m/>
    <m/>
    <m/>
    <m/>
    <m/>
    <m/>
    <m/>
    <m/>
    <n v="285"/>
    <n v="285"/>
    <n v="285"/>
    <m/>
  </r>
  <r>
    <x v="87"/>
    <n v="2022"/>
    <n v="6"/>
    <s v="Turni Contabo -Jun/22"/>
    <x v="0"/>
    <x v="0"/>
    <x v="0"/>
    <x v="0"/>
    <x v="0"/>
    <m/>
    <n v="1123.0140000000001"/>
    <m/>
    <m/>
    <m/>
    <m/>
    <m/>
    <m/>
    <m/>
    <n v="1123.0140000000001"/>
    <n v="1123.0140000000001"/>
    <m/>
  </r>
  <r>
    <x v="87"/>
    <n v="2022"/>
    <n v="6"/>
    <s v="Twelfth installment-Laptop"/>
    <x v="1"/>
    <x v="1"/>
    <x v="1"/>
    <x v="1"/>
    <x v="1"/>
    <m/>
    <n v="2347"/>
    <m/>
    <m/>
    <m/>
    <m/>
    <m/>
    <m/>
    <m/>
    <n v="2347"/>
    <n v="2347"/>
    <m/>
  </r>
  <r>
    <x v="87"/>
    <n v="2022"/>
    <n v="6"/>
    <s v="Min Balance Fees"/>
    <x v="2"/>
    <x v="2"/>
    <x v="2"/>
    <x v="1"/>
    <x v="1"/>
    <m/>
    <m/>
    <m/>
    <m/>
    <m/>
    <m/>
    <m/>
    <n v="25"/>
    <m/>
    <n v="25"/>
    <n v="25"/>
    <m/>
  </r>
  <r>
    <x v="88"/>
    <n v="2022"/>
    <n v="6"/>
    <s v="Cheque No.51675601"/>
    <x v="5"/>
    <x v="9"/>
    <x v="7"/>
    <x v="1"/>
    <x v="5"/>
    <m/>
    <m/>
    <m/>
    <m/>
    <m/>
    <m/>
    <n v="-12300"/>
    <n v="12300"/>
    <m/>
    <n v="0"/>
    <n v="0"/>
    <m/>
  </r>
  <r>
    <x v="88"/>
    <n v="2022"/>
    <n v="6"/>
    <s v="Software May/22 Payroll"/>
    <x v="7"/>
    <x v="21"/>
    <x v="20"/>
    <x v="1"/>
    <x v="0"/>
    <m/>
    <n v="9000"/>
    <m/>
    <m/>
    <m/>
    <m/>
    <n v="21600"/>
    <n v="53600"/>
    <m/>
    <n v="84200"/>
    <n v="84200"/>
    <m/>
  </r>
  <r>
    <x v="88"/>
    <n v="2022"/>
    <n v="6"/>
    <s v="Mobile  May/22 Payroll"/>
    <x v="7"/>
    <x v="21"/>
    <x v="21"/>
    <x v="1"/>
    <x v="4"/>
    <m/>
    <m/>
    <m/>
    <n v="7000"/>
    <m/>
    <m/>
    <n v="8000"/>
    <m/>
    <m/>
    <n v="15000"/>
    <n v="15000"/>
    <m/>
  </r>
  <r>
    <x v="88"/>
    <n v="2022"/>
    <n v="6"/>
    <s v="General  May/22 Payroll"/>
    <x v="7"/>
    <x v="21"/>
    <x v="22"/>
    <x v="1"/>
    <x v="1"/>
    <m/>
    <n v="18000"/>
    <m/>
    <n v="7000"/>
    <m/>
    <m/>
    <m/>
    <n v="18600"/>
    <m/>
    <n v="43600"/>
    <n v="43600"/>
    <m/>
  </r>
  <r>
    <x v="88"/>
    <n v="2022"/>
    <n v="6"/>
    <s v="Websites May/22 Payroll"/>
    <x v="7"/>
    <x v="21"/>
    <x v="23"/>
    <x v="1"/>
    <x v="3"/>
    <m/>
    <n v="9000"/>
    <m/>
    <m/>
    <m/>
    <m/>
    <m/>
    <n v="13450"/>
    <m/>
    <n v="22450"/>
    <n v="22450"/>
    <m/>
  </r>
  <r>
    <x v="88"/>
    <n v="2022"/>
    <n v="6"/>
    <s v="Charges Visa Debit Business"/>
    <x v="2"/>
    <x v="2"/>
    <x v="2"/>
    <x v="1"/>
    <x v="1"/>
    <m/>
    <m/>
    <m/>
    <m/>
    <m/>
    <m/>
    <m/>
    <n v="100"/>
    <m/>
    <n v="100"/>
    <n v="100"/>
    <m/>
  </r>
  <r>
    <x v="88"/>
    <n v="2022"/>
    <n v="6"/>
    <s v="HawkHost 1 FERGUS CA"/>
    <x v="0"/>
    <x v="0"/>
    <x v="0"/>
    <x v="5"/>
    <x v="3"/>
    <m/>
    <n v="2075.6489579999998"/>
    <m/>
    <m/>
    <m/>
    <m/>
    <m/>
    <m/>
    <m/>
    <n v="2075.6489579999998"/>
    <n v="2075.6489579999998"/>
    <m/>
  </r>
  <r>
    <x v="88"/>
    <n v="2022"/>
    <n v="6"/>
    <s v="SonarCloud "/>
    <x v="2"/>
    <x v="10"/>
    <x v="8"/>
    <x v="1"/>
    <x v="0"/>
    <m/>
    <n v="206.86"/>
    <m/>
    <m/>
    <m/>
    <m/>
    <m/>
    <m/>
    <m/>
    <n v="206.86"/>
    <n v="206.86"/>
    <m/>
  </r>
  <r>
    <x v="89"/>
    <n v="2022"/>
    <n v="6"/>
    <s v="Doorman Monthly salary (June/22)"/>
    <x v="2"/>
    <x v="8"/>
    <x v="1"/>
    <x v="1"/>
    <x v="1"/>
    <m/>
    <m/>
    <m/>
    <m/>
    <m/>
    <m/>
    <m/>
    <m/>
    <n v="350"/>
    <n v="350"/>
    <n v="350"/>
    <m/>
  </r>
  <r>
    <x v="89"/>
    <n v="2022"/>
    <n v="6"/>
    <s v="Nodust"/>
    <x v="2"/>
    <x v="16"/>
    <x v="13"/>
    <x v="1"/>
    <x v="1"/>
    <m/>
    <m/>
    <m/>
    <m/>
    <m/>
    <m/>
    <m/>
    <m/>
    <n v="60"/>
    <n v="60"/>
    <n v="60"/>
    <m/>
  </r>
  <r>
    <x v="90"/>
    <n v="2022"/>
    <n v="6"/>
    <s v="Capstor for air conditioner"/>
    <x v="2"/>
    <x v="8"/>
    <x v="1"/>
    <x v="1"/>
    <x v="1"/>
    <m/>
    <m/>
    <m/>
    <m/>
    <m/>
    <m/>
    <m/>
    <m/>
    <n v="450"/>
    <n v="450"/>
    <n v="450"/>
    <m/>
  </r>
  <r>
    <x v="91"/>
    <n v="2022"/>
    <n v="6"/>
    <s v="Bank Pays Cash"/>
    <x v="5"/>
    <x v="9"/>
    <x v="7"/>
    <x v="1"/>
    <x v="1"/>
    <m/>
    <m/>
    <m/>
    <m/>
    <m/>
    <m/>
    <m/>
    <n v="800"/>
    <n v="-800"/>
    <n v="0"/>
    <n v="0"/>
    <m/>
  </r>
  <r>
    <x v="92"/>
    <n v="2022"/>
    <n v="6"/>
    <s v="Rent (June/22)"/>
    <x v="2"/>
    <x v="12"/>
    <x v="1"/>
    <x v="1"/>
    <x v="1"/>
    <m/>
    <n v="14641"/>
    <m/>
    <m/>
    <m/>
    <m/>
    <m/>
    <m/>
    <m/>
    <n v="14641"/>
    <n v="14641"/>
    <m/>
  </r>
  <r>
    <x v="93"/>
    <n v="2022"/>
    <n v="6"/>
    <s v="Samer Pays Bank To Transfer Some one"/>
    <x v="5"/>
    <x v="9"/>
    <x v="10"/>
    <x v="1"/>
    <x v="5"/>
    <m/>
    <n v="15000"/>
    <m/>
    <m/>
    <m/>
    <m/>
    <m/>
    <n v="-15000"/>
    <m/>
    <n v="0"/>
    <n v="0"/>
    <m/>
  </r>
  <r>
    <x v="93"/>
    <n v="2022"/>
    <n v="6"/>
    <s v="CloudwaysLTD Mosta MT"/>
    <x v="0"/>
    <x v="0"/>
    <x v="0"/>
    <x v="5"/>
    <x v="3"/>
    <m/>
    <n v="6875.25"/>
    <m/>
    <m/>
    <m/>
    <m/>
    <m/>
    <m/>
    <m/>
    <n v="6875.25"/>
    <n v="6875.25"/>
    <m/>
  </r>
  <r>
    <x v="93"/>
    <n v="2022"/>
    <n v="6"/>
    <s v="CloudwaysLTD Mosta MT-Jun/22"/>
    <x v="0"/>
    <x v="0"/>
    <x v="0"/>
    <x v="7"/>
    <x v="3"/>
    <m/>
    <n v="849.75"/>
    <m/>
    <m/>
    <m/>
    <m/>
    <m/>
    <m/>
    <m/>
    <n v="849.75"/>
    <n v="849.75"/>
    <m/>
  </r>
  <r>
    <x v="94"/>
    <n v="2022"/>
    <n v="6"/>
    <s v="Bank Pays Samer (Transfer to Amany Boshra Sabit )"/>
    <x v="5"/>
    <x v="9"/>
    <x v="7"/>
    <x v="1"/>
    <x v="5"/>
    <m/>
    <n v="-15000"/>
    <m/>
    <m/>
    <m/>
    <m/>
    <m/>
    <n v="15000"/>
    <m/>
    <n v="0"/>
    <n v="0"/>
    <m/>
  </r>
  <r>
    <x v="94"/>
    <n v="2022"/>
    <n v="6"/>
    <s v="Safe Kids Down Payment 50% (inv 100962)"/>
    <x v="4"/>
    <x v="6"/>
    <x v="5"/>
    <x v="22"/>
    <x v="3"/>
    <m/>
    <m/>
    <m/>
    <m/>
    <m/>
    <m/>
    <m/>
    <n v="-13195"/>
    <m/>
    <n v="-13195"/>
    <n v="13195"/>
    <m/>
  </r>
  <r>
    <x v="94"/>
    <n v="2022"/>
    <n v="6"/>
    <s v="Safe Kids Down Payment - VAT"/>
    <x v="4"/>
    <x v="6"/>
    <x v="6"/>
    <x v="22"/>
    <x v="3"/>
    <m/>
    <m/>
    <m/>
    <m/>
    <m/>
    <m/>
    <m/>
    <n v="-1847.3000000000002"/>
    <m/>
    <n v="-1847.3000000000002"/>
    <n v="1847.3000000000002"/>
    <m/>
  </r>
  <r>
    <x v="94"/>
    <n v="2022"/>
    <n v="6"/>
    <s v="Safe Kids Down Payment - Tax Deduction"/>
    <x v="3"/>
    <x v="5"/>
    <x v="5"/>
    <x v="22"/>
    <x v="3"/>
    <m/>
    <m/>
    <m/>
    <m/>
    <m/>
    <m/>
    <m/>
    <n v="395.84999999999997"/>
    <m/>
    <n v="395.84999999999997"/>
    <n v="395.84999999999997"/>
    <m/>
  </r>
  <r>
    <x v="94"/>
    <n v="2022"/>
    <n v="6"/>
    <s v="check Collection Fees Safe Kids Payment"/>
    <x v="2"/>
    <x v="2"/>
    <x v="4"/>
    <x v="22"/>
    <x v="1"/>
    <m/>
    <m/>
    <m/>
    <m/>
    <m/>
    <m/>
    <m/>
    <n v="15"/>
    <m/>
    <n v="15"/>
    <n v="15"/>
    <m/>
  </r>
  <r>
    <x v="94"/>
    <n v="2022"/>
    <n v="6"/>
    <s v="Bank Pays Cash"/>
    <x v="5"/>
    <x v="9"/>
    <x v="7"/>
    <x v="1"/>
    <x v="1"/>
    <m/>
    <m/>
    <m/>
    <m/>
    <m/>
    <m/>
    <m/>
    <n v="500"/>
    <n v="-500"/>
    <n v="0"/>
    <n v="0"/>
    <m/>
  </r>
  <r>
    <x v="94"/>
    <n v="2022"/>
    <n v="6"/>
    <s v="HawkHost 1 FERGUS CA"/>
    <x v="0"/>
    <x v="0"/>
    <x v="0"/>
    <x v="5"/>
    <x v="3"/>
    <m/>
    <n v="923.68180800000005"/>
    <m/>
    <m/>
    <m/>
    <m/>
    <m/>
    <m/>
    <m/>
    <n v="923.68180800000005"/>
    <n v="923.68180800000005"/>
    <m/>
  </r>
  <r>
    <x v="94"/>
    <n v="2022"/>
    <n v="6"/>
    <s v="CloudwaysLTD Mosta MT"/>
    <x v="0"/>
    <x v="0"/>
    <x v="0"/>
    <x v="5"/>
    <x v="3"/>
    <m/>
    <n v="13615.3125"/>
    <m/>
    <m/>
    <m/>
    <m/>
    <m/>
    <m/>
    <m/>
    <n v="13615.3125"/>
    <n v="13615.3125"/>
    <m/>
  </r>
  <r>
    <x v="95"/>
    <n v="2022"/>
    <n v="6"/>
    <s v="Electricity"/>
    <x v="2"/>
    <x v="13"/>
    <x v="11"/>
    <x v="1"/>
    <x v="1"/>
    <m/>
    <n v="847.76"/>
    <m/>
    <m/>
    <m/>
    <m/>
    <m/>
    <m/>
    <m/>
    <n v="847.76"/>
    <n v="847.76"/>
    <m/>
  </r>
  <r>
    <x v="95"/>
    <n v="2022"/>
    <n v="6"/>
    <s v="Electricity"/>
    <x v="2"/>
    <x v="13"/>
    <x v="11"/>
    <x v="1"/>
    <x v="1"/>
    <m/>
    <n v="885.81"/>
    <m/>
    <m/>
    <m/>
    <m/>
    <m/>
    <m/>
    <m/>
    <n v="885.81"/>
    <n v="885.81"/>
    <m/>
  </r>
  <r>
    <x v="95"/>
    <n v="2022"/>
    <n v="6"/>
    <s v="Electricity"/>
    <x v="2"/>
    <x v="13"/>
    <x v="11"/>
    <x v="1"/>
    <x v="1"/>
    <m/>
    <n v="551.84"/>
    <m/>
    <m/>
    <m/>
    <m/>
    <m/>
    <m/>
    <m/>
    <n v="551.84"/>
    <n v="551.84"/>
    <m/>
  </r>
  <r>
    <x v="96"/>
    <n v="2022"/>
    <n v="6"/>
    <s v="SAI payment (Smart Website Support - Dec/21,Jan,Feb/22)-inv 100960"/>
    <x v="4"/>
    <x v="19"/>
    <x v="5"/>
    <x v="7"/>
    <x v="3"/>
    <m/>
    <m/>
    <m/>
    <m/>
    <m/>
    <m/>
    <m/>
    <n v="-13440"/>
    <m/>
    <n v="-13440"/>
    <n v="13440"/>
    <m/>
  </r>
  <r>
    <x v="96"/>
    <n v="2022"/>
    <n v="6"/>
    <s v="SAI payment (Smart Website Support -VAT"/>
    <x v="4"/>
    <x v="19"/>
    <x v="6"/>
    <x v="7"/>
    <x v="3"/>
    <m/>
    <m/>
    <m/>
    <m/>
    <m/>
    <m/>
    <m/>
    <n v="-1881.6000000000001"/>
    <m/>
    <n v="-1881.6000000000001"/>
    <n v="1881.6000000000001"/>
    <m/>
  </r>
  <r>
    <x v="96"/>
    <n v="2022"/>
    <n v="6"/>
    <s v="SAI payment (Smart Website Support -Tax Deduction"/>
    <x v="3"/>
    <x v="5"/>
    <x v="5"/>
    <x v="7"/>
    <x v="3"/>
    <m/>
    <m/>
    <m/>
    <m/>
    <m/>
    <m/>
    <m/>
    <n v="403.2"/>
    <m/>
    <n v="403.2"/>
    <n v="403.2"/>
    <m/>
  </r>
  <r>
    <x v="96"/>
    <n v="2022"/>
    <n v="6"/>
    <s v="SAI payment (Smart Website Support - Mar,Apr,May/22)-inv 100961"/>
    <x v="4"/>
    <x v="19"/>
    <x v="5"/>
    <x v="7"/>
    <x v="3"/>
    <m/>
    <m/>
    <m/>
    <m/>
    <m/>
    <m/>
    <m/>
    <n v="-16079.68"/>
    <m/>
    <n v="-16079.68"/>
    <n v="16079.68"/>
    <m/>
  </r>
  <r>
    <x v="96"/>
    <n v="2022"/>
    <n v="6"/>
    <s v="SAI payment (Smart Website Support -VAT"/>
    <x v="4"/>
    <x v="19"/>
    <x v="6"/>
    <x v="7"/>
    <x v="3"/>
    <m/>
    <m/>
    <m/>
    <m/>
    <m/>
    <m/>
    <m/>
    <n v="-2251.1552000000001"/>
    <m/>
    <n v="-2251.1552000000001"/>
    <n v="2251.1552000000001"/>
    <m/>
  </r>
  <r>
    <x v="96"/>
    <n v="2022"/>
    <n v="6"/>
    <s v="SAI payment (Smart Website Support -Tax Deduction"/>
    <x v="3"/>
    <x v="5"/>
    <x v="5"/>
    <x v="7"/>
    <x v="3"/>
    <m/>
    <m/>
    <m/>
    <m/>
    <m/>
    <m/>
    <m/>
    <n v="482.3904"/>
    <m/>
    <n v="482.3904"/>
    <n v="482.3904"/>
    <m/>
  </r>
  <r>
    <x v="96"/>
    <n v="2022"/>
    <n v="6"/>
    <s v="Over Money on Smart Payment"/>
    <x v="8"/>
    <x v="23"/>
    <x v="30"/>
    <x v="7"/>
    <x v="1"/>
    <m/>
    <m/>
    <m/>
    <m/>
    <m/>
    <m/>
    <m/>
    <n v="-3.01"/>
    <m/>
    <n v="-3.01"/>
    <n v="3.01"/>
    <m/>
  </r>
  <r>
    <x v="96"/>
    <n v="2022"/>
    <n v="6"/>
    <s v="check Collection Fees Smart Payment"/>
    <x v="2"/>
    <x v="2"/>
    <x v="4"/>
    <x v="7"/>
    <x v="1"/>
    <m/>
    <m/>
    <m/>
    <m/>
    <m/>
    <m/>
    <m/>
    <n v="15"/>
    <m/>
    <n v="15"/>
    <n v="15"/>
    <m/>
  </r>
  <r>
    <x v="96"/>
    <n v="2022"/>
    <n v="6"/>
    <s v="Charges CBX Package"/>
    <x v="2"/>
    <x v="2"/>
    <x v="2"/>
    <x v="1"/>
    <x v="1"/>
    <m/>
    <m/>
    <m/>
    <m/>
    <m/>
    <m/>
    <m/>
    <n v="200"/>
    <m/>
    <n v="200"/>
    <n v="200"/>
    <m/>
  </r>
  <r>
    <x v="96"/>
    <n v="2022"/>
    <n v="6"/>
    <s v="Atlassian-Jira(Jun/22)"/>
    <x v="2"/>
    <x v="10"/>
    <x v="8"/>
    <x v="1"/>
    <x v="0"/>
    <m/>
    <n v="4287.375"/>
    <m/>
    <m/>
    <m/>
    <m/>
    <m/>
    <m/>
    <m/>
    <n v="4287.375"/>
    <n v="4287.375"/>
    <m/>
  </r>
  <r>
    <x v="97"/>
    <n v="2022"/>
    <n v="6"/>
    <s v="Adobe Creative - Cloud Dublin lE -Jun/22"/>
    <x v="6"/>
    <x v="17"/>
    <x v="14"/>
    <x v="19"/>
    <x v="6"/>
    <m/>
    <n v="513.97"/>
    <m/>
    <m/>
    <m/>
    <m/>
    <m/>
    <m/>
    <m/>
    <n v="513.97"/>
    <n v="513.97"/>
    <m/>
  </r>
  <r>
    <x v="98"/>
    <n v="2022"/>
    <n v="6"/>
    <s v="LinkedIn Premium - Jun/22"/>
    <x v="0"/>
    <x v="15"/>
    <x v="12"/>
    <x v="1"/>
    <x v="2"/>
    <m/>
    <n v="246.17000000000002"/>
    <m/>
    <m/>
    <m/>
    <m/>
    <m/>
    <m/>
    <m/>
    <n v="246.17000000000002"/>
    <n v="246.17000000000002"/>
    <m/>
  </r>
  <r>
    <x v="99"/>
    <n v="2022"/>
    <n v="6"/>
    <s v="HawkHost - FERGu ???"/>
    <x v="0"/>
    <x v="0"/>
    <x v="0"/>
    <x v="23"/>
    <x v="3"/>
    <m/>
    <n v="636.35294400000009"/>
    <m/>
    <m/>
    <m/>
    <m/>
    <m/>
    <n v="1458.36"/>
    <m/>
    <n v="2094.7129439999999"/>
    <n v="2094.7129439999999"/>
    <m/>
  </r>
  <r>
    <x v="100"/>
    <n v="2022"/>
    <n v="6"/>
    <s v="Bank Pays Cash"/>
    <x v="5"/>
    <x v="9"/>
    <x v="7"/>
    <x v="1"/>
    <x v="5"/>
    <m/>
    <m/>
    <m/>
    <m/>
    <m/>
    <m/>
    <m/>
    <n v="1000"/>
    <n v="-1000"/>
    <n v="0"/>
    <n v="0"/>
    <m/>
  </r>
  <r>
    <x v="100"/>
    <n v="2022"/>
    <n v="6"/>
    <s v="Bank Pays Cash"/>
    <x v="5"/>
    <x v="9"/>
    <x v="7"/>
    <x v="1"/>
    <x v="5"/>
    <m/>
    <m/>
    <m/>
    <m/>
    <m/>
    <m/>
    <m/>
    <n v="700"/>
    <n v="-700"/>
    <n v="0"/>
    <n v="0"/>
    <m/>
  </r>
  <r>
    <x v="100"/>
    <n v="2022"/>
    <n v="6"/>
    <s v="Envato"/>
    <x v="2"/>
    <x v="10"/>
    <x v="8"/>
    <x v="1"/>
    <x v="2"/>
    <m/>
    <m/>
    <m/>
    <m/>
    <m/>
    <m/>
    <m/>
    <n v="1527.18"/>
    <m/>
    <n v="1527.18"/>
    <n v="1527.18"/>
    <m/>
  </r>
  <r>
    <x v="101"/>
    <n v="2022"/>
    <n v="6"/>
    <s v="Atlassian-Jira(Jun/22)-Bitbucket"/>
    <x v="2"/>
    <x v="10"/>
    <x v="8"/>
    <x v="1"/>
    <x v="0"/>
    <m/>
    <n v="406.4298"/>
    <m/>
    <m/>
    <m/>
    <m/>
    <m/>
    <m/>
    <m/>
    <n v="406.4298"/>
    <n v="406.4298"/>
    <m/>
  </r>
  <r>
    <x v="102"/>
    <n v="2022"/>
    <n v="6"/>
    <s v="Bank Fees"/>
    <x v="2"/>
    <x v="2"/>
    <x v="2"/>
    <x v="1"/>
    <x v="1"/>
    <m/>
    <m/>
    <m/>
    <m/>
    <m/>
    <m/>
    <m/>
    <n v="80"/>
    <m/>
    <n v="80"/>
    <n v="80"/>
    <m/>
  </r>
  <r>
    <x v="102"/>
    <n v="2022"/>
    <n v="6"/>
    <s v="Iscore payment الشركة المصرية للاستعلام الائتماني (inv100965)"/>
    <x v="4"/>
    <x v="19"/>
    <x v="17"/>
    <x v="13"/>
    <x v="0"/>
    <m/>
    <m/>
    <m/>
    <m/>
    <m/>
    <m/>
    <m/>
    <n v="-11141.0607"/>
    <m/>
    <n v="-11141.0607"/>
    <n v="11141.0607"/>
    <m/>
  </r>
  <r>
    <x v="102"/>
    <n v="2022"/>
    <n v="6"/>
    <s v="Iscore payment الشركة المصرية للاستعلام الائتماني-VAT"/>
    <x v="4"/>
    <x v="19"/>
    <x v="6"/>
    <x v="13"/>
    <x v="0"/>
    <m/>
    <m/>
    <m/>
    <m/>
    <m/>
    <m/>
    <m/>
    <n v="-1559.7484980000002"/>
    <m/>
    <n v="-1559.7484980000002"/>
    <n v="1559.7484980000002"/>
    <m/>
  </r>
  <r>
    <x v="102"/>
    <n v="2022"/>
    <n v="6"/>
    <s v="Iscore payment الشركة المصرية للاستعلام الائتماني- Tax Deduction"/>
    <x v="3"/>
    <x v="5"/>
    <x v="17"/>
    <x v="13"/>
    <x v="0"/>
    <m/>
    <m/>
    <m/>
    <m/>
    <m/>
    <m/>
    <m/>
    <n v="334.23182099999997"/>
    <m/>
    <n v="334.23182099999997"/>
    <n v="334.23182099999997"/>
    <m/>
  </r>
  <r>
    <x v="102"/>
    <n v="2022"/>
    <n v="6"/>
    <s v="Sbaka"/>
    <x v="2"/>
    <x v="8"/>
    <x v="1"/>
    <x v="1"/>
    <x v="1"/>
    <m/>
    <m/>
    <m/>
    <m/>
    <m/>
    <m/>
    <m/>
    <m/>
    <n v="80"/>
    <n v="80"/>
    <n v="80"/>
    <m/>
  </r>
  <r>
    <x v="103"/>
    <n v="2022"/>
    <n v="6"/>
    <s v="Turni Benefit Hosting(Jun/22)-Hetzner"/>
    <x v="0"/>
    <x v="0"/>
    <x v="0"/>
    <x v="0"/>
    <x v="0"/>
    <m/>
    <n v="1710.2980000000002"/>
    <m/>
    <m/>
    <m/>
    <m/>
    <m/>
    <m/>
    <m/>
    <n v="1710.2980000000002"/>
    <n v="1710.2980000000002"/>
    <m/>
  </r>
  <r>
    <x v="104"/>
    <n v="2022"/>
    <n v="6"/>
    <s v="Fadi Pays Bank"/>
    <x v="5"/>
    <x v="9"/>
    <x v="10"/>
    <x v="1"/>
    <x v="5"/>
    <m/>
    <m/>
    <m/>
    <n v="60000"/>
    <m/>
    <m/>
    <m/>
    <n v="-60000"/>
    <m/>
    <n v="0"/>
    <n v="0"/>
    <m/>
  </r>
  <r>
    <x v="104"/>
    <n v="2022"/>
    <n v="6"/>
    <s v="Turni Server Management (May22&amp;Jun22&amp;Jul22)"/>
    <x v="0"/>
    <x v="11"/>
    <x v="14"/>
    <x v="0"/>
    <x v="0"/>
    <m/>
    <n v="7500"/>
    <m/>
    <m/>
    <m/>
    <m/>
    <m/>
    <m/>
    <m/>
    <n v="7500"/>
    <n v="7500"/>
    <m/>
  </r>
  <r>
    <x v="104"/>
    <n v="2022"/>
    <n v="6"/>
    <s v="Alfa Electronics payment(inv100968)"/>
    <x v="4"/>
    <x v="24"/>
    <x v="5"/>
    <x v="0"/>
    <x v="3"/>
    <m/>
    <m/>
    <m/>
    <m/>
    <m/>
    <m/>
    <m/>
    <n v="-13456.44"/>
    <m/>
    <n v="-13456.44"/>
    <n v="13456.44"/>
    <m/>
  </r>
  <r>
    <x v="104"/>
    <n v="2022"/>
    <n v="6"/>
    <s v="Alfa Electronics payment-VAT"/>
    <x v="4"/>
    <x v="24"/>
    <x v="6"/>
    <x v="0"/>
    <x v="3"/>
    <m/>
    <m/>
    <m/>
    <m/>
    <m/>
    <m/>
    <m/>
    <n v="-1883.9016000000001"/>
    <m/>
    <n v="-1883.9016000000001"/>
    <n v="1883.9016000000001"/>
    <m/>
  </r>
  <r>
    <x v="104"/>
    <n v="2022"/>
    <n v="6"/>
    <s v="Alfa Electronics payment-Tax Deduction"/>
    <x v="3"/>
    <x v="5"/>
    <x v="5"/>
    <x v="0"/>
    <x v="3"/>
    <m/>
    <m/>
    <m/>
    <m/>
    <m/>
    <m/>
    <m/>
    <n v="403.69319999999999"/>
    <m/>
    <n v="403.69319999999999"/>
    <n v="403.69319999999999"/>
    <m/>
  </r>
  <r>
    <x v="104"/>
    <n v="2022"/>
    <n v="6"/>
    <s v="Alfa Electronics payment(inv100969)"/>
    <x v="4"/>
    <x v="4"/>
    <x v="5"/>
    <x v="2"/>
    <x v="0"/>
    <m/>
    <m/>
    <m/>
    <m/>
    <m/>
    <m/>
    <m/>
    <n v="-46000"/>
    <m/>
    <n v="-46000"/>
    <n v="46000"/>
    <m/>
  </r>
  <r>
    <x v="104"/>
    <n v="2022"/>
    <n v="6"/>
    <s v="Alfa Electronics payment-VAT"/>
    <x v="4"/>
    <x v="4"/>
    <x v="6"/>
    <x v="2"/>
    <x v="0"/>
    <m/>
    <m/>
    <m/>
    <m/>
    <m/>
    <m/>
    <m/>
    <n v="-6440.0000000000009"/>
    <m/>
    <n v="-6440.0000000000009"/>
    <n v="6440.0000000000009"/>
    <m/>
  </r>
  <r>
    <x v="104"/>
    <n v="2022"/>
    <n v="6"/>
    <s v="Alfa Electronics payment-Tax Deduction"/>
    <x v="3"/>
    <x v="5"/>
    <x v="5"/>
    <x v="2"/>
    <x v="0"/>
    <m/>
    <m/>
    <m/>
    <m/>
    <m/>
    <m/>
    <m/>
    <n v="1380"/>
    <m/>
    <n v="1380"/>
    <n v="1380"/>
    <m/>
  </r>
  <r>
    <x v="104"/>
    <n v="2022"/>
    <n v="6"/>
    <s v="Check Collectoin Fees - Alfa Electronics Payment"/>
    <x v="2"/>
    <x v="2"/>
    <x v="4"/>
    <x v="2"/>
    <x v="1"/>
    <m/>
    <m/>
    <m/>
    <m/>
    <m/>
    <m/>
    <m/>
    <n v="30"/>
    <m/>
    <n v="30"/>
    <n v="30"/>
    <m/>
  </r>
  <r>
    <x v="104"/>
    <n v="2022"/>
    <n v="6"/>
    <s v="Cheers payment April - (inv100953)"/>
    <x v="4"/>
    <x v="19"/>
    <x v="5"/>
    <x v="20"/>
    <x v="3"/>
    <m/>
    <m/>
    <m/>
    <m/>
    <m/>
    <m/>
    <m/>
    <n v="-2000"/>
    <m/>
    <n v="-2000"/>
    <n v="2000"/>
    <m/>
  </r>
  <r>
    <x v="104"/>
    <n v="2022"/>
    <n v="6"/>
    <s v="Cheers payment -VAT"/>
    <x v="4"/>
    <x v="19"/>
    <x v="6"/>
    <x v="20"/>
    <x v="3"/>
    <m/>
    <m/>
    <m/>
    <m/>
    <m/>
    <m/>
    <m/>
    <n v="-280"/>
    <m/>
    <n v="-280"/>
    <n v="280"/>
    <m/>
  </r>
  <r>
    <x v="104"/>
    <n v="2022"/>
    <n v="6"/>
    <s v="Cheers payment -Tax Deduction"/>
    <x v="3"/>
    <x v="5"/>
    <x v="5"/>
    <x v="20"/>
    <x v="3"/>
    <m/>
    <m/>
    <m/>
    <m/>
    <m/>
    <m/>
    <m/>
    <n v="60"/>
    <m/>
    <n v="60"/>
    <n v="60"/>
    <m/>
  </r>
  <r>
    <x v="104"/>
    <n v="2022"/>
    <n v="6"/>
    <s v="Cheers payment May,June - (inv100970)"/>
    <x v="4"/>
    <x v="19"/>
    <x v="5"/>
    <x v="20"/>
    <x v="3"/>
    <m/>
    <m/>
    <m/>
    <m/>
    <m/>
    <m/>
    <m/>
    <n v="-4000"/>
    <m/>
    <n v="-4000"/>
    <n v="4000"/>
    <m/>
  </r>
  <r>
    <x v="104"/>
    <n v="2022"/>
    <n v="6"/>
    <s v="Cheers payment -VAT"/>
    <x v="4"/>
    <x v="19"/>
    <x v="6"/>
    <x v="20"/>
    <x v="3"/>
    <m/>
    <m/>
    <m/>
    <m/>
    <m/>
    <m/>
    <m/>
    <n v="-560"/>
    <m/>
    <n v="-560"/>
    <n v="560"/>
    <m/>
  </r>
  <r>
    <x v="104"/>
    <n v="2022"/>
    <n v="6"/>
    <s v="Cheers payment -Tax Deduction"/>
    <x v="3"/>
    <x v="5"/>
    <x v="5"/>
    <x v="20"/>
    <x v="3"/>
    <m/>
    <m/>
    <m/>
    <m/>
    <m/>
    <m/>
    <m/>
    <n v="120"/>
    <m/>
    <n v="120"/>
    <n v="120"/>
    <m/>
  </r>
  <r>
    <x v="104"/>
    <n v="2022"/>
    <n v="6"/>
    <s v="Check Collection Fees Cheers Payment"/>
    <x v="2"/>
    <x v="2"/>
    <x v="4"/>
    <x v="20"/>
    <x v="1"/>
    <m/>
    <m/>
    <m/>
    <m/>
    <m/>
    <m/>
    <m/>
    <n v="30"/>
    <m/>
    <n v="30"/>
    <n v="30"/>
    <m/>
  </r>
  <r>
    <x v="105"/>
    <n v="2022"/>
    <n v="6"/>
    <s v="Gemini Payment (INV 100967)"/>
    <x v="4"/>
    <x v="6"/>
    <x v="17"/>
    <x v="24"/>
    <x v="3"/>
    <m/>
    <m/>
    <m/>
    <m/>
    <m/>
    <m/>
    <m/>
    <n v="-8384"/>
    <m/>
    <n v="-8384"/>
    <n v="8384"/>
    <m/>
  </r>
  <r>
    <x v="105"/>
    <n v="2022"/>
    <n v="6"/>
    <s v="Gemini Payment -VAT"/>
    <x v="4"/>
    <x v="6"/>
    <x v="6"/>
    <x v="24"/>
    <x v="3"/>
    <m/>
    <m/>
    <m/>
    <m/>
    <m/>
    <m/>
    <m/>
    <n v="-1173.7600000000002"/>
    <m/>
    <n v="-1173.7600000000002"/>
    <n v="1173.7600000000002"/>
    <m/>
  </r>
  <r>
    <x v="105"/>
    <n v="2022"/>
    <n v="6"/>
    <s v="Gemini Payment -Tax Deduction"/>
    <x v="3"/>
    <x v="5"/>
    <x v="17"/>
    <x v="24"/>
    <x v="3"/>
    <m/>
    <m/>
    <m/>
    <m/>
    <m/>
    <m/>
    <m/>
    <n v="251.51999999999998"/>
    <m/>
    <n v="251.51999999999998"/>
    <n v="251.51999999999998"/>
    <m/>
  </r>
  <r>
    <x v="106"/>
    <n v="2022"/>
    <n v="6"/>
    <s v="Social Insurance Settlement 5"/>
    <x v="3"/>
    <x v="30"/>
    <x v="35"/>
    <x v="1"/>
    <x v="1"/>
    <m/>
    <m/>
    <m/>
    <m/>
    <m/>
    <m/>
    <m/>
    <n v="57211.47"/>
    <m/>
    <n v="57211.47"/>
    <n v="57211.47"/>
    <m/>
  </r>
  <r>
    <x v="106"/>
    <n v="2022"/>
    <n v="6"/>
    <s v="Cheque No.51675602"/>
    <x v="5"/>
    <x v="9"/>
    <x v="7"/>
    <x v="1"/>
    <x v="5"/>
    <m/>
    <m/>
    <m/>
    <m/>
    <m/>
    <m/>
    <n v="-22000"/>
    <n v="22000"/>
    <m/>
    <n v="0"/>
    <n v="0"/>
    <m/>
  </r>
  <r>
    <x v="106"/>
    <n v="2022"/>
    <n v="6"/>
    <s v="Aura-demo Hosting(Jun/22)"/>
    <x v="0"/>
    <x v="0"/>
    <x v="15"/>
    <x v="1"/>
    <x v="3"/>
    <m/>
    <n v="342.52591999999999"/>
    <m/>
    <m/>
    <m/>
    <m/>
    <m/>
    <m/>
    <m/>
    <n v="342.52591999999999"/>
    <n v="342.52591999999999"/>
    <m/>
  </r>
  <r>
    <x v="107"/>
    <n v="2022"/>
    <n v="6"/>
    <s v="HawkHost 1 FERGUS CA"/>
    <x v="0"/>
    <x v="0"/>
    <x v="0"/>
    <x v="25"/>
    <x v="3"/>
    <m/>
    <n v="2087.87996088"/>
    <m/>
    <m/>
    <m/>
    <m/>
    <m/>
    <m/>
    <m/>
    <n v="2087.87996088"/>
    <n v="2087.87996088"/>
    <m/>
  </r>
  <r>
    <x v="108"/>
    <n v="2022"/>
    <n v="6"/>
    <s v="We Internet Recharge "/>
    <x v="2"/>
    <x v="22"/>
    <x v="27"/>
    <x v="1"/>
    <x v="1"/>
    <m/>
    <n v="461.7"/>
    <m/>
    <m/>
    <m/>
    <m/>
    <m/>
    <m/>
    <m/>
    <n v="461.7"/>
    <n v="461.7"/>
    <m/>
  </r>
  <r>
    <x v="109"/>
    <n v="2022"/>
    <n v="6"/>
    <s v="Glint Consulting Payment - inv 100971"/>
    <x v="4"/>
    <x v="24"/>
    <x v="17"/>
    <x v="26"/>
    <x v="3"/>
    <m/>
    <m/>
    <m/>
    <m/>
    <m/>
    <m/>
    <m/>
    <n v="-6198.24"/>
    <m/>
    <n v="-6198.24"/>
    <n v="6198.24"/>
    <m/>
  </r>
  <r>
    <x v="109"/>
    <n v="2022"/>
    <n v="6"/>
    <s v="Glint Consulting Payment - VAT"/>
    <x v="4"/>
    <x v="24"/>
    <x v="6"/>
    <x v="26"/>
    <x v="3"/>
    <m/>
    <m/>
    <m/>
    <m/>
    <m/>
    <m/>
    <m/>
    <n v="-867.76480000000004"/>
    <m/>
    <n v="-867.76480000000004"/>
    <n v="867.76480000000004"/>
    <m/>
  </r>
  <r>
    <x v="109"/>
    <n v="2022"/>
    <n v="6"/>
    <s v="Thaki Hosting (Cloudflare)"/>
    <x v="0"/>
    <x v="0"/>
    <x v="0"/>
    <x v="10"/>
    <x v="4"/>
    <m/>
    <n v="96.86999999999999"/>
    <m/>
    <m/>
    <m/>
    <m/>
    <m/>
    <m/>
    <m/>
    <n v="96.86999999999999"/>
    <n v="96.86999999999999"/>
    <m/>
  </r>
  <r>
    <x v="110"/>
    <n v="2022"/>
    <n v="6"/>
    <s v="HM2 Payment - inv 100972"/>
    <x v="4"/>
    <x v="24"/>
    <x v="29"/>
    <x v="27"/>
    <x v="3"/>
    <m/>
    <m/>
    <m/>
    <m/>
    <m/>
    <m/>
    <n v="-1775"/>
    <m/>
    <m/>
    <n v="-1775"/>
    <n v="1775"/>
    <m/>
  </r>
  <r>
    <x v="110"/>
    <n v="2022"/>
    <n v="6"/>
    <s v="HM2 Payment - VAT"/>
    <x v="4"/>
    <x v="24"/>
    <x v="6"/>
    <x v="27"/>
    <x v="3"/>
    <m/>
    <m/>
    <m/>
    <m/>
    <m/>
    <m/>
    <n v="-248.50000000000003"/>
    <m/>
    <m/>
    <n v="-248.50000000000003"/>
    <n v="248.50000000000003"/>
    <m/>
  </r>
  <r>
    <x v="110"/>
    <n v="2022"/>
    <n v="6"/>
    <s v="Over Money on HM2 Payment"/>
    <x v="8"/>
    <x v="23"/>
    <x v="30"/>
    <x v="27"/>
    <x v="1"/>
    <m/>
    <m/>
    <m/>
    <m/>
    <m/>
    <m/>
    <n v="-1.5"/>
    <m/>
    <m/>
    <n v="-1.5"/>
    <n v="1.5"/>
    <m/>
  </r>
  <r>
    <x v="110"/>
    <n v="2022"/>
    <n v="6"/>
    <s v="Cash Pays Margins"/>
    <x v="5"/>
    <x v="9"/>
    <x v="7"/>
    <x v="1"/>
    <x v="5"/>
    <m/>
    <m/>
    <m/>
    <m/>
    <m/>
    <m/>
    <n v="2025"/>
    <m/>
    <n v="-2025"/>
    <n v="0"/>
    <n v="0"/>
    <m/>
  </r>
  <r>
    <x v="110"/>
    <n v="2022"/>
    <n v="6"/>
    <s v="Nowpay.cash website full payment - inv 100973"/>
    <x v="4"/>
    <x v="6"/>
    <x v="17"/>
    <x v="28"/>
    <x v="3"/>
    <m/>
    <m/>
    <m/>
    <m/>
    <m/>
    <m/>
    <m/>
    <n v="-16000"/>
    <m/>
    <n v="-16000"/>
    <n v="16000"/>
    <m/>
  </r>
  <r>
    <x v="110"/>
    <n v="2022"/>
    <n v="6"/>
    <s v="Nowpay.cash website full payment - VAT"/>
    <x v="4"/>
    <x v="6"/>
    <x v="6"/>
    <x v="28"/>
    <x v="3"/>
    <m/>
    <m/>
    <m/>
    <m/>
    <m/>
    <m/>
    <m/>
    <n v="-2240"/>
    <m/>
    <n v="-2240"/>
    <n v="2240"/>
    <m/>
  </r>
  <r>
    <x v="110"/>
    <n v="2022"/>
    <n v="6"/>
    <s v="Nowpay.cash website full payment - Tax Deduction"/>
    <x v="3"/>
    <x v="5"/>
    <x v="17"/>
    <x v="28"/>
    <x v="3"/>
    <m/>
    <m/>
    <m/>
    <m/>
    <m/>
    <m/>
    <m/>
    <n v="480"/>
    <m/>
    <n v="480"/>
    <n v="480"/>
    <m/>
  </r>
  <r>
    <x v="110"/>
    <n v="2022"/>
    <n v="6"/>
    <s v="Check Collection Fees Bashaier Payment"/>
    <x v="2"/>
    <x v="2"/>
    <x v="4"/>
    <x v="9"/>
    <x v="1"/>
    <m/>
    <m/>
    <m/>
    <m/>
    <m/>
    <m/>
    <m/>
    <n v="15"/>
    <m/>
    <n v="15"/>
    <n v="15"/>
    <m/>
  </r>
  <r>
    <x v="110"/>
    <n v="2022"/>
    <n v="6"/>
    <s v="Bashaier Third Payment30%-inv100964"/>
    <x v="4"/>
    <x v="7"/>
    <x v="5"/>
    <x v="9"/>
    <x v="4"/>
    <m/>
    <m/>
    <m/>
    <m/>
    <m/>
    <m/>
    <m/>
    <n v="-138000"/>
    <m/>
    <n v="-138000"/>
    <n v="138000"/>
    <m/>
  </r>
  <r>
    <x v="110"/>
    <n v="2022"/>
    <n v="6"/>
    <s v="Bashaier  Third Payment30%-VAT"/>
    <x v="4"/>
    <x v="7"/>
    <x v="6"/>
    <x v="9"/>
    <x v="4"/>
    <m/>
    <m/>
    <m/>
    <m/>
    <m/>
    <m/>
    <m/>
    <n v="-19320.000000000004"/>
    <m/>
    <n v="-19320.000000000004"/>
    <n v="19320.000000000004"/>
    <m/>
  </r>
  <r>
    <x v="110"/>
    <n v="2022"/>
    <n v="6"/>
    <s v="Bashaier  Third Payment30%-Tax Deduction"/>
    <x v="3"/>
    <x v="5"/>
    <x v="5"/>
    <x v="9"/>
    <x v="4"/>
    <m/>
    <m/>
    <m/>
    <m/>
    <m/>
    <m/>
    <m/>
    <n v="4140"/>
    <m/>
    <n v="4140"/>
    <n v="4140"/>
    <m/>
  </r>
  <r>
    <x v="111"/>
    <n v="2022"/>
    <n v="6"/>
    <s v="Imkthis Payment (inv100974)"/>
    <x v="4"/>
    <x v="19"/>
    <x v="17"/>
    <x v="8"/>
    <x v="3"/>
    <m/>
    <m/>
    <m/>
    <m/>
    <m/>
    <m/>
    <m/>
    <n v="-6900"/>
    <m/>
    <n v="-6900"/>
    <n v="6900"/>
    <m/>
  </r>
  <r>
    <x v="111"/>
    <n v="2022"/>
    <n v="6"/>
    <s v="Imkthis Payment - VAT"/>
    <x v="4"/>
    <x v="19"/>
    <x v="6"/>
    <x v="8"/>
    <x v="3"/>
    <m/>
    <m/>
    <m/>
    <m/>
    <m/>
    <m/>
    <m/>
    <n v="-966.00000000000011"/>
    <m/>
    <n v="-966.00000000000011"/>
    <n v="966.00000000000011"/>
    <m/>
  </r>
  <r>
    <x v="111"/>
    <n v="2022"/>
    <n v="6"/>
    <s v="Min Balance Fees"/>
    <x v="2"/>
    <x v="2"/>
    <x v="2"/>
    <x v="1"/>
    <x v="1"/>
    <m/>
    <m/>
    <m/>
    <m/>
    <m/>
    <m/>
    <m/>
    <n v="25"/>
    <m/>
    <n v="25"/>
    <n v="25"/>
    <m/>
  </r>
  <r>
    <x v="111"/>
    <n v="2022"/>
    <n v="6"/>
    <s v="Charges Current Acc"/>
    <x v="2"/>
    <x v="2"/>
    <x v="2"/>
    <x v="1"/>
    <x v="1"/>
    <m/>
    <m/>
    <m/>
    <m/>
    <m/>
    <m/>
    <m/>
    <n v="100"/>
    <m/>
    <n v="100"/>
    <n v="100"/>
    <m/>
  </r>
  <r>
    <x v="111"/>
    <n v="2022"/>
    <n v="6"/>
    <s v="Bank Pays Samer"/>
    <x v="5"/>
    <x v="9"/>
    <x v="36"/>
    <x v="1"/>
    <x v="5"/>
    <m/>
    <n v="-10000"/>
    <m/>
    <m/>
    <m/>
    <m/>
    <m/>
    <n v="10000"/>
    <m/>
    <n v="0"/>
    <n v="0"/>
    <m/>
  </r>
  <r>
    <x v="111"/>
    <n v="2022"/>
    <n v="6"/>
    <s v="Bank Pays Samer"/>
    <x v="5"/>
    <x v="9"/>
    <x v="36"/>
    <x v="1"/>
    <x v="5"/>
    <m/>
    <n v="-16150"/>
    <m/>
    <m/>
    <m/>
    <m/>
    <m/>
    <n v="16150"/>
    <m/>
    <n v="0"/>
    <n v="0"/>
    <m/>
  </r>
  <r>
    <x v="111"/>
    <n v="2022"/>
    <n v="6"/>
    <s v="HawkHost 1 FERGUS CA"/>
    <x v="0"/>
    <x v="0"/>
    <x v="0"/>
    <x v="5"/>
    <x v="3"/>
    <m/>
    <n v="2093.4297395999997"/>
    <m/>
    <m/>
    <m/>
    <m/>
    <m/>
    <m/>
    <m/>
    <n v="2093.4297395999997"/>
    <n v="2093.4297395999997"/>
    <m/>
  </r>
  <r>
    <x v="111"/>
    <n v="2022"/>
    <n v="6"/>
    <s v="We Internet Recharge "/>
    <x v="2"/>
    <x v="22"/>
    <x v="27"/>
    <x v="1"/>
    <x v="1"/>
    <m/>
    <n v="353.4"/>
    <m/>
    <m/>
    <m/>
    <m/>
    <m/>
    <m/>
    <m/>
    <n v="353.4"/>
    <n v="353.4"/>
    <m/>
  </r>
  <r>
    <x v="112"/>
    <n v="2022"/>
    <n v="6"/>
    <s v="May/22 Systems VAT"/>
    <x v="3"/>
    <x v="3"/>
    <x v="3"/>
    <x v="1"/>
    <x v="0"/>
    <m/>
    <n v="6440"/>
    <m/>
    <m/>
    <m/>
    <m/>
    <m/>
    <m/>
    <m/>
    <n v="6440"/>
    <n v="6440"/>
    <m/>
  </r>
  <r>
    <x v="112"/>
    <n v="2022"/>
    <n v="6"/>
    <s v="May/22 Website VAT"/>
    <x v="3"/>
    <x v="3"/>
    <x v="3"/>
    <x v="1"/>
    <x v="3"/>
    <m/>
    <n v="5980.06"/>
    <m/>
    <m/>
    <m/>
    <m/>
    <m/>
    <m/>
    <m/>
    <n v="5980.06"/>
    <n v="5980.06"/>
    <m/>
  </r>
  <r>
    <x v="112"/>
    <n v="2022"/>
    <n v="6"/>
    <s v="May/22 Mobile VAT"/>
    <x v="3"/>
    <x v="3"/>
    <x v="3"/>
    <x v="1"/>
    <x v="4"/>
    <m/>
    <n v="19320"/>
    <m/>
    <m/>
    <m/>
    <m/>
    <m/>
    <m/>
    <m/>
    <n v="19320"/>
    <n v="19320"/>
    <m/>
  </r>
  <r>
    <x v="112"/>
    <n v="2022"/>
    <n v="6"/>
    <s v="Bank VAT Transfer Charge"/>
    <x v="2"/>
    <x v="2"/>
    <x v="24"/>
    <x v="1"/>
    <x v="1"/>
    <m/>
    <n v="340.57"/>
    <m/>
    <m/>
    <m/>
    <m/>
    <m/>
    <m/>
    <m/>
    <n v="340.57"/>
    <n v="340.57"/>
    <m/>
  </r>
  <r>
    <x v="112"/>
    <n v="2022"/>
    <n v="6"/>
    <s v="Zoom Subscription(Jun/22)"/>
    <x v="2"/>
    <x v="10"/>
    <x v="8"/>
    <x v="1"/>
    <x v="1"/>
    <m/>
    <n v="582.38848199999995"/>
    <m/>
    <m/>
    <m/>
    <m/>
    <m/>
    <m/>
    <m/>
    <n v="582.38848199999995"/>
    <n v="582.38848199999995"/>
    <m/>
  </r>
  <r>
    <x v="112"/>
    <n v="2022"/>
    <n v="6"/>
    <s v="Various Consumables"/>
    <x v="2"/>
    <x v="16"/>
    <x v="18"/>
    <x v="1"/>
    <x v="1"/>
    <m/>
    <m/>
    <m/>
    <m/>
    <m/>
    <m/>
    <m/>
    <m/>
    <n v="2100"/>
    <n v="2100"/>
    <n v="2100"/>
    <m/>
  </r>
  <r>
    <x v="112"/>
    <n v="2022"/>
    <n v="6"/>
    <s v="Ibrahim Transportation"/>
    <x v="2"/>
    <x v="20"/>
    <x v="19"/>
    <x v="1"/>
    <x v="1"/>
    <m/>
    <m/>
    <m/>
    <m/>
    <m/>
    <m/>
    <m/>
    <m/>
    <n v="620"/>
    <n v="620"/>
    <n v="620"/>
    <m/>
  </r>
  <r>
    <x v="113"/>
    <n v="2022"/>
    <n v="7"/>
    <s v="Turni Contabo -Jul/22"/>
    <x v="0"/>
    <x v="0"/>
    <x v="0"/>
    <x v="0"/>
    <x v="0"/>
    <m/>
    <n v="1231.2"/>
    <m/>
    <m/>
    <m/>
    <m/>
    <m/>
    <m/>
    <m/>
    <n v="1231.2"/>
    <n v="1231.2"/>
    <m/>
  </r>
  <r>
    <x v="114"/>
    <n v="2022"/>
    <n v="7"/>
    <s v="SonarCloud "/>
    <x v="2"/>
    <x v="10"/>
    <x v="8"/>
    <x v="1"/>
    <x v="0"/>
    <m/>
    <n v="204.20000000000002"/>
    <m/>
    <m/>
    <m/>
    <m/>
    <m/>
    <m/>
    <m/>
    <n v="204.20000000000002"/>
    <n v="204.20000000000002"/>
    <m/>
  </r>
  <r>
    <x v="115"/>
    <n v="2022"/>
    <n v="7"/>
    <s v="Doorman Monthly salary (July/22)"/>
    <x v="2"/>
    <x v="8"/>
    <x v="1"/>
    <x v="1"/>
    <x v="1"/>
    <m/>
    <m/>
    <m/>
    <m/>
    <m/>
    <m/>
    <m/>
    <m/>
    <n v="350"/>
    <n v="350"/>
    <n v="350"/>
    <m/>
  </r>
  <r>
    <x v="115"/>
    <n v="2022"/>
    <n v="7"/>
    <s v="Bank Pays Samer"/>
    <x v="5"/>
    <x v="9"/>
    <x v="7"/>
    <x v="1"/>
    <x v="5"/>
    <m/>
    <n v="-20000"/>
    <m/>
    <m/>
    <m/>
    <m/>
    <m/>
    <n v="20000"/>
    <m/>
    <n v="0"/>
    <n v="0"/>
    <m/>
  </r>
  <r>
    <x v="115"/>
    <n v="2022"/>
    <n v="7"/>
    <s v="Bank Pays Samer"/>
    <x v="5"/>
    <x v="9"/>
    <x v="7"/>
    <x v="1"/>
    <x v="5"/>
    <m/>
    <n v="-45800"/>
    <m/>
    <m/>
    <m/>
    <m/>
    <m/>
    <n v="45800"/>
    <m/>
    <n v="0"/>
    <n v="0"/>
    <m/>
  </r>
  <r>
    <x v="115"/>
    <n v="2022"/>
    <n v="7"/>
    <s v="Samer Pays Cash"/>
    <x v="5"/>
    <x v="9"/>
    <x v="7"/>
    <x v="1"/>
    <x v="5"/>
    <m/>
    <n v="9800"/>
    <m/>
    <m/>
    <m/>
    <m/>
    <n v="-9800"/>
    <m/>
    <m/>
    <n v="0"/>
    <n v="0"/>
    <m/>
  </r>
  <r>
    <x v="115"/>
    <n v="2022"/>
    <n v="7"/>
    <s v="Software June/22 Payroll"/>
    <x v="7"/>
    <x v="21"/>
    <x v="20"/>
    <x v="1"/>
    <x v="0"/>
    <m/>
    <n v="9000"/>
    <m/>
    <m/>
    <m/>
    <m/>
    <n v="23600"/>
    <n v="56200"/>
    <m/>
    <n v="88800"/>
    <n v="88800"/>
    <m/>
  </r>
  <r>
    <x v="115"/>
    <n v="2022"/>
    <n v="7"/>
    <s v="Mobile  June/22 Payroll"/>
    <x v="7"/>
    <x v="21"/>
    <x v="21"/>
    <x v="1"/>
    <x v="4"/>
    <m/>
    <m/>
    <m/>
    <m/>
    <m/>
    <m/>
    <n v="8000"/>
    <m/>
    <m/>
    <n v="8000"/>
    <n v="8000"/>
    <m/>
  </r>
  <r>
    <x v="115"/>
    <n v="2022"/>
    <n v="7"/>
    <s v="General  June/22 Payroll"/>
    <x v="7"/>
    <x v="21"/>
    <x v="22"/>
    <x v="1"/>
    <x v="1"/>
    <m/>
    <n v="18000"/>
    <m/>
    <m/>
    <m/>
    <m/>
    <m/>
    <n v="18600"/>
    <m/>
    <n v="36600"/>
    <n v="36600"/>
    <m/>
  </r>
  <r>
    <x v="115"/>
    <n v="2022"/>
    <n v="7"/>
    <s v="Websites June/22 Payroll"/>
    <x v="7"/>
    <x v="21"/>
    <x v="23"/>
    <x v="1"/>
    <x v="3"/>
    <m/>
    <n v="9000"/>
    <m/>
    <m/>
    <m/>
    <m/>
    <m/>
    <n v="14250"/>
    <m/>
    <n v="23250"/>
    <n v="23250"/>
    <m/>
  </r>
  <r>
    <x v="115"/>
    <n v="2022"/>
    <n v="7"/>
    <s v="We Internet Recharge "/>
    <x v="2"/>
    <x v="22"/>
    <x v="27"/>
    <x v="1"/>
    <x v="1"/>
    <m/>
    <m/>
    <m/>
    <m/>
    <m/>
    <m/>
    <m/>
    <m/>
    <n v="1140"/>
    <n v="1140"/>
    <n v="1140"/>
    <m/>
  </r>
  <r>
    <x v="116"/>
    <n v="2022"/>
    <n v="7"/>
    <s v="Samer Pays Margins"/>
    <x v="5"/>
    <x v="9"/>
    <x v="7"/>
    <x v="1"/>
    <x v="5"/>
    <m/>
    <n v="75"/>
    <m/>
    <m/>
    <m/>
    <m/>
    <m/>
    <m/>
    <n v="-75"/>
    <n v="0"/>
    <n v="0"/>
    <m/>
  </r>
  <r>
    <x v="116"/>
    <n v="2022"/>
    <n v="7"/>
    <s v="Nodust"/>
    <x v="2"/>
    <x v="16"/>
    <x v="13"/>
    <x v="1"/>
    <x v="1"/>
    <m/>
    <m/>
    <m/>
    <m/>
    <m/>
    <m/>
    <m/>
    <m/>
    <n v="75"/>
    <n v="75"/>
    <n v="75"/>
    <m/>
  </r>
  <r>
    <x v="117"/>
    <n v="2022"/>
    <n v="7"/>
    <s v="Rent (July/22)"/>
    <x v="2"/>
    <x v="12"/>
    <x v="1"/>
    <x v="1"/>
    <x v="1"/>
    <m/>
    <m/>
    <m/>
    <m/>
    <m/>
    <m/>
    <m/>
    <n v="14641"/>
    <m/>
    <n v="14641"/>
    <n v="14641"/>
    <m/>
  </r>
  <r>
    <x v="117"/>
    <n v="2022"/>
    <n v="7"/>
    <s v="Rent (July/22) -TRF ACH CHG"/>
    <x v="2"/>
    <x v="2"/>
    <x v="2"/>
    <x v="1"/>
    <x v="5"/>
    <m/>
    <m/>
    <m/>
    <m/>
    <m/>
    <m/>
    <m/>
    <n v="44.28"/>
    <m/>
    <n v="44.28"/>
    <n v="44.28"/>
    <m/>
  </r>
  <r>
    <x v="117"/>
    <n v="2022"/>
    <n v="7"/>
    <s v="Aura Domain"/>
    <x v="0"/>
    <x v="18"/>
    <x v="15"/>
    <x v="1"/>
    <x v="3"/>
    <m/>
    <n v="302.28924799999999"/>
    <m/>
    <m/>
    <m/>
    <m/>
    <m/>
    <m/>
    <m/>
    <n v="302.28924799999999"/>
    <n v="302.28924799999999"/>
    <m/>
  </r>
  <r>
    <x v="118"/>
    <n v="2022"/>
    <n v="7"/>
    <s v="Cheque No.51675603"/>
    <x v="5"/>
    <x v="9"/>
    <x v="7"/>
    <x v="1"/>
    <x v="5"/>
    <m/>
    <n v="-7200"/>
    <m/>
    <m/>
    <m/>
    <m/>
    <n v="-15000"/>
    <n v="22200"/>
    <m/>
    <n v="0"/>
    <n v="0"/>
    <m/>
  </r>
  <r>
    <x v="118"/>
    <n v="2022"/>
    <n v="7"/>
    <s v="CloudwaysLTD Mosta MT"/>
    <x v="0"/>
    <x v="0"/>
    <x v="0"/>
    <x v="5"/>
    <x v="3"/>
    <m/>
    <n v="4012.3279199999997"/>
    <m/>
    <m/>
    <m/>
    <m/>
    <m/>
    <m/>
    <m/>
    <n v="4012.3279199999997"/>
    <n v="4012.3279199999997"/>
    <m/>
  </r>
  <r>
    <x v="118"/>
    <n v="2022"/>
    <n v="7"/>
    <s v="CloudwaysLTD Mosta MT-Jul/22"/>
    <x v="0"/>
    <x v="0"/>
    <x v="0"/>
    <x v="7"/>
    <x v="3"/>
    <m/>
    <n v="857.00207999999998"/>
    <m/>
    <m/>
    <m/>
    <m/>
    <m/>
    <m/>
    <m/>
    <n v="857.00207999999998"/>
    <n v="857.00207999999998"/>
    <m/>
  </r>
  <r>
    <x v="119"/>
    <n v="2022"/>
    <n v="7"/>
    <s v="CloudwaysLTD Mosta MT"/>
    <x v="0"/>
    <x v="0"/>
    <x v="0"/>
    <x v="5"/>
    <x v="3"/>
    <m/>
    <n v="21849.449700000001"/>
    <m/>
    <m/>
    <m/>
    <m/>
    <m/>
    <m/>
    <m/>
    <n v="21849.449700000001"/>
    <n v="21849.449700000001"/>
    <m/>
  </r>
  <r>
    <x v="120"/>
    <n v="2022"/>
    <n v="7"/>
    <s v="HawkHost 1 FERGUS CA"/>
    <x v="0"/>
    <x v="0"/>
    <x v="0"/>
    <x v="5"/>
    <x v="3"/>
    <m/>
    <n v="2101.2197544000001"/>
    <m/>
    <m/>
    <m/>
    <m/>
    <m/>
    <m/>
    <m/>
    <n v="2101.2197544000001"/>
    <n v="2101.2197544000001"/>
    <m/>
  </r>
  <r>
    <x v="120"/>
    <n v="2022"/>
    <n v="7"/>
    <s v="Aura Domain"/>
    <x v="0"/>
    <x v="18"/>
    <x v="15"/>
    <x v="1"/>
    <x v="3"/>
    <m/>
    <n v="470.76875799999999"/>
    <m/>
    <m/>
    <m/>
    <m/>
    <m/>
    <m/>
    <m/>
    <n v="470.76875799999999"/>
    <n v="470.76875799999999"/>
    <m/>
  </r>
  <r>
    <x v="121"/>
    <n v="2022"/>
    <n v="7"/>
    <s v="Atlassian-Jira(Jul/22)"/>
    <x v="2"/>
    <x v="10"/>
    <x v="8"/>
    <x v="1"/>
    <x v="0"/>
    <m/>
    <n v="4323.95838"/>
    <m/>
    <m/>
    <m/>
    <m/>
    <m/>
    <m/>
    <m/>
    <n v="4323.95838"/>
    <n v="4323.95838"/>
    <m/>
  </r>
  <r>
    <x v="122"/>
    <n v="2022"/>
    <n v="7"/>
    <s v="Adobe Creative - Cloud Dublin lE -Jul/22"/>
    <x v="6"/>
    <x v="17"/>
    <x v="14"/>
    <x v="19"/>
    <x v="6"/>
    <m/>
    <n v="513.97"/>
    <m/>
    <m/>
    <m/>
    <m/>
    <m/>
    <m/>
    <m/>
    <n v="513.97"/>
    <n v="513.97"/>
    <m/>
  </r>
  <r>
    <x v="123"/>
    <n v="2022"/>
    <n v="7"/>
    <s v="LinkedIn Premium - Jul/22"/>
    <x v="0"/>
    <x v="15"/>
    <x v="12"/>
    <x v="1"/>
    <x v="2"/>
    <m/>
    <n v="246.17000000000002"/>
    <m/>
    <m/>
    <m/>
    <m/>
    <m/>
    <m/>
    <m/>
    <n v="246.17000000000002"/>
    <n v="246.17000000000002"/>
    <m/>
  </r>
  <r>
    <x v="124"/>
    <n v="2022"/>
    <n v="7"/>
    <s v="Bank Fees"/>
    <x v="2"/>
    <x v="2"/>
    <x v="2"/>
    <x v="1"/>
    <x v="1"/>
    <m/>
    <m/>
    <m/>
    <m/>
    <m/>
    <m/>
    <m/>
    <n v="80"/>
    <m/>
    <n v="80"/>
    <n v="80"/>
    <m/>
  </r>
  <r>
    <x v="124"/>
    <n v="2022"/>
    <n v="7"/>
    <s v="Charges CBX Package"/>
    <x v="2"/>
    <x v="2"/>
    <x v="2"/>
    <x v="1"/>
    <x v="1"/>
    <m/>
    <m/>
    <m/>
    <m/>
    <m/>
    <m/>
    <m/>
    <n v="100"/>
    <m/>
    <n v="100"/>
    <n v="100"/>
    <m/>
  </r>
  <r>
    <x v="124"/>
    <n v="2022"/>
    <n v="7"/>
    <s v="Atlassian-Jira(Jul/22)-Bitbucket"/>
    <x v="2"/>
    <x v="10"/>
    <x v="8"/>
    <x v="1"/>
    <x v="0"/>
    <m/>
    <n v="409.45800000000003"/>
    <m/>
    <m/>
    <m/>
    <m/>
    <m/>
    <m/>
    <m/>
    <n v="409.45800000000003"/>
    <n v="409.45800000000003"/>
    <m/>
  </r>
  <r>
    <x v="125"/>
    <n v="2022"/>
    <n v="7"/>
    <s v="Bank Pays Samer"/>
    <x v="5"/>
    <x v="9"/>
    <x v="10"/>
    <x v="1"/>
    <x v="5"/>
    <m/>
    <n v="-2150"/>
    <m/>
    <m/>
    <m/>
    <m/>
    <m/>
    <n v="2150"/>
    <m/>
    <n v="0"/>
    <n v="0"/>
    <m/>
  </r>
  <r>
    <x v="126"/>
    <n v="2022"/>
    <n v="7"/>
    <s v="Turni Benefit Hosting(Jul/22)-Hetzner"/>
    <x v="0"/>
    <x v="0"/>
    <x v="0"/>
    <x v="0"/>
    <x v="0"/>
    <m/>
    <n v="1680.25947"/>
    <m/>
    <m/>
    <m/>
    <m/>
    <m/>
    <m/>
    <m/>
    <n v="1680.25947"/>
    <n v="1680.25947"/>
    <m/>
  </r>
  <r>
    <x v="127"/>
    <n v="2022"/>
    <n v="7"/>
    <s v="HawkHost 1 FERGUS CA"/>
    <x v="0"/>
    <x v="0"/>
    <x v="0"/>
    <x v="5"/>
    <x v="3"/>
    <m/>
    <n v="935.52732000000015"/>
    <m/>
    <m/>
    <m/>
    <m/>
    <m/>
    <m/>
    <m/>
    <n v="935.52732000000015"/>
    <n v="935.52732000000015"/>
    <m/>
  </r>
  <r>
    <x v="128"/>
    <n v="2022"/>
    <n v="7"/>
    <s v="Zoom Subscription(Jul/22)"/>
    <x v="2"/>
    <x v="10"/>
    <x v="8"/>
    <x v="1"/>
    <x v="1"/>
    <m/>
    <n v="585.77922000000001"/>
    <m/>
    <m/>
    <m/>
    <m/>
    <m/>
    <m/>
    <m/>
    <n v="585.77922000000001"/>
    <n v="585.77922000000001"/>
    <m/>
  </r>
  <r>
    <x v="129"/>
    <n v="2022"/>
    <n v="7"/>
    <s v="Bank Pays Margins"/>
    <x v="5"/>
    <x v="9"/>
    <x v="10"/>
    <x v="1"/>
    <x v="5"/>
    <m/>
    <m/>
    <m/>
    <m/>
    <m/>
    <m/>
    <m/>
    <n v="2000"/>
    <n v="-2000"/>
    <n v="0"/>
    <n v="0"/>
    <m/>
  </r>
  <r>
    <x v="129"/>
    <n v="2022"/>
    <n v="7"/>
    <s v="Gemini Payment (INV 100929)"/>
    <x v="4"/>
    <x v="6"/>
    <x v="17"/>
    <x v="24"/>
    <x v="3"/>
    <m/>
    <m/>
    <m/>
    <m/>
    <m/>
    <m/>
    <m/>
    <n v="-8384"/>
    <m/>
    <n v="-8384"/>
    <n v="8384"/>
    <m/>
  </r>
  <r>
    <x v="129"/>
    <n v="2022"/>
    <n v="7"/>
    <s v="Gemini Payment -VAT"/>
    <x v="4"/>
    <x v="6"/>
    <x v="6"/>
    <x v="24"/>
    <x v="3"/>
    <m/>
    <m/>
    <m/>
    <m/>
    <m/>
    <m/>
    <m/>
    <n v="-1173.7600000000002"/>
    <m/>
    <n v="-1173.7600000000002"/>
    <n v="1173.7600000000002"/>
    <m/>
  </r>
  <r>
    <x v="129"/>
    <n v="2022"/>
    <n v="7"/>
    <s v="Gemini Payment -Tax Deduction"/>
    <x v="3"/>
    <x v="5"/>
    <x v="17"/>
    <x v="24"/>
    <x v="3"/>
    <m/>
    <m/>
    <m/>
    <m/>
    <m/>
    <m/>
    <m/>
    <n v="251.51999999999998"/>
    <m/>
    <n v="251.51999999999998"/>
    <n v="251.51999999999998"/>
    <m/>
  </r>
  <r>
    <x v="129"/>
    <n v="2022"/>
    <n v="7"/>
    <s v="Electricity Samer Home"/>
    <x v="5"/>
    <x v="9"/>
    <x v="10"/>
    <x v="1"/>
    <x v="5"/>
    <m/>
    <n v="-600"/>
    <m/>
    <m/>
    <m/>
    <m/>
    <m/>
    <m/>
    <n v="600"/>
    <n v="0"/>
    <n v="0"/>
    <m/>
  </r>
  <r>
    <x v="130"/>
    <n v="2022"/>
    <n v="7"/>
    <s v="HawkHost 1 FERGUS CA"/>
    <x v="0"/>
    <x v="0"/>
    <x v="0"/>
    <x v="5"/>
    <x v="3"/>
    <m/>
    <n v="2107.8673200000003"/>
    <m/>
    <m/>
    <m/>
    <m/>
    <m/>
    <m/>
    <m/>
    <n v="2107.8673200000003"/>
    <n v="2107.8673200000003"/>
    <m/>
  </r>
  <r>
    <x v="130"/>
    <n v="2022"/>
    <n v="7"/>
    <s v="Phone Mail"/>
    <x v="2"/>
    <x v="17"/>
    <x v="34"/>
    <x v="1"/>
    <x v="1"/>
    <m/>
    <n v="188.68944300000001"/>
    <m/>
    <m/>
    <m/>
    <m/>
    <m/>
    <m/>
    <m/>
    <n v="188.68944300000001"/>
    <n v="188.68944300000001"/>
    <m/>
  </r>
  <r>
    <x v="131"/>
    <n v="2022"/>
    <n v="7"/>
    <s v="Aura Domain"/>
    <x v="0"/>
    <x v="18"/>
    <x v="15"/>
    <x v="1"/>
    <x v="3"/>
    <m/>
    <n v="863.03763000000015"/>
    <m/>
    <m/>
    <m/>
    <m/>
    <m/>
    <m/>
    <m/>
    <n v="863.03763000000015"/>
    <n v="863.03763000000015"/>
    <m/>
  </r>
  <r>
    <x v="132"/>
    <n v="2022"/>
    <n v="7"/>
    <s v="June/22 Systems VAT"/>
    <x v="3"/>
    <x v="3"/>
    <x v="3"/>
    <x v="1"/>
    <x v="0"/>
    <m/>
    <n v="8281.7099999999991"/>
    <m/>
    <m/>
    <m/>
    <m/>
    <m/>
    <m/>
    <m/>
    <n v="8281.7099999999991"/>
    <n v="8281.7099999999991"/>
    <m/>
  </r>
  <r>
    <x v="132"/>
    <n v="2022"/>
    <n v="7"/>
    <s v="June/22 Website VAT"/>
    <x v="3"/>
    <x v="3"/>
    <x v="3"/>
    <x v="1"/>
    <x v="3"/>
    <m/>
    <n v="7725.63"/>
    <m/>
    <m/>
    <m/>
    <m/>
    <m/>
    <m/>
    <m/>
    <n v="7725.63"/>
    <n v="7725.63"/>
    <m/>
  </r>
  <r>
    <x v="132"/>
    <n v="2022"/>
    <n v="7"/>
    <s v="Bank VAT Transfer Charge"/>
    <x v="2"/>
    <x v="2"/>
    <x v="24"/>
    <x v="1"/>
    <x v="1"/>
    <m/>
    <n v="171.96"/>
    <m/>
    <m/>
    <m/>
    <m/>
    <m/>
    <m/>
    <m/>
    <n v="171.96"/>
    <n v="171.96"/>
    <m/>
  </r>
  <r>
    <x v="132"/>
    <n v="2022"/>
    <n v="7"/>
    <s v="Thaki Hosting (Cloudflare)"/>
    <x v="0"/>
    <x v="0"/>
    <x v="0"/>
    <x v="10"/>
    <x v="4"/>
    <m/>
    <n v="97.699999999999989"/>
    <m/>
    <m/>
    <m/>
    <m/>
    <m/>
    <m/>
    <m/>
    <n v="97.699999999999989"/>
    <n v="97.699999999999989"/>
    <m/>
  </r>
  <r>
    <x v="133"/>
    <n v="2022"/>
    <n v="7"/>
    <s v="Spoon -50%Downpayment(inv100977)"/>
    <x v="4"/>
    <x v="6"/>
    <x v="17"/>
    <x v="29"/>
    <x v="3"/>
    <m/>
    <m/>
    <m/>
    <m/>
    <m/>
    <m/>
    <m/>
    <n v="-11552.72"/>
    <m/>
    <n v="-11552.72"/>
    <n v="11552.72"/>
    <m/>
  </r>
  <r>
    <x v="133"/>
    <n v="2022"/>
    <n v="7"/>
    <s v="Spoon-50%Downpayment-VAT"/>
    <x v="4"/>
    <x v="6"/>
    <x v="6"/>
    <x v="29"/>
    <x v="3"/>
    <m/>
    <m/>
    <m/>
    <m/>
    <m/>
    <m/>
    <m/>
    <n v="-1617.2800000000002"/>
    <m/>
    <n v="-1617.2800000000002"/>
    <n v="1617.2800000000002"/>
    <m/>
  </r>
  <r>
    <x v="133"/>
    <n v="2022"/>
    <n v="7"/>
    <s v="Cash Deposit Fees Spoon Payment"/>
    <x v="2"/>
    <x v="2"/>
    <x v="17"/>
    <x v="29"/>
    <x v="1"/>
    <m/>
    <m/>
    <m/>
    <m/>
    <m/>
    <m/>
    <m/>
    <n v="5"/>
    <m/>
    <n v="5"/>
    <n v="5"/>
    <m/>
  </r>
  <r>
    <x v="133"/>
    <n v="2022"/>
    <n v="7"/>
    <s v="Tax(ِApr-May-june/21)- ضرائب كسب العمل الفترة الثانية"/>
    <x v="3"/>
    <x v="28"/>
    <x v="17"/>
    <x v="1"/>
    <x v="1"/>
    <m/>
    <m/>
    <m/>
    <m/>
    <m/>
    <m/>
    <m/>
    <n v="28739.040000000001"/>
    <m/>
    <n v="28739.040000000001"/>
    <n v="28739.040000000001"/>
    <m/>
  </r>
  <r>
    <x v="133"/>
    <n v="2022"/>
    <n v="7"/>
    <s v="Bank Tax Transfer Charge"/>
    <x v="2"/>
    <x v="2"/>
    <x v="2"/>
    <x v="1"/>
    <x v="1"/>
    <m/>
    <m/>
    <m/>
    <m/>
    <m/>
    <m/>
    <m/>
    <n v="49.14"/>
    <m/>
    <n v="49.14"/>
    <n v="49.14"/>
    <m/>
  </r>
  <r>
    <x v="133"/>
    <n v="2022"/>
    <n v="7"/>
    <s v="TATA Wise Monkeys Payment (Without Invoice)"/>
    <x v="4"/>
    <x v="17"/>
    <x v="14"/>
    <x v="30"/>
    <x v="6"/>
    <m/>
    <m/>
    <m/>
    <m/>
    <m/>
    <m/>
    <m/>
    <n v="-3650"/>
    <m/>
    <n v="-3650"/>
    <n v="3650"/>
    <m/>
  </r>
  <r>
    <x v="134"/>
    <n v="2022"/>
    <n v="7"/>
    <s v="Aura-demo Hosting(Jul/22)"/>
    <x v="0"/>
    <x v="0"/>
    <x v="15"/>
    <x v="1"/>
    <x v="3"/>
    <m/>
    <n v="335.57875999999999"/>
    <m/>
    <m/>
    <m/>
    <m/>
    <m/>
    <m/>
    <m/>
    <n v="335.57875999999999"/>
    <n v="335.57875999999999"/>
    <m/>
  </r>
  <r>
    <x v="135"/>
    <n v="2022"/>
    <n v="7"/>
    <s v="Min Balance Fees"/>
    <x v="2"/>
    <x v="2"/>
    <x v="2"/>
    <x v="1"/>
    <x v="1"/>
    <m/>
    <m/>
    <m/>
    <m/>
    <m/>
    <m/>
    <m/>
    <n v="25"/>
    <m/>
    <n v="25"/>
    <n v="25"/>
    <m/>
  </r>
  <r>
    <x v="135"/>
    <n v="2022"/>
    <n v="7"/>
    <s v="SAI payment (Smart Website Support - June/22)-inv 100966"/>
    <x v="4"/>
    <x v="19"/>
    <x v="5"/>
    <x v="7"/>
    <x v="3"/>
    <m/>
    <m/>
    <m/>
    <m/>
    <m/>
    <m/>
    <m/>
    <n v="-5369.28"/>
    <m/>
    <n v="-5369.28"/>
    <n v="5369.28"/>
    <m/>
  </r>
  <r>
    <x v="135"/>
    <n v="2022"/>
    <n v="7"/>
    <s v="SAI payment (Smart Website Support -VAT"/>
    <x v="4"/>
    <x v="19"/>
    <x v="6"/>
    <x v="7"/>
    <x v="3"/>
    <m/>
    <m/>
    <m/>
    <m/>
    <m/>
    <m/>
    <m/>
    <n v="-751.69920000000002"/>
    <m/>
    <n v="-751.69920000000002"/>
    <n v="751.69920000000002"/>
    <m/>
  </r>
  <r>
    <x v="135"/>
    <n v="2022"/>
    <n v="7"/>
    <s v="SAI payment (Smart Website Support -Tax Deduction"/>
    <x v="3"/>
    <x v="5"/>
    <x v="5"/>
    <x v="7"/>
    <x v="3"/>
    <m/>
    <m/>
    <m/>
    <m/>
    <m/>
    <m/>
    <m/>
    <n v="161.07839999999999"/>
    <m/>
    <n v="161.07839999999999"/>
    <n v="161.07839999999999"/>
    <m/>
  </r>
  <r>
    <x v="135"/>
    <n v="2022"/>
    <n v="7"/>
    <s v="check Collection Fees Smart Payment"/>
    <x v="2"/>
    <x v="2"/>
    <x v="4"/>
    <x v="7"/>
    <x v="1"/>
    <m/>
    <m/>
    <m/>
    <m/>
    <m/>
    <m/>
    <m/>
    <n v="15"/>
    <m/>
    <n v="15"/>
    <n v="15"/>
    <m/>
  </r>
  <r>
    <x v="135"/>
    <n v="2022"/>
    <n v="7"/>
    <s v="Various Consumables"/>
    <x v="2"/>
    <x v="16"/>
    <x v="18"/>
    <x v="1"/>
    <x v="1"/>
    <m/>
    <m/>
    <m/>
    <m/>
    <m/>
    <m/>
    <m/>
    <m/>
    <n v="1212.5"/>
    <n v="1212.5"/>
    <n v="1212.5"/>
    <m/>
  </r>
  <r>
    <x v="135"/>
    <n v="2022"/>
    <n v="7"/>
    <s v="Ibrahim Transportation"/>
    <x v="2"/>
    <x v="20"/>
    <x v="19"/>
    <x v="1"/>
    <x v="1"/>
    <m/>
    <m/>
    <m/>
    <m/>
    <m/>
    <m/>
    <m/>
    <m/>
    <n v="468.5"/>
    <n v="468.5"/>
    <n v="468.5"/>
    <m/>
  </r>
  <r>
    <x v="136"/>
    <n v="2022"/>
    <n v="8"/>
    <s v="Bank Pays Cash"/>
    <x v="5"/>
    <x v="9"/>
    <x v="10"/>
    <x v="1"/>
    <x v="5"/>
    <m/>
    <m/>
    <m/>
    <m/>
    <m/>
    <m/>
    <m/>
    <n v="1000"/>
    <n v="-1000"/>
    <n v="0"/>
    <n v="0"/>
    <m/>
  </r>
  <r>
    <x v="136"/>
    <n v="2022"/>
    <n v="8"/>
    <s v="Turni Contabo -Aug/22"/>
    <x v="0"/>
    <x v="0"/>
    <x v="0"/>
    <x v="0"/>
    <x v="0"/>
    <m/>
    <n v="1153.6799999999998"/>
    <m/>
    <m/>
    <m/>
    <m/>
    <m/>
    <m/>
    <m/>
    <n v="1153.6799999999998"/>
    <n v="1153.6799999999998"/>
    <m/>
  </r>
  <r>
    <x v="136"/>
    <n v="2022"/>
    <n v="8"/>
    <s v="CloudwaysLTD Mosta MT"/>
    <x v="0"/>
    <x v="0"/>
    <x v="0"/>
    <x v="5"/>
    <x v="3"/>
    <m/>
    <n v="3078.6288"/>
    <m/>
    <m/>
    <m/>
    <m/>
    <m/>
    <m/>
    <m/>
    <n v="3078.6288"/>
    <n v="3078.6288"/>
    <m/>
  </r>
  <r>
    <x v="136"/>
    <n v="2022"/>
    <n v="8"/>
    <s v="CloudwaysLTD Mosta MT-Aug/22"/>
    <x v="0"/>
    <x v="0"/>
    <x v="0"/>
    <x v="7"/>
    <x v="3"/>
    <m/>
    <n v="868.33119999999997"/>
    <m/>
    <m/>
    <m/>
    <m/>
    <m/>
    <m/>
    <m/>
    <n v="868.33119999999997"/>
    <n v="868.33119999999997"/>
    <m/>
  </r>
  <r>
    <x v="136"/>
    <n v="2022"/>
    <n v="8"/>
    <s v="We Internet Recharge "/>
    <x v="2"/>
    <x v="22"/>
    <x v="27"/>
    <x v="1"/>
    <x v="1"/>
    <m/>
    <m/>
    <m/>
    <m/>
    <m/>
    <m/>
    <m/>
    <m/>
    <n v="1000"/>
    <n v="1000"/>
    <n v="1000"/>
    <m/>
  </r>
  <r>
    <x v="136"/>
    <n v="2022"/>
    <n v="8"/>
    <s v="Nodust"/>
    <x v="2"/>
    <x v="16"/>
    <x v="13"/>
    <x v="1"/>
    <x v="1"/>
    <m/>
    <m/>
    <m/>
    <m/>
    <m/>
    <m/>
    <m/>
    <m/>
    <n v="75"/>
    <n v="75"/>
    <n v="75"/>
    <m/>
  </r>
  <r>
    <x v="137"/>
    <n v="2022"/>
    <n v="8"/>
    <s v="Alfa Electronics payment(inv100978)"/>
    <x v="4"/>
    <x v="4"/>
    <x v="5"/>
    <x v="2"/>
    <x v="0"/>
    <m/>
    <m/>
    <m/>
    <m/>
    <m/>
    <m/>
    <m/>
    <n v="-46000"/>
    <m/>
    <n v="-46000"/>
    <n v="46000"/>
    <m/>
  </r>
  <r>
    <x v="137"/>
    <n v="2022"/>
    <n v="8"/>
    <s v="Alfa Electronics payment-VAT"/>
    <x v="4"/>
    <x v="4"/>
    <x v="6"/>
    <x v="2"/>
    <x v="0"/>
    <m/>
    <m/>
    <m/>
    <m/>
    <m/>
    <m/>
    <m/>
    <n v="-6440.0000000000009"/>
    <m/>
    <n v="-6440.0000000000009"/>
    <n v="6440.0000000000009"/>
    <m/>
  </r>
  <r>
    <x v="137"/>
    <n v="2022"/>
    <n v="8"/>
    <s v="Alfa Electronics payment-Tax Deduction"/>
    <x v="3"/>
    <x v="5"/>
    <x v="5"/>
    <x v="2"/>
    <x v="0"/>
    <m/>
    <m/>
    <m/>
    <m/>
    <m/>
    <m/>
    <m/>
    <n v="1380"/>
    <m/>
    <n v="1380"/>
    <n v="1380"/>
    <m/>
  </r>
  <r>
    <x v="137"/>
    <n v="2022"/>
    <n v="8"/>
    <s v="Check Collectoin Fees - Alfa Electronics Payment"/>
    <x v="2"/>
    <x v="2"/>
    <x v="4"/>
    <x v="2"/>
    <x v="1"/>
    <m/>
    <m/>
    <m/>
    <m/>
    <m/>
    <m/>
    <m/>
    <n v="15"/>
    <m/>
    <n v="15"/>
    <n v="15"/>
    <m/>
  </r>
  <r>
    <x v="137"/>
    <n v="2022"/>
    <n v="8"/>
    <s v="A Smart Telecom Payment - inv 100981"/>
    <x v="4"/>
    <x v="24"/>
    <x v="17"/>
    <x v="25"/>
    <x v="3"/>
    <m/>
    <n v="-2678.9900000000002"/>
    <m/>
    <m/>
    <m/>
    <m/>
    <m/>
    <m/>
    <m/>
    <n v="-2678.9900000000002"/>
    <n v="2678.9900000000002"/>
    <m/>
  </r>
  <r>
    <x v="137"/>
    <n v="2022"/>
    <n v="8"/>
    <s v="A Smart Telecom Payment - VAT"/>
    <x v="4"/>
    <x v="24"/>
    <x v="6"/>
    <x v="25"/>
    <x v="3"/>
    <m/>
    <n v="-375.00820000000004"/>
    <m/>
    <m/>
    <m/>
    <m/>
    <m/>
    <m/>
    <m/>
    <n v="-375.00820000000004"/>
    <n v="375.00820000000004"/>
    <m/>
  </r>
  <r>
    <x v="137"/>
    <n v="2022"/>
    <n v="8"/>
    <s v="Software July/22 Payroll"/>
    <x v="7"/>
    <x v="21"/>
    <x v="20"/>
    <x v="1"/>
    <x v="0"/>
    <m/>
    <n v="9000"/>
    <m/>
    <m/>
    <m/>
    <m/>
    <n v="12000"/>
    <n v="57300"/>
    <m/>
    <n v="78300"/>
    <n v="78300"/>
    <m/>
  </r>
  <r>
    <x v="137"/>
    <n v="2022"/>
    <n v="8"/>
    <s v="Mobile  July/22 Payroll"/>
    <x v="7"/>
    <x v="21"/>
    <x v="21"/>
    <x v="1"/>
    <x v="4"/>
    <m/>
    <m/>
    <m/>
    <m/>
    <m/>
    <m/>
    <n v="2000"/>
    <n v="6000"/>
    <m/>
    <n v="8000"/>
    <n v="8000"/>
    <m/>
  </r>
  <r>
    <x v="137"/>
    <n v="2022"/>
    <n v="8"/>
    <s v="General  July/22 Payroll"/>
    <x v="7"/>
    <x v="21"/>
    <x v="22"/>
    <x v="1"/>
    <x v="1"/>
    <m/>
    <n v="18000"/>
    <m/>
    <m/>
    <m/>
    <m/>
    <n v="2700"/>
    <n v="15900"/>
    <m/>
    <n v="36600"/>
    <n v="36600"/>
    <m/>
  </r>
  <r>
    <x v="137"/>
    <n v="2022"/>
    <n v="8"/>
    <s v="Websites July/22 Payroll"/>
    <x v="7"/>
    <x v="21"/>
    <x v="23"/>
    <x v="1"/>
    <x v="3"/>
    <m/>
    <n v="9000"/>
    <m/>
    <m/>
    <m/>
    <m/>
    <m/>
    <n v="14250"/>
    <m/>
    <n v="23250"/>
    <n v="23250"/>
    <m/>
  </r>
  <r>
    <x v="137"/>
    <n v="2022"/>
    <n v="8"/>
    <s v="Bank Pays Samer "/>
    <x v="5"/>
    <x v="9"/>
    <x v="10"/>
    <x v="1"/>
    <x v="5"/>
    <m/>
    <n v="-3000"/>
    <m/>
    <m/>
    <m/>
    <m/>
    <m/>
    <n v="3000"/>
    <m/>
    <n v="0"/>
    <n v="0"/>
    <m/>
  </r>
  <r>
    <x v="137"/>
    <n v="2022"/>
    <n v="8"/>
    <s v="Ibrahim Bonus"/>
    <x v="7"/>
    <x v="21"/>
    <x v="22"/>
    <x v="1"/>
    <x v="1"/>
    <m/>
    <m/>
    <m/>
    <m/>
    <m/>
    <m/>
    <m/>
    <n v="1500"/>
    <m/>
    <n v="1500"/>
    <n v="1500"/>
    <m/>
  </r>
  <r>
    <x v="137"/>
    <n v="2022"/>
    <n v="8"/>
    <s v="Modern Touch Payment - inv 100982"/>
    <x v="4"/>
    <x v="24"/>
    <x v="17"/>
    <x v="21"/>
    <x v="3"/>
    <m/>
    <m/>
    <m/>
    <m/>
    <m/>
    <m/>
    <m/>
    <n v="-2979.9900000000002"/>
    <m/>
    <n v="-2979.9900000000002"/>
    <n v="2979.9900000000002"/>
    <m/>
  </r>
  <r>
    <x v="137"/>
    <n v="2022"/>
    <n v="8"/>
    <s v="Modern Touch Payment - VAT"/>
    <x v="4"/>
    <x v="24"/>
    <x v="6"/>
    <x v="21"/>
    <x v="3"/>
    <m/>
    <m/>
    <m/>
    <m/>
    <m/>
    <m/>
    <m/>
    <n v="-375.00820000000004"/>
    <m/>
    <n v="-375.00820000000004"/>
    <n v="375.00820000000004"/>
    <m/>
  </r>
  <r>
    <x v="137"/>
    <n v="2022"/>
    <n v="8"/>
    <s v="Samer Pays Margins"/>
    <x v="5"/>
    <x v="9"/>
    <x v="7"/>
    <x v="1"/>
    <x v="5"/>
    <m/>
    <n v="200"/>
    <m/>
    <m/>
    <m/>
    <m/>
    <m/>
    <m/>
    <n v="-200"/>
    <n v="0"/>
    <n v="0"/>
    <m/>
  </r>
  <r>
    <x v="137"/>
    <n v="2022"/>
    <n v="8"/>
    <s v="SonarCloud "/>
    <x v="2"/>
    <x v="10"/>
    <x v="8"/>
    <x v="1"/>
    <x v="0"/>
    <m/>
    <n v="202.45000000000002"/>
    <m/>
    <m/>
    <m/>
    <m/>
    <m/>
    <m/>
    <m/>
    <n v="202.45000000000002"/>
    <n v="202.45000000000002"/>
    <m/>
  </r>
  <r>
    <x v="138"/>
    <n v="2022"/>
    <n v="8"/>
    <s v="Samer Pays Margins"/>
    <x v="5"/>
    <x v="9"/>
    <x v="7"/>
    <x v="1"/>
    <x v="5"/>
    <m/>
    <n v="350"/>
    <m/>
    <m/>
    <m/>
    <m/>
    <m/>
    <m/>
    <n v="-350"/>
    <n v="0"/>
    <n v="0"/>
    <m/>
  </r>
  <r>
    <x v="138"/>
    <n v="2022"/>
    <n v="8"/>
    <s v="Doorman Monthly salary (Aug/22)"/>
    <x v="2"/>
    <x v="8"/>
    <x v="1"/>
    <x v="1"/>
    <x v="1"/>
    <m/>
    <m/>
    <m/>
    <m/>
    <m/>
    <m/>
    <m/>
    <m/>
    <n v="350"/>
    <n v="350"/>
    <n v="350"/>
    <m/>
  </r>
  <r>
    <x v="138"/>
    <n v="2022"/>
    <n v="8"/>
    <s v="Cheers payment July- (inv100979)"/>
    <x v="4"/>
    <x v="19"/>
    <x v="5"/>
    <x v="20"/>
    <x v="3"/>
    <m/>
    <m/>
    <m/>
    <m/>
    <m/>
    <m/>
    <m/>
    <n v="-2000"/>
    <m/>
    <n v="-2000"/>
    <n v="2000"/>
    <m/>
  </r>
  <r>
    <x v="138"/>
    <n v="2022"/>
    <n v="8"/>
    <s v="Cheers payment -VAT"/>
    <x v="4"/>
    <x v="19"/>
    <x v="6"/>
    <x v="20"/>
    <x v="3"/>
    <m/>
    <m/>
    <m/>
    <m/>
    <m/>
    <m/>
    <m/>
    <n v="-280"/>
    <m/>
    <n v="-280"/>
    <n v="280"/>
    <m/>
  </r>
  <r>
    <x v="138"/>
    <n v="2022"/>
    <n v="8"/>
    <s v="Cheers payment -Tax Deduction"/>
    <x v="3"/>
    <x v="5"/>
    <x v="5"/>
    <x v="20"/>
    <x v="3"/>
    <m/>
    <m/>
    <m/>
    <m/>
    <m/>
    <m/>
    <m/>
    <n v="60"/>
    <m/>
    <n v="60"/>
    <n v="60"/>
    <m/>
  </r>
  <r>
    <x v="138"/>
    <n v="2022"/>
    <n v="8"/>
    <s v="Check Collection Fees Cheers Payment"/>
    <x v="2"/>
    <x v="2"/>
    <x v="4"/>
    <x v="20"/>
    <x v="1"/>
    <m/>
    <m/>
    <m/>
    <m/>
    <m/>
    <m/>
    <m/>
    <n v="15"/>
    <m/>
    <n v="15"/>
    <n v="15"/>
    <m/>
  </r>
  <r>
    <x v="139"/>
    <n v="2022"/>
    <n v="8"/>
    <s v="HawkHost 1 FERGUS CA"/>
    <x v="0"/>
    <x v="0"/>
    <x v="0"/>
    <x v="5"/>
    <x v="3"/>
    <m/>
    <n v="2128.9891452000002"/>
    <m/>
    <m/>
    <m/>
    <m/>
    <m/>
    <m/>
    <m/>
    <n v="2128.9891452000002"/>
    <n v="2128.9891452000002"/>
    <m/>
  </r>
  <r>
    <x v="140"/>
    <n v="2022"/>
    <n v="8"/>
    <s v="Safe Kids Down Payment 50% (inv 100980)"/>
    <x v="4"/>
    <x v="6"/>
    <x v="5"/>
    <x v="22"/>
    <x v="3"/>
    <m/>
    <m/>
    <m/>
    <m/>
    <m/>
    <m/>
    <n v="-15144.05"/>
    <m/>
    <m/>
    <n v="-15144.05"/>
    <n v="15144.05"/>
    <m/>
  </r>
  <r>
    <x v="140"/>
    <n v="2022"/>
    <n v="8"/>
    <s v="Safe Kids Down Payment - VAT"/>
    <x v="4"/>
    <x v="6"/>
    <x v="6"/>
    <x v="22"/>
    <x v="3"/>
    <m/>
    <m/>
    <m/>
    <m/>
    <m/>
    <m/>
    <n v="-2120.3000000000002"/>
    <m/>
    <m/>
    <n v="-2120.3000000000002"/>
    <n v="2120.3000000000002"/>
    <m/>
  </r>
  <r>
    <x v="140"/>
    <n v="2022"/>
    <n v="8"/>
    <s v="Safe Kids Down Payment - Tax Deduction"/>
    <x v="3"/>
    <x v="5"/>
    <x v="5"/>
    <x v="22"/>
    <x v="3"/>
    <m/>
    <m/>
    <m/>
    <m/>
    <m/>
    <m/>
    <n v="454.34999999999997"/>
    <m/>
    <m/>
    <n v="454.34999999999997"/>
    <n v="454.34999999999997"/>
    <m/>
  </r>
  <r>
    <x v="140"/>
    <n v="2022"/>
    <n v="8"/>
    <s v="Bank Pays Cash"/>
    <x v="5"/>
    <x v="9"/>
    <x v="10"/>
    <x v="1"/>
    <x v="5"/>
    <m/>
    <m/>
    <m/>
    <m/>
    <m/>
    <m/>
    <m/>
    <n v="1000"/>
    <n v="-1000"/>
    <n v="0"/>
    <n v="0"/>
    <m/>
  </r>
  <r>
    <x v="140"/>
    <n v="2022"/>
    <n v="8"/>
    <s v="Rent (Aug/22)"/>
    <x v="2"/>
    <x v="12"/>
    <x v="1"/>
    <x v="1"/>
    <x v="1"/>
    <m/>
    <m/>
    <m/>
    <m/>
    <m/>
    <m/>
    <m/>
    <n v="14641"/>
    <m/>
    <n v="14641"/>
    <n v="14641"/>
    <m/>
  </r>
  <r>
    <x v="140"/>
    <n v="2022"/>
    <n v="8"/>
    <s v="Rent (Aug/22)"/>
    <x v="2"/>
    <x v="12"/>
    <x v="1"/>
    <x v="1"/>
    <x v="1"/>
    <m/>
    <m/>
    <m/>
    <m/>
    <m/>
    <m/>
    <m/>
    <n v="44.28"/>
    <m/>
    <n v="44.28"/>
    <n v="44.28"/>
    <m/>
  </r>
  <r>
    <x v="141"/>
    <n v="2022"/>
    <n v="8"/>
    <s v="Cash Pays Samer"/>
    <x v="5"/>
    <x v="9"/>
    <x v="7"/>
    <x v="1"/>
    <x v="5"/>
    <m/>
    <n v="-110"/>
    <m/>
    <m/>
    <m/>
    <m/>
    <n v="110"/>
    <m/>
    <m/>
    <n v="0"/>
    <n v="0"/>
    <m/>
  </r>
  <r>
    <x v="141"/>
    <n v="2022"/>
    <n v="8"/>
    <s v="Iscore payment الشركة المصرية للاستعلام الائتماني (inv100976)"/>
    <x v="4"/>
    <x v="19"/>
    <x v="17"/>
    <x v="13"/>
    <x v="0"/>
    <m/>
    <m/>
    <m/>
    <m/>
    <m/>
    <m/>
    <m/>
    <n v="-16839.210600000002"/>
    <m/>
    <n v="-16839.210600000002"/>
    <n v="16839.210600000002"/>
    <m/>
  </r>
  <r>
    <x v="141"/>
    <n v="2022"/>
    <n v="8"/>
    <s v="Iscore payment الشركة المصرية للاستعلام الائتماني-VAT"/>
    <x v="4"/>
    <x v="19"/>
    <x v="6"/>
    <x v="13"/>
    <x v="0"/>
    <m/>
    <m/>
    <m/>
    <m/>
    <m/>
    <m/>
    <m/>
    <n v="-2357.4894840000002"/>
    <m/>
    <n v="-2357.4894840000002"/>
    <n v="2357.4894840000002"/>
    <m/>
  </r>
  <r>
    <x v="141"/>
    <n v="2022"/>
    <n v="8"/>
    <s v="Iscore payment الشركة المصرية للاستعلام الائتماني- Tax Deduction"/>
    <x v="3"/>
    <x v="5"/>
    <x v="17"/>
    <x v="13"/>
    <x v="0"/>
    <m/>
    <m/>
    <m/>
    <m/>
    <m/>
    <m/>
    <m/>
    <n v="505.17631800000004"/>
    <m/>
    <n v="505.17631800000004"/>
    <n v="505.17631800000004"/>
    <m/>
  </r>
  <r>
    <x v="141"/>
    <n v="2022"/>
    <n v="8"/>
    <s v="Iscore payment الشركة المصرية للاستعلام الائتماني-difference inv100965"/>
    <x v="4"/>
    <x v="19"/>
    <x v="17"/>
    <x v="13"/>
    <x v="0"/>
    <m/>
    <m/>
    <m/>
    <m/>
    <m/>
    <m/>
    <m/>
    <n v="-237.73"/>
    <m/>
    <n v="-237.73"/>
    <n v="237.73"/>
    <m/>
  </r>
  <r>
    <x v="141"/>
    <n v="2022"/>
    <n v="8"/>
    <s v="Cash Deposit Fees Iscore Payment"/>
    <x v="2"/>
    <x v="2"/>
    <x v="17"/>
    <x v="13"/>
    <x v="1"/>
    <m/>
    <m/>
    <m/>
    <m/>
    <m/>
    <m/>
    <m/>
    <n v="5"/>
    <m/>
    <n v="5"/>
    <n v="5"/>
    <m/>
  </r>
  <r>
    <x v="142"/>
    <n v="2022"/>
    <n v="8"/>
    <s v="HawkHost Shopping CA"/>
    <x v="0"/>
    <x v="0"/>
    <x v="0"/>
    <x v="5"/>
    <x v="3"/>
    <m/>
    <n v="2128.9891452000002"/>
    <m/>
    <m/>
    <m/>
    <m/>
    <m/>
    <m/>
    <m/>
    <n v="2128.9891452000002"/>
    <n v="2128.9891452000002"/>
    <m/>
  </r>
  <r>
    <x v="143"/>
    <n v="2022"/>
    <n v="8"/>
    <s v="Atlassian-Jira(Aug/22)"/>
    <x v="2"/>
    <x v="10"/>
    <x v="8"/>
    <x v="1"/>
    <x v="0"/>
    <m/>
    <m/>
    <m/>
    <m/>
    <m/>
    <m/>
    <m/>
    <m/>
    <m/>
    <n v="0"/>
    <n v="0"/>
    <m/>
  </r>
  <r>
    <x v="144"/>
    <n v="2022"/>
    <n v="8"/>
    <s v="Adobe Creative - Cloud Dublin lE -Aug/22"/>
    <x v="6"/>
    <x v="17"/>
    <x v="14"/>
    <x v="19"/>
    <x v="6"/>
    <m/>
    <n v="513.97"/>
    <m/>
    <m/>
    <m/>
    <m/>
    <m/>
    <m/>
    <m/>
    <n v="513.97"/>
    <n v="513.97"/>
    <m/>
  </r>
  <r>
    <x v="145"/>
    <n v="2022"/>
    <n v="8"/>
    <s v="LinkedIn Premium - Aug/22"/>
    <x v="0"/>
    <x v="15"/>
    <x v="12"/>
    <x v="1"/>
    <x v="2"/>
    <m/>
    <n v="246.17000000000002"/>
    <m/>
    <m/>
    <m/>
    <m/>
    <m/>
    <m/>
    <m/>
    <n v="246.17000000000002"/>
    <n v="246.17000000000002"/>
    <m/>
  </r>
  <r>
    <x v="145"/>
    <n v="2022"/>
    <n v="8"/>
    <s v="Charges CBX Package"/>
    <x v="2"/>
    <x v="2"/>
    <x v="2"/>
    <x v="1"/>
    <x v="1"/>
    <m/>
    <m/>
    <m/>
    <m/>
    <m/>
    <m/>
    <m/>
    <n v="100"/>
    <m/>
    <n v="100"/>
    <n v="100"/>
    <m/>
  </r>
  <r>
    <x v="146"/>
    <n v="2022"/>
    <n v="8"/>
    <s v="SAI payment (Smart Website Support - July/22)-inv 100975"/>
    <x v="4"/>
    <x v="19"/>
    <x v="5"/>
    <x v="7"/>
    <x v="3"/>
    <m/>
    <m/>
    <m/>
    <m/>
    <m/>
    <m/>
    <m/>
    <n v="-6869.28"/>
    <m/>
    <n v="-6869.28"/>
    <n v="6869.28"/>
    <m/>
  </r>
  <r>
    <x v="146"/>
    <n v="2022"/>
    <n v="8"/>
    <s v="SAI payment (Smart Website Support -VAT"/>
    <x v="4"/>
    <x v="19"/>
    <x v="6"/>
    <x v="7"/>
    <x v="3"/>
    <m/>
    <m/>
    <m/>
    <m/>
    <m/>
    <m/>
    <m/>
    <n v="-961.69920000000002"/>
    <m/>
    <n v="-961.69920000000002"/>
    <n v="961.69920000000002"/>
    <m/>
  </r>
  <r>
    <x v="146"/>
    <n v="2022"/>
    <n v="8"/>
    <s v="SAI payment (Smart Website Support -Tax Deduction"/>
    <x v="3"/>
    <x v="5"/>
    <x v="5"/>
    <x v="7"/>
    <x v="3"/>
    <m/>
    <m/>
    <m/>
    <m/>
    <m/>
    <m/>
    <m/>
    <n v="412.14679999999998"/>
    <m/>
    <n v="412.14679999999998"/>
    <n v="412.14679999999998"/>
    <m/>
  </r>
  <r>
    <x v="146"/>
    <n v="2022"/>
    <n v="8"/>
    <s v="check Collection Fees Smart Payment"/>
    <x v="2"/>
    <x v="2"/>
    <x v="4"/>
    <x v="7"/>
    <x v="1"/>
    <m/>
    <m/>
    <m/>
    <m/>
    <m/>
    <m/>
    <m/>
    <n v="15"/>
    <m/>
    <n v="15"/>
    <n v="15"/>
    <m/>
  </r>
  <r>
    <x v="147"/>
    <n v="2022"/>
    <n v="8"/>
    <s v="Atlassian-Jira(Aug/22)-Bitbucket"/>
    <x v="2"/>
    <x v="10"/>
    <x v="8"/>
    <x v="1"/>
    <x v="0"/>
    <m/>
    <m/>
    <m/>
    <m/>
    <m/>
    <m/>
    <m/>
    <m/>
    <m/>
    <n v="0"/>
    <n v="0"/>
    <m/>
  </r>
  <r>
    <x v="147"/>
    <n v="2022"/>
    <n v="8"/>
    <s v="Bank Fees"/>
    <x v="2"/>
    <x v="2"/>
    <x v="2"/>
    <x v="1"/>
    <x v="1"/>
    <m/>
    <m/>
    <m/>
    <m/>
    <m/>
    <m/>
    <m/>
    <n v="80"/>
    <m/>
    <n v="80"/>
    <n v="80"/>
    <m/>
  </r>
  <r>
    <x v="148"/>
    <n v="2022"/>
    <n v="8"/>
    <s v="Safe Kids Down Payment (inv 100986)"/>
    <x v="4"/>
    <x v="6"/>
    <x v="5"/>
    <x v="22"/>
    <x v="3"/>
    <m/>
    <m/>
    <m/>
    <m/>
    <m/>
    <m/>
    <n v="-3922.53"/>
    <m/>
    <m/>
    <n v="-3922.53"/>
    <n v="3922.53"/>
    <m/>
  </r>
  <r>
    <x v="148"/>
    <n v="2022"/>
    <n v="8"/>
    <s v="Safe Kids Down Payment - VAT"/>
    <x v="4"/>
    <x v="6"/>
    <x v="6"/>
    <x v="22"/>
    <x v="3"/>
    <m/>
    <m/>
    <m/>
    <m/>
    <m/>
    <m/>
    <n v="-549.1472"/>
    <m/>
    <m/>
    <n v="-549.1472"/>
    <n v="549.1472"/>
    <m/>
  </r>
  <r>
    <x v="148"/>
    <n v="2022"/>
    <n v="8"/>
    <s v="Safe Kids Down Payment - Tax Deduction"/>
    <x v="3"/>
    <x v="5"/>
    <x v="5"/>
    <x v="22"/>
    <x v="3"/>
    <m/>
    <m/>
    <m/>
    <m/>
    <m/>
    <m/>
    <n v="117.67439999999999"/>
    <m/>
    <m/>
    <n v="117.67439999999999"/>
    <n v="117.67439999999999"/>
    <m/>
  </r>
  <r>
    <x v="148"/>
    <n v="2022"/>
    <n v="8"/>
    <s v="Cash Pays Samer"/>
    <x v="5"/>
    <x v="9"/>
    <x v="7"/>
    <x v="1"/>
    <x v="5"/>
    <m/>
    <n v="-2550"/>
    <m/>
    <m/>
    <m/>
    <m/>
    <n v="2550"/>
    <m/>
    <m/>
    <n v="0"/>
    <n v="0"/>
    <m/>
  </r>
  <r>
    <x v="148"/>
    <n v="2022"/>
    <n v="8"/>
    <s v="Plugins"/>
    <x v="0"/>
    <x v="27"/>
    <x v="31"/>
    <x v="22"/>
    <x v="3"/>
    <m/>
    <n v="3116.471"/>
    <m/>
    <m/>
    <m/>
    <m/>
    <m/>
    <m/>
    <m/>
    <n v="3116.471"/>
    <n v="3116.471"/>
    <m/>
  </r>
  <r>
    <x v="148"/>
    <n v="2022"/>
    <n v="8"/>
    <s v="Building Maintenance"/>
    <x v="2"/>
    <x v="14"/>
    <x v="1"/>
    <x v="1"/>
    <x v="1"/>
    <m/>
    <m/>
    <m/>
    <m/>
    <m/>
    <m/>
    <n v="1800"/>
    <m/>
    <m/>
    <n v="1800"/>
    <n v="1800"/>
    <m/>
  </r>
  <r>
    <x v="148"/>
    <n v="2022"/>
    <n v="8"/>
    <s v="Cash Pays Margins"/>
    <x v="5"/>
    <x v="9"/>
    <x v="7"/>
    <x v="1"/>
    <x v="5"/>
    <m/>
    <m/>
    <m/>
    <m/>
    <m/>
    <m/>
    <n v="4"/>
    <m/>
    <n v="-4"/>
    <n v="0"/>
    <n v="0"/>
    <m/>
  </r>
  <r>
    <x v="149"/>
    <n v="2022"/>
    <n v="8"/>
    <s v="Turni Benefit Hosting(Aug/22)-Hetzner"/>
    <x v="0"/>
    <x v="0"/>
    <x v="0"/>
    <x v="0"/>
    <x v="0"/>
    <m/>
    <n v="1680.25947"/>
    <m/>
    <m/>
    <m/>
    <m/>
    <m/>
    <m/>
    <m/>
    <n v="1680.25947"/>
    <n v="1680.25947"/>
    <m/>
  </r>
  <r>
    <x v="150"/>
    <n v="2022"/>
    <n v="8"/>
    <s v="Samer Pays Margins"/>
    <x v="5"/>
    <x v="9"/>
    <x v="7"/>
    <x v="1"/>
    <x v="5"/>
    <m/>
    <n v="782.48"/>
    <m/>
    <m/>
    <m/>
    <m/>
    <m/>
    <m/>
    <n v="-782.84"/>
    <n v="-0.36000000000001364"/>
    <n v="0.36000000000001364"/>
    <m/>
  </r>
  <r>
    <x v="150"/>
    <n v="2022"/>
    <n v="8"/>
    <s v="Various Consumables-Breadfast"/>
    <x v="2"/>
    <x v="16"/>
    <x v="18"/>
    <x v="1"/>
    <x v="1"/>
    <m/>
    <m/>
    <m/>
    <m/>
    <m/>
    <m/>
    <m/>
    <m/>
    <n v="782.84"/>
    <n v="782.84"/>
    <n v="782.84"/>
    <m/>
  </r>
  <r>
    <x v="150"/>
    <n v="2022"/>
    <n v="8"/>
    <s v="Samer Pays Margins"/>
    <x v="5"/>
    <x v="9"/>
    <x v="7"/>
    <x v="1"/>
    <x v="5"/>
    <m/>
    <n v="100"/>
    <m/>
    <m/>
    <m/>
    <m/>
    <m/>
    <m/>
    <n v="-100"/>
    <n v="0"/>
    <n v="0"/>
    <m/>
  </r>
  <r>
    <x v="150"/>
    <n v="2022"/>
    <n v="8"/>
    <s v="Aura Domain"/>
    <x v="0"/>
    <x v="18"/>
    <x v="15"/>
    <x v="1"/>
    <x v="3"/>
    <m/>
    <m/>
    <m/>
    <m/>
    <m/>
    <m/>
    <m/>
    <n v="797.69"/>
    <m/>
    <n v="797.69"/>
    <n v="797.69"/>
    <m/>
  </r>
  <r>
    <x v="150"/>
    <n v="2022"/>
    <n v="8"/>
    <s v="Nodust"/>
    <x v="2"/>
    <x v="16"/>
    <x v="13"/>
    <x v="1"/>
    <x v="1"/>
    <m/>
    <m/>
    <m/>
    <m/>
    <m/>
    <m/>
    <m/>
    <m/>
    <n v="75"/>
    <n v="75"/>
    <n v="75"/>
    <m/>
  </r>
  <r>
    <x v="151"/>
    <n v="2022"/>
    <n v="8"/>
    <s v="Zoom Subscription(Aug/22)"/>
    <x v="2"/>
    <x v="10"/>
    <x v="8"/>
    <x v="1"/>
    <x v="1"/>
    <m/>
    <n v="585.77922000000001"/>
    <m/>
    <m/>
    <m/>
    <m/>
    <m/>
    <m/>
    <m/>
    <n v="585.77922000000001"/>
    <n v="585.77922000000001"/>
    <m/>
  </r>
  <r>
    <x v="152"/>
    <n v="2022"/>
    <n v="8"/>
    <s v="Thaki Hosting (Cloudflare)"/>
    <x v="0"/>
    <x v="0"/>
    <x v="0"/>
    <x v="10"/>
    <x v="4"/>
    <m/>
    <n v="97.699999999999989"/>
    <m/>
    <m/>
    <m/>
    <m/>
    <m/>
    <m/>
    <m/>
    <n v="97.699999999999989"/>
    <n v="97.699999999999989"/>
    <m/>
  </r>
  <r>
    <x v="153"/>
    <n v="2022"/>
    <n v="8"/>
    <s v="We Internet Recharge "/>
    <x v="2"/>
    <x v="22"/>
    <x v="27"/>
    <x v="1"/>
    <x v="1"/>
    <m/>
    <m/>
    <m/>
    <m/>
    <m/>
    <m/>
    <m/>
    <n v="229.27"/>
    <m/>
    <n v="229.27"/>
    <n v="229.27"/>
    <m/>
  </r>
  <r>
    <x v="153"/>
    <n v="2022"/>
    <n v="8"/>
    <s v="We Internet Recharge "/>
    <x v="2"/>
    <x v="22"/>
    <x v="27"/>
    <x v="1"/>
    <x v="1"/>
    <m/>
    <m/>
    <m/>
    <m/>
    <m/>
    <m/>
    <m/>
    <n v="888"/>
    <m/>
    <n v="888"/>
    <n v="888"/>
    <m/>
  </r>
  <r>
    <x v="153"/>
    <n v="2022"/>
    <n v="8"/>
    <s v="EEP Website 40% Downpaymentجيمس ايجيبت للخدمات التعليمية (inv100984)"/>
    <x v="4"/>
    <x v="6"/>
    <x v="17"/>
    <x v="31"/>
    <x v="3"/>
    <m/>
    <m/>
    <m/>
    <m/>
    <m/>
    <m/>
    <m/>
    <n v="-13716.8"/>
    <m/>
    <n v="-13716.8"/>
    <n v="13716.8"/>
    <m/>
  </r>
  <r>
    <x v="153"/>
    <n v="2022"/>
    <n v="8"/>
    <s v="EEP Website 40% Downpaymentجيمس ايجيبت للخدمات التعليمية -VAT"/>
    <x v="4"/>
    <x v="6"/>
    <x v="6"/>
    <x v="31"/>
    <x v="3"/>
    <m/>
    <m/>
    <m/>
    <m/>
    <m/>
    <m/>
    <m/>
    <n v="-1920.3520000000001"/>
    <m/>
    <n v="-1920.3520000000001"/>
    <n v="1920.3520000000001"/>
    <m/>
  </r>
  <r>
    <x v="153"/>
    <n v="2022"/>
    <n v="8"/>
    <s v="EEP Website40% Downpaymentجيمس ايجيبت للخدمات التعليمية -Tax Deduction"/>
    <x v="3"/>
    <x v="5"/>
    <x v="17"/>
    <x v="31"/>
    <x v="3"/>
    <m/>
    <m/>
    <m/>
    <m/>
    <m/>
    <m/>
    <m/>
    <n v="411.50399999999996"/>
    <m/>
    <n v="411.50399999999996"/>
    <n v="411.50399999999996"/>
    <m/>
  </r>
  <r>
    <x v="153"/>
    <n v="2022"/>
    <n v="8"/>
    <s v="Cash Deposit Fees جيمس Payment"/>
    <x v="2"/>
    <x v="2"/>
    <x v="17"/>
    <x v="31"/>
    <x v="1"/>
    <m/>
    <m/>
    <m/>
    <m/>
    <m/>
    <m/>
    <m/>
    <n v="5"/>
    <m/>
    <n v="5"/>
    <n v="5"/>
    <m/>
  </r>
  <r>
    <x v="153"/>
    <n v="2022"/>
    <n v="8"/>
    <s v="Frion for air conditioner"/>
    <x v="2"/>
    <x v="8"/>
    <x v="1"/>
    <x v="1"/>
    <x v="1"/>
    <m/>
    <m/>
    <m/>
    <m/>
    <m/>
    <m/>
    <m/>
    <m/>
    <n v="650"/>
    <n v="650"/>
    <n v="650"/>
    <m/>
  </r>
  <r>
    <x v="154"/>
    <n v="2022"/>
    <n v="8"/>
    <s v="Bank Pays Margins"/>
    <x v="5"/>
    <x v="9"/>
    <x v="10"/>
    <x v="1"/>
    <x v="5"/>
    <m/>
    <m/>
    <m/>
    <m/>
    <m/>
    <m/>
    <m/>
    <n v="1500"/>
    <n v="-1500"/>
    <n v="0"/>
    <n v="0"/>
    <m/>
  </r>
  <r>
    <x v="154"/>
    <n v="2022"/>
    <n v="8"/>
    <s v="Aura-demo Hosting(Aug/22)"/>
    <x v="0"/>
    <x v="0"/>
    <x v="15"/>
    <x v="1"/>
    <x v="3"/>
    <m/>
    <m/>
    <m/>
    <m/>
    <m/>
    <m/>
    <m/>
    <m/>
    <m/>
    <n v="0"/>
    <n v="0"/>
    <n v="382.73"/>
  </r>
  <r>
    <x v="154"/>
    <n v="2022"/>
    <n v="8"/>
    <s v="Presence Payment-inv(100988)"/>
    <x v="4"/>
    <x v="6"/>
    <x v="17"/>
    <x v="15"/>
    <x v="3"/>
    <m/>
    <m/>
    <m/>
    <m/>
    <m/>
    <m/>
    <m/>
    <n v="-450"/>
    <m/>
    <n v="-450"/>
    <n v="450"/>
    <m/>
  </r>
  <r>
    <x v="154"/>
    <n v="2022"/>
    <n v="8"/>
    <s v="Presence Payment-VAT"/>
    <x v="4"/>
    <x v="6"/>
    <x v="6"/>
    <x v="15"/>
    <x v="3"/>
    <m/>
    <m/>
    <m/>
    <m/>
    <m/>
    <m/>
    <m/>
    <n v="-63.000000000000007"/>
    <m/>
    <n v="-63.000000000000007"/>
    <n v="63.000000000000007"/>
    <m/>
  </r>
  <r>
    <x v="154"/>
    <n v="2022"/>
    <n v="8"/>
    <s v="Spoon -30% second Payment(inv100990)"/>
    <x v="4"/>
    <x v="6"/>
    <x v="17"/>
    <x v="29"/>
    <x v="3"/>
    <m/>
    <m/>
    <m/>
    <m/>
    <m/>
    <m/>
    <m/>
    <n v="-6931.63"/>
    <m/>
    <n v="-6931.63"/>
    <n v="6931.63"/>
    <m/>
  </r>
  <r>
    <x v="154"/>
    <n v="2022"/>
    <n v="8"/>
    <s v="Spoon-30% second Payment-VAT"/>
    <x v="4"/>
    <x v="6"/>
    <x v="6"/>
    <x v="29"/>
    <x v="3"/>
    <m/>
    <m/>
    <m/>
    <m/>
    <m/>
    <m/>
    <m/>
    <n v="-970.36800000000005"/>
    <m/>
    <n v="-970.36800000000005"/>
    <n v="970.36800000000005"/>
    <m/>
  </r>
  <r>
    <x v="154"/>
    <n v="2022"/>
    <n v="8"/>
    <s v="Cash Deposit Fees Spoon Payment"/>
    <x v="2"/>
    <x v="2"/>
    <x v="17"/>
    <x v="29"/>
    <x v="1"/>
    <m/>
    <m/>
    <m/>
    <m/>
    <m/>
    <m/>
    <m/>
    <n v="5"/>
    <m/>
    <n v="5"/>
    <n v="5"/>
    <m/>
  </r>
  <r>
    <x v="154"/>
    <n v="2022"/>
    <n v="8"/>
    <s v="Alfa Electronics payment(inv100987)"/>
    <x v="4"/>
    <x v="4"/>
    <x v="5"/>
    <x v="2"/>
    <x v="0"/>
    <m/>
    <m/>
    <m/>
    <m/>
    <m/>
    <m/>
    <n v="-46000"/>
    <m/>
    <m/>
    <n v="-46000"/>
    <n v="46000"/>
    <m/>
  </r>
  <r>
    <x v="154"/>
    <n v="2022"/>
    <n v="8"/>
    <s v="Alfa Electronics payment-VAT"/>
    <x v="4"/>
    <x v="4"/>
    <x v="6"/>
    <x v="2"/>
    <x v="0"/>
    <m/>
    <m/>
    <m/>
    <m/>
    <m/>
    <m/>
    <n v="-6440.0000000000009"/>
    <m/>
    <m/>
    <n v="-6440.0000000000009"/>
    <n v="6440.0000000000009"/>
    <m/>
  </r>
  <r>
    <x v="154"/>
    <n v="2022"/>
    <n v="8"/>
    <s v="Alfa Electronics payment-Tax Deduction"/>
    <x v="3"/>
    <x v="5"/>
    <x v="5"/>
    <x v="2"/>
    <x v="0"/>
    <m/>
    <m/>
    <m/>
    <m/>
    <m/>
    <m/>
    <n v="1380"/>
    <m/>
    <m/>
    <n v="1380"/>
    <n v="1380"/>
    <m/>
  </r>
  <r>
    <x v="154"/>
    <n v="2022"/>
    <n v="8"/>
    <s v="loan "/>
    <x v="5"/>
    <x v="9"/>
    <x v="5"/>
    <x v="1"/>
    <x v="5"/>
    <m/>
    <m/>
    <m/>
    <m/>
    <n v="60000"/>
    <m/>
    <n v="-60000"/>
    <m/>
    <m/>
    <n v="0"/>
    <n v="0"/>
    <m/>
  </r>
  <r>
    <x v="154"/>
    <n v="2022"/>
    <n v="8"/>
    <s v="Cash Pays Bank&amp;Samer"/>
    <x v="5"/>
    <x v="9"/>
    <x v="7"/>
    <x v="1"/>
    <x v="5"/>
    <m/>
    <n v="-10000"/>
    <m/>
    <m/>
    <m/>
    <m/>
    <n v="111060"/>
    <n v="-101060"/>
    <m/>
    <n v="0"/>
    <n v="0"/>
    <m/>
  </r>
  <r>
    <x v="154"/>
    <n v="2022"/>
    <n v="8"/>
    <s v="July/22 Systems VAT"/>
    <x v="3"/>
    <x v="3"/>
    <x v="3"/>
    <x v="1"/>
    <x v="0"/>
    <m/>
    <m/>
    <m/>
    <m/>
    <m/>
    <m/>
    <m/>
    <n v="8797.6999999999989"/>
    <m/>
    <n v="8797.6999999999989"/>
    <n v="8797.6999999999989"/>
    <m/>
  </r>
  <r>
    <x v="154"/>
    <n v="2022"/>
    <n v="8"/>
    <s v="July/22 Website VAT"/>
    <x v="3"/>
    <x v="3"/>
    <x v="3"/>
    <x v="1"/>
    <x v="3"/>
    <m/>
    <m/>
    <m/>
    <m/>
    <m/>
    <m/>
    <m/>
    <n v="6695.3"/>
    <m/>
    <n v="6695.3"/>
    <n v="6695.3"/>
    <m/>
  </r>
  <r>
    <x v="154"/>
    <n v="2022"/>
    <n v="8"/>
    <s v="Bank VAT Transfer Charge"/>
    <x v="2"/>
    <x v="2"/>
    <x v="24"/>
    <x v="1"/>
    <x v="1"/>
    <m/>
    <m/>
    <m/>
    <m/>
    <m/>
    <m/>
    <m/>
    <n v="165.78000000000065"/>
    <m/>
    <n v="165.78000000000065"/>
    <n v="165.78000000000065"/>
    <m/>
  </r>
  <r>
    <x v="155"/>
    <n v="2022"/>
    <n v="8"/>
    <s v="SAI payment (Smart Website Support - Aug/22)-inv 100983"/>
    <x v="4"/>
    <x v="19"/>
    <x v="5"/>
    <x v="7"/>
    <x v="3"/>
    <m/>
    <m/>
    <m/>
    <m/>
    <m/>
    <m/>
    <m/>
    <n v="-6182.79"/>
    <m/>
    <n v="-6182.79"/>
    <n v="6182.79"/>
    <m/>
  </r>
  <r>
    <x v="155"/>
    <n v="2022"/>
    <n v="8"/>
    <s v="SAI payment (Smart Website Support -VAT"/>
    <x v="4"/>
    <x v="19"/>
    <x v="6"/>
    <x v="7"/>
    <x v="3"/>
    <m/>
    <m/>
    <m/>
    <m/>
    <m/>
    <m/>
    <m/>
    <n v="-865.59060000000011"/>
    <m/>
    <n v="-865.59060000000011"/>
    <n v="865.59060000000011"/>
    <m/>
  </r>
  <r>
    <x v="155"/>
    <n v="2022"/>
    <n v="8"/>
    <s v="SAI payment (Smart Website Support -Tax Deduction"/>
    <x v="3"/>
    <x v="5"/>
    <x v="5"/>
    <x v="7"/>
    <x v="3"/>
    <m/>
    <m/>
    <m/>
    <m/>
    <m/>
    <m/>
    <m/>
    <n v="-20.576300000000003"/>
    <m/>
    <n v="-20.576300000000003"/>
    <n v="20.576300000000003"/>
    <m/>
  </r>
  <r>
    <x v="155"/>
    <n v="2022"/>
    <n v="8"/>
    <s v="check Collection Fees Smart Payment"/>
    <x v="2"/>
    <x v="2"/>
    <x v="4"/>
    <x v="7"/>
    <x v="1"/>
    <m/>
    <m/>
    <m/>
    <m/>
    <m/>
    <m/>
    <m/>
    <n v="15"/>
    <m/>
    <n v="15"/>
    <n v="15"/>
    <m/>
  </r>
  <r>
    <x v="156"/>
    <n v="2022"/>
    <n v="8"/>
    <s v="Min Balance Fees"/>
    <x v="2"/>
    <x v="2"/>
    <x v="2"/>
    <x v="1"/>
    <x v="1"/>
    <m/>
    <m/>
    <m/>
    <m/>
    <m/>
    <m/>
    <m/>
    <n v="25"/>
    <m/>
    <n v="25"/>
    <n v="25"/>
    <m/>
  </r>
  <r>
    <x v="156"/>
    <n v="2022"/>
    <n v="8"/>
    <s v="Various Consumables"/>
    <x v="2"/>
    <x v="16"/>
    <x v="18"/>
    <x v="1"/>
    <x v="1"/>
    <m/>
    <m/>
    <m/>
    <m/>
    <m/>
    <m/>
    <m/>
    <m/>
    <n v="1226"/>
    <n v="1226"/>
    <n v="1226"/>
    <m/>
  </r>
  <r>
    <x v="156"/>
    <n v="2022"/>
    <n v="8"/>
    <s v="Ibrahim Transportation"/>
    <x v="2"/>
    <x v="20"/>
    <x v="19"/>
    <x v="1"/>
    <x v="1"/>
    <m/>
    <m/>
    <m/>
    <m/>
    <m/>
    <m/>
    <m/>
    <m/>
    <n v="254"/>
    <n v="254"/>
    <n v="254"/>
    <m/>
  </r>
  <r>
    <x v="157"/>
    <n v="2022"/>
    <n v="9"/>
    <s v="Software August/22 Payroll"/>
    <x v="7"/>
    <x v="21"/>
    <x v="20"/>
    <x v="1"/>
    <x v="0"/>
    <m/>
    <n v="9000"/>
    <m/>
    <m/>
    <m/>
    <m/>
    <m/>
    <n v="65300"/>
    <m/>
    <n v="74300"/>
    <n v="74300"/>
    <m/>
  </r>
  <r>
    <x v="157"/>
    <n v="2022"/>
    <n v="9"/>
    <s v="Mobile August/22 Payroll"/>
    <x v="7"/>
    <x v="21"/>
    <x v="21"/>
    <x v="1"/>
    <x v="4"/>
    <m/>
    <m/>
    <m/>
    <m/>
    <m/>
    <m/>
    <m/>
    <n v="8000"/>
    <m/>
    <n v="8000"/>
    <n v="8000"/>
    <m/>
  </r>
  <r>
    <x v="157"/>
    <n v="2022"/>
    <n v="9"/>
    <s v="General August/22 Payroll"/>
    <x v="7"/>
    <x v="21"/>
    <x v="22"/>
    <x v="1"/>
    <x v="1"/>
    <m/>
    <n v="18000"/>
    <m/>
    <m/>
    <m/>
    <m/>
    <m/>
    <n v="18600"/>
    <m/>
    <n v="36600"/>
    <n v="36600"/>
    <m/>
  </r>
  <r>
    <x v="157"/>
    <n v="2022"/>
    <n v="9"/>
    <s v="Websites August/22 Payroll"/>
    <x v="7"/>
    <x v="21"/>
    <x v="23"/>
    <x v="1"/>
    <x v="3"/>
    <m/>
    <n v="9000"/>
    <m/>
    <m/>
    <m/>
    <m/>
    <m/>
    <n v="14250"/>
    <m/>
    <n v="23250"/>
    <n v="23250"/>
    <m/>
  </r>
  <r>
    <x v="157"/>
    <n v="2022"/>
    <n v="9"/>
    <s v="Bank Pays Samer "/>
    <x v="5"/>
    <x v="9"/>
    <x v="10"/>
    <x v="1"/>
    <x v="5"/>
    <m/>
    <n v="-3000"/>
    <m/>
    <m/>
    <m/>
    <m/>
    <m/>
    <m/>
    <m/>
    <n v="-3000"/>
    <n v="3000"/>
    <m/>
  </r>
  <r>
    <x v="157"/>
    <n v="2022"/>
    <n v="9"/>
    <s v="Rent (Sep/22)"/>
    <x v="2"/>
    <x v="12"/>
    <x v="1"/>
    <x v="1"/>
    <x v="1"/>
    <m/>
    <m/>
    <m/>
    <m/>
    <m/>
    <m/>
    <m/>
    <n v="14641"/>
    <m/>
    <n v="14641"/>
    <n v="14641"/>
    <m/>
  </r>
  <r>
    <x v="157"/>
    <n v="2022"/>
    <n v="9"/>
    <s v="Rent (Sep/22)"/>
    <x v="2"/>
    <x v="12"/>
    <x v="1"/>
    <x v="1"/>
    <x v="1"/>
    <m/>
    <m/>
    <m/>
    <m/>
    <m/>
    <m/>
    <m/>
    <n v="44.28"/>
    <m/>
    <n v="44.28"/>
    <n v="44.28"/>
    <m/>
  </r>
  <r>
    <x v="157"/>
    <n v="2022"/>
    <n v="9"/>
    <s v="Turni Contabo -Sep/22"/>
    <x v="0"/>
    <x v="0"/>
    <x v="0"/>
    <x v="0"/>
    <x v="0"/>
    <m/>
    <n v="1153.6799999999998"/>
    <m/>
    <m/>
    <m/>
    <m/>
    <m/>
    <m/>
    <m/>
    <n v="1153.6799999999998"/>
    <n v="1153.6799999999998"/>
    <m/>
  </r>
  <r>
    <x v="157"/>
    <n v="2022"/>
    <n v="9"/>
    <s v="Doorman Monthly salary (Sep/22)"/>
    <x v="2"/>
    <x v="8"/>
    <x v="1"/>
    <x v="1"/>
    <x v="1"/>
    <m/>
    <m/>
    <m/>
    <m/>
    <m/>
    <m/>
    <m/>
    <m/>
    <n v="350"/>
    <n v="350"/>
    <n v="350"/>
    <m/>
  </r>
  <r>
    <x v="158"/>
    <n v="2022"/>
    <n v="9"/>
    <s v="SonarCloud "/>
    <x v="2"/>
    <x v="10"/>
    <x v="8"/>
    <x v="1"/>
    <x v="0"/>
    <m/>
    <m/>
    <m/>
    <m/>
    <m/>
    <m/>
    <m/>
    <m/>
    <m/>
    <n v="0"/>
    <n v="0"/>
    <m/>
  </r>
  <r>
    <x v="159"/>
    <n v="2022"/>
    <n v="9"/>
    <s v="Cheers payment Aug-Sep (inv100985&amp;100992)"/>
    <x v="4"/>
    <x v="19"/>
    <x v="5"/>
    <x v="20"/>
    <x v="3"/>
    <m/>
    <m/>
    <m/>
    <m/>
    <m/>
    <m/>
    <m/>
    <n v="-4000"/>
    <m/>
    <n v="-4000"/>
    <n v="4000"/>
    <m/>
  </r>
  <r>
    <x v="159"/>
    <n v="2022"/>
    <n v="9"/>
    <s v="Cheers payment -VAT"/>
    <x v="4"/>
    <x v="19"/>
    <x v="6"/>
    <x v="20"/>
    <x v="3"/>
    <m/>
    <m/>
    <m/>
    <m/>
    <m/>
    <m/>
    <m/>
    <n v="-560"/>
    <m/>
    <n v="-560"/>
    <n v="560"/>
    <m/>
  </r>
  <r>
    <x v="159"/>
    <n v="2022"/>
    <n v="9"/>
    <s v="Cheers payment -Tax Deduction"/>
    <x v="3"/>
    <x v="5"/>
    <x v="5"/>
    <x v="20"/>
    <x v="3"/>
    <m/>
    <m/>
    <m/>
    <m/>
    <m/>
    <m/>
    <m/>
    <n v="40"/>
    <m/>
    <n v="40"/>
    <n v="40"/>
    <m/>
  </r>
  <r>
    <x v="159"/>
    <n v="2022"/>
    <n v="9"/>
    <s v="Check Collection Fees Cheers Payment"/>
    <x v="2"/>
    <x v="2"/>
    <x v="4"/>
    <x v="20"/>
    <x v="1"/>
    <m/>
    <m/>
    <m/>
    <m/>
    <m/>
    <m/>
    <m/>
    <n v="15"/>
    <m/>
    <n v="15"/>
    <n v="15"/>
    <m/>
  </r>
  <r>
    <x v="160"/>
    <n v="2022"/>
    <n v="9"/>
    <s v="Bank Pays Cash"/>
    <x v="5"/>
    <x v="9"/>
    <x v="10"/>
    <x v="1"/>
    <x v="1"/>
    <m/>
    <m/>
    <m/>
    <m/>
    <m/>
    <m/>
    <n v="-5000"/>
    <n v="5000"/>
    <m/>
    <n v="0"/>
    <n v="0"/>
    <m/>
  </r>
  <r>
    <x v="160"/>
    <n v="2022"/>
    <n v="9"/>
    <s v="Salaries August -Tarek"/>
    <x v="7"/>
    <x v="21"/>
    <x v="20"/>
    <x v="1"/>
    <x v="0"/>
    <m/>
    <m/>
    <m/>
    <m/>
    <m/>
    <m/>
    <n v="5000"/>
    <m/>
    <m/>
    <n v="5000"/>
    <n v="5000"/>
    <m/>
  </r>
  <r>
    <x v="161"/>
    <n v="2022"/>
    <n v="9"/>
    <s v="Atlassian-Jira(Sep/22)"/>
    <x v="2"/>
    <x v="10"/>
    <x v="8"/>
    <x v="1"/>
    <x v="0"/>
    <m/>
    <m/>
    <m/>
    <m/>
    <m/>
    <m/>
    <m/>
    <m/>
    <m/>
    <n v="0"/>
    <n v="0"/>
    <m/>
  </r>
  <r>
    <x v="162"/>
    <n v="2022"/>
    <n v="9"/>
    <s v="Bank Pays Margins &amp; Samer"/>
    <x v="5"/>
    <x v="9"/>
    <x v="10"/>
    <x v="1"/>
    <x v="5"/>
    <m/>
    <n v="-1000"/>
    <m/>
    <m/>
    <m/>
    <m/>
    <m/>
    <n v="2000"/>
    <n v="-1000"/>
    <n v="0"/>
    <n v="0"/>
    <m/>
  </r>
  <r>
    <x v="162"/>
    <n v="2022"/>
    <n v="9"/>
    <s v="Electricity"/>
    <x v="2"/>
    <x v="13"/>
    <x v="11"/>
    <x v="1"/>
    <x v="1"/>
    <m/>
    <m/>
    <m/>
    <m/>
    <m/>
    <m/>
    <m/>
    <n v="896.63"/>
    <m/>
    <n v="896.63"/>
    <n v="896.63"/>
    <m/>
  </r>
  <r>
    <x v="162"/>
    <n v="2022"/>
    <n v="9"/>
    <s v="Electricity"/>
    <x v="2"/>
    <x v="13"/>
    <x v="11"/>
    <x v="1"/>
    <x v="1"/>
    <m/>
    <m/>
    <m/>
    <m/>
    <m/>
    <m/>
    <m/>
    <n v="1925.45"/>
    <m/>
    <n v="1925.45"/>
    <n v="1925.45"/>
    <m/>
  </r>
  <r>
    <x v="162"/>
    <n v="2022"/>
    <n v="9"/>
    <s v="Electricity"/>
    <x v="2"/>
    <x v="13"/>
    <x v="11"/>
    <x v="1"/>
    <x v="1"/>
    <m/>
    <m/>
    <m/>
    <m/>
    <m/>
    <m/>
    <m/>
    <n v="1842.22"/>
    <m/>
    <n v="1842.22"/>
    <n v="1842.22"/>
    <m/>
  </r>
  <r>
    <x v="163"/>
    <n v="2022"/>
    <n v="9"/>
    <s v="Charges CBX Package"/>
    <x v="2"/>
    <x v="2"/>
    <x v="2"/>
    <x v="1"/>
    <x v="1"/>
    <m/>
    <m/>
    <m/>
    <m/>
    <m/>
    <m/>
    <m/>
    <n v="100"/>
    <m/>
    <n v="100"/>
    <n v="100"/>
    <m/>
  </r>
  <r>
    <x v="163"/>
    <n v="2022"/>
    <n v="9"/>
    <s v="Bank Pays Samer"/>
    <x v="5"/>
    <x v="9"/>
    <x v="10"/>
    <x v="1"/>
    <x v="5"/>
    <m/>
    <n v="-4500"/>
    <m/>
    <m/>
    <m/>
    <m/>
    <m/>
    <n v="4500"/>
    <m/>
    <n v="0"/>
    <n v="0"/>
    <m/>
  </r>
  <r>
    <x v="163"/>
    <n v="2022"/>
    <n v="9"/>
    <s v="Check Collection Fees Bashaier Payment"/>
    <x v="2"/>
    <x v="2"/>
    <x v="4"/>
    <x v="9"/>
    <x v="1"/>
    <m/>
    <m/>
    <m/>
    <m/>
    <m/>
    <m/>
    <m/>
    <n v="15"/>
    <m/>
    <n v="15"/>
    <n v="15"/>
    <m/>
  </r>
  <r>
    <x v="163"/>
    <n v="2022"/>
    <n v="9"/>
    <s v="Bashaier Fourth Payment30%-inv100997"/>
    <x v="4"/>
    <x v="7"/>
    <x v="5"/>
    <x v="9"/>
    <x v="4"/>
    <m/>
    <m/>
    <m/>
    <m/>
    <m/>
    <m/>
    <m/>
    <n v="-40000"/>
    <m/>
    <n v="-40000"/>
    <n v="40000"/>
    <m/>
  </r>
  <r>
    <x v="164"/>
    <n v="2022"/>
    <n v="9"/>
    <s v="Eyad Pastries Payment-Without Invoice"/>
    <x v="4"/>
    <x v="6"/>
    <x v="10"/>
    <x v="32"/>
    <x v="3"/>
    <m/>
    <m/>
    <m/>
    <m/>
    <m/>
    <m/>
    <m/>
    <n v="-22321.77"/>
    <m/>
    <n v="-22321.77"/>
    <n v="22321.77"/>
    <m/>
  </r>
  <r>
    <x v="164"/>
    <n v="2022"/>
    <n v="9"/>
    <s v="Cash Deposit Fees Eyad Payment"/>
    <x v="2"/>
    <x v="2"/>
    <x v="2"/>
    <x v="1"/>
    <x v="1"/>
    <m/>
    <m/>
    <m/>
    <m/>
    <m/>
    <m/>
    <m/>
    <n v="5"/>
    <m/>
    <n v="5"/>
    <n v="5"/>
    <m/>
  </r>
  <r>
    <x v="164"/>
    <n v="2022"/>
    <n v="9"/>
    <s v="Bank Fees"/>
    <x v="2"/>
    <x v="2"/>
    <x v="2"/>
    <x v="1"/>
    <x v="1"/>
    <m/>
    <m/>
    <m/>
    <m/>
    <m/>
    <m/>
    <m/>
    <n v="80"/>
    <m/>
    <n v="80"/>
    <n v="80"/>
    <m/>
  </r>
  <r>
    <x v="165"/>
    <n v="2022"/>
    <n v="9"/>
    <s v="Adobe Creative - Cloud Dublin lE -Sep/22"/>
    <x v="6"/>
    <x v="17"/>
    <x v="14"/>
    <x v="19"/>
    <x v="6"/>
    <m/>
    <n v="513.97"/>
    <m/>
    <m/>
    <m/>
    <m/>
    <m/>
    <m/>
    <m/>
    <n v="513.97"/>
    <n v="513.97"/>
    <m/>
  </r>
  <r>
    <x v="166"/>
    <n v="2022"/>
    <n v="9"/>
    <s v="LinkedIn Premium - Sep/22"/>
    <x v="0"/>
    <x v="15"/>
    <x v="12"/>
    <x v="1"/>
    <x v="2"/>
    <m/>
    <n v="246.17000000000002"/>
    <m/>
    <m/>
    <m/>
    <m/>
    <m/>
    <m/>
    <m/>
    <n v="246.17000000000002"/>
    <n v="246.17000000000002"/>
    <m/>
  </r>
  <r>
    <x v="167"/>
    <n v="2022"/>
    <n v="9"/>
    <s v="Atlassian-Jira(Sep/22)-Bitbucket"/>
    <x v="2"/>
    <x v="10"/>
    <x v="8"/>
    <x v="1"/>
    <x v="0"/>
    <m/>
    <m/>
    <m/>
    <m/>
    <m/>
    <m/>
    <m/>
    <m/>
    <m/>
    <n v="0"/>
    <n v="0"/>
    <m/>
  </r>
  <r>
    <x v="168"/>
    <n v="2022"/>
    <n v="9"/>
    <s v="Bank Pays Margins"/>
    <x v="5"/>
    <x v="9"/>
    <x v="10"/>
    <x v="1"/>
    <x v="5"/>
    <m/>
    <m/>
    <m/>
    <m/>
    <m/>
    <m/>
    <m/>
    <n v="1360"/>
    <n v="-1360"/>
    <n v="0"/>
    <n v="0"/>
    <m/>
  </r>
  <r>
    <x v="168"/>
    <n v="2022"/>
    <n v="9"/>
    <s v="Bank Pays Samer"/>
    <x v="5"/>
    <x v="9"/>
    <x v="10"/>
    <x v="1"/>
    <x v="5"/>
    <m/>
    <n v="-18000"/>
    <m/>
    <m/>
    <m/>
    <m/>
    <m/>
    <n v="18000"/>
    <m/>
    <n v="0"/>
    <n v="0"/>
    <m/>
  </r>
  <r>
    <x v="169"/>
    <n v="2022"/>
    <n v="9"/>
    <s v="Turni Benefit Hosting(Sep/22)-Hetzner"/>
    <x v="0"/>
    <x v="0"/>
    <x v="0"/>
    <x v="0"/>
    <x v="0"/>
    <m/>
    <n v="1680.25947"/>
    <m/>
    <m/>
    <m/>
    <m/>
    <m/>
    <m/>
    <m/>
    <n v="1680.25947"/>
    <n v="1680.25947"/>
    <m/>
  </r>
  <r>
    <x v="170"/>
    <n v="2022"/>
    <n v="9"/>
    <s v="Various Consumables"/>
    <x v="2"/>
    <x v="16"/>
    <x v="18"/>
    <x v="1"/>
    <x v="1"/>
    <m/>
    <m/>
    <m/>
    <m/>
    <m/>
    <m/>
    <m/>
    <m/>
    <n v="2488"/>
    <n v="2488"/>
    <n v="2488"/>
    <m/>
  </r>
  <r>
    <x v="170"/>
    <n v="2022"/>
    <n v="9"/>
    <s v="Ibrahim Transportation-Sep"/>
    <x v="2"/>
    <x v="20"/>
    <x v="19"/>
    <x v="1"/>
    <x v="1"/>
    <m/>
    <m/>
    <m/>
    <m/>
    <m/>
    <m/>
    <m/>
    <m/>
    <n v="235"/>
    <n v="235"/>
    <n v="235"/>
    <m/>
  </r>
  <r>
    <x v="170"/>
    <n v="2022"/>
    <n v="9"/>
    <s v="Cash Pays Margins"/>
    <x v="5"/>
    <x v="9"/>
    <x v="7"/>
    <x v="1"/>
    <x v="5"/>
    <m/>
    <m/>
    <m/>
    <m/>
    <m/>
    <m/>
    <n v="18170"/>
    <m/>
    <n v="-18170"/>
    <n v="0"/>
    <n v="0"/>
    <m/>
  </r>
  <r>
    <x v="170"/>
    <n v="2022"/>
    <n v="9"/>
    <s v="Bank Pays Samer"/>
    <x v="5"/>
    <x v="9"/>
    <x v="10"/>
    <x v="1"/>
    <x v="5"/>
    <m/>
    <n v="-15000"/>
    <m/>
    <m/>
    <m/>
    <m/>
    <m/>
    <n v="15000"/>
    <m/>
    <n v="0"/>
    <n v="0"/>
    <m/>
  </r>
  <r>
    <x v="170"/>
    <n v="2022"/>
    <n v="9"/>
    <s v="Invest Sinai Payment (Inv100998)"/>
    <x v="4"/>
    <x v="24"/>
    <x v="17"/>
    <x v="33"/>
    <x v="3"/>
    <m/>
    <m/>
    <m/>
    <m/>
    <m/>
    <m/>
    <m/>
    <n v="-2744.06"/>
    <m/>
    <n v="-2744.06"/>
    <n v="2744.06"/>
    <m/>
  </r>
  <r>
    <x v="170"/>
    <n v="2022"/>
    <n v="9"/>
    <s v="Invest Sinai Payment-VAT"/>
    <x v="4"/>
    <x v="24"/>
    <x v="6"/>
    <x v="33"/>
    <x v="3"/>
    <m/>
    <m/>
    <m/>
    <m/>
    <m/>
    <m/>
    <m/>
    <n v="-384.16840000000002"/>
    <m/>
    <n v="-384.16840000000002"/>
    <n v="384.16840000000002"/>
    <m/>
  </r>
  <r>
    <x v="170"/>
    <n v="2022"/>
    <n v="9"/>
    <s v="Invest Sinai Payment-Tax Deduction"/>
    <x v="3"/>
    <x v="5"/>
    <x v="17"/>
    <x v="33"/>
    <x v="3"/>
    <m/>
    <m/>
    <m/>
    <m/>
    <m/>
    <m/>
    <m/>
    <n v="82.321799999999996"/>
    <m/>
    <n v="82.321799999999996"/>
    <n v="82.321799999999996"/>
    <m/>
  </r>
  <r>
    <x v="170"/>
    <n v="2022"/>
    <n v="9"/>
    <s v="Cash Deposit Fees invest Sinai Payment"/>
    <x v="2"/>
    <x v="2"/>
    <x v="2"/>
    <x v="1"/>
    <x v="1"/>
    <m/>
    <m/>
    <m/>
    <m/>
    <m/>
    <m/>
    <m/>
    <n v="15"/>
    <m/>
    <n v="15"/>
    <n v="15"/>
    <m/>
  </r>
  <r>
    <x v="171"/>
    <n v="2022"/>
    <n v="9"/>
    <s v="We Internet Recharge "/>
    <x v="2"/>
    <x v="22"/>
    <x v="27"/>
    <x v="1"/>
    <x v="1"/>
    <m/>
    <m/>
    <m/>
    <m/>
    <m/>
    <m/>
    <m/>
    <n v="1140"/>
    <m/>
    <n v="1140"/>
    <n v="1140"/>
    <m/>
  </r>
  <r>
    <x v="172"/>
    <n v="2022"/>
    <n v="9"/>
    <s v="Nodust"/>
    <x v="2"/>
    <x v="16"/>
    <x v="13"/>
    <x v="1"/>
    <x v="5"/>
    <m/>
    <m/>
    <m/>
    <m/>
    <m/>
    <m/>
    <m/>
    <m/>
    <n v="75"/>
    <n v="75"/>
    <n v="75"/>
    <m/>
  </r>
  <r>
    <x v="172"/>
    <n v="2022"/>
    <n v="9"/>
    <s v="Turni Server Management (Aug22&amp;Sep22&amp;Oct22)"/>
    <x v="0"/>
    <x v="11"/>
    <x v="14"/>
    <x v="0"/>
    <x v="0"/>
    <m/>
    <n v="7500"/>
    <m/>
    <m/>
    <m/>
    <m/>
    <m/>
    <m/>
    <m/>
    <n v="7500"/>
    <n v="7500"/>
    <m/>
  </r>
  <r>
    <x v="172"/>
    <n v="2022"/>
    <n v="9"/>
    <s v="Alfa Electronics payment(inv100995)"/>
    <x v="4"/>
    <x v="24"/>
    <x v="5"/>
    <x v="0"/>
    <x v="3"/>
    <m/>
    <m/>
    <m/>
    <m/>
    <m/>
    <m/>
    <n v="-13409.4"/>
    <m/>
    <m/>
    <n v="-13409.4"/>
    <n v="13409.4"/>
    <m/>
  </r>
  <r>
    <x v="172"/>
    <n v="2022"/>
    <n v="9"/>
    <s v="Alfa Electronics payment-VAT"/>
    <x v="4"/>
    <x v="24"/>
    <x v="6"/>
    <x v="0"/>
    <x v="3"/>
    <m/>
    <m/>
    <m/>
    <m/>
    <m/>
    <m/>
    <n v="-1877.316"/>
    <m/>
    <m/>
    <n v="-1877.316"/>
    <n v="1877.316"/>
    <m/>
  </r>
  <r>
    <x v="172"/>
    <n v="2022"/>
    <n v="9"/>
    <s v="Alfa Electronics payment-Tax Deduction"/>
    <x v="3"/>
    <x v="5"/>
    <x v="5"/>
    <x v="0"/>
    <x v="3"/>
    <m/>
    <m/>
    <m/>
    <m/>
    <m/>
    <m/>
    <n v="402.28199999999998"/>
    <m/>
    <m/>
    <n v="402.28199999999998"/>
    <n v="402.28199999999998"/>
    <m/>
  </r>
  <r>
    <x v="172"/>
    <n v="2022"/>
    <n v="9"/>
    <s v="Alfa Electronics payment(inv101000)"/>
    <x v="4"/>
    <x v="4"/>
    <x v="5"/>
    <x v="2"/>
    <x v="0"/>
    <m/>
    <m/>
    <m/>
    <m/>
    <m/>
    <m/>
    <n v="-33120"/>
    <m/>
    <m/>
    <n v="-33120"/>
    <n v="33120"/>
    <m/>
  </r>
  <r>
    <x v="172"/>
    <n v="2022"/>
    <n v="9"/>
    <s v="Alfa Electronics payment-VAT"/>
    <x v="4"/>
    <x v="4"/>
    <x v="6"/>
    <x v="2"/>
    <x v="0"/>
    <m/>
    <m/>
    <m/>
    <m/>
    <m/>
    <m/>
    <n v="-4636.8"/>
    <m/>
    <m/>
    <n v="-4636.8"/>
    <n v="4636.8"/>
    <m/>
  </r>
  <r>
    <x v="172"/>
    <n v="2022"/>
    <n v="9"/>
    <s v="Alfa Electronics payment-Tax Deduction"/>
    <x v="3"/>
    <x v="5"/>
    <x v="5"/>
    <x v="2"/>
    <x v="0"/>
    <m/>
    <m/>
    <m/>
    <m/>
    <m/>
    <m/>
    <n v="1401.3799999999999"/>
    <m/>
    <m/>
    <n v="1401.3799999999999"/>
    <n v="1401.3799999999999"/>
    <m/>
  </r>
  <r>
    <x v="172"/>
    <n v="2022"/>
    <n v="9"/>
    <s v="Cash Pays Bank"/>
    <x v="5"/>
    <x v="9"/>
    <x v="10"/>
    <x v="1"/>
    <x v="5"/>
    <m/>
    <m/>
    <m/>
    <m/>
    <m/>
    <m/>
    <n v="51239.85"/>
    <n v="-51239.85"/>
    <m/>
    <n v="0"/>
    <n v="0"/>
    <m/>
  </r>
  <r>
    <x v="172"/>
    <n v="2022"/>
    <n v="9"/>
    <s v="Min Balance Fees"/>
    <x v="2"/>
    <x v="2"/>
    <x v="2"/>
    <x v="1"/>
    <x v="1"/>
    <m/>
    <m/>
    <m/>
    <m/>
    <m/>
    <m/>
    <m/>
    <n v="25"/>
    <m/>
    <n v="25"/>
    <n v="25"/>
    <m/>
  </r>
  <r>
    <x v="172"/>
    <n v="2022"/>
    <n v="9"/>
    <s v="Charges Current Acc"/>
    <x v="2"/>
    <x v="2"/>
    <x v="2"/>
    <x v="1"/>
    <x v="1"/>
    <m/>
    <m/>
    <m/>
    <m/>
    <m/>
    <m/>
    <m/>
    <n v="100"/>
    <m/>
    <n v="100"/>
    <n v="100"/>
    <m/>
  </r>
  <r>
    <x v="172"/>
    <n v="2022"/>
    <n v="9"/>
    <s v="Aug/22 Systems VAT"/>
    <x v="3"/>
    <x v="3"/>
    <x v="3"/>
    <x v="1"/>
    <x v="0"/>
    <m/>
    <n v="6440"/>
    <m/>
    <m/>
    <m/>
    <m/>
    <m/>
    <m/>
    <m/>
    <n v="6440"/>
    <n v="6440"/>
    <m/>
  </r>
  <r>
    <x v="172"/>
    <n v="2022"/>
    <n v="9"/>
    <s v="Aug/22 Website VAT"/>
    <x v="3"/>
    <x v="3"/>
    <x v="3"/>
    <x v="1"/>
    <x v="3"/>
    <m/>
    <n v="4648.46"/>
    <m/>
    <m/>
    <m/>
    <m/>
    <m/>
    <m/>
    <m/>
    <n v="4648.46"/>
    <n v="4648.46"/>
    <m/>
  </r>
  <r>
    <x v="172"/>
    <n v="2022"/>
    <n v="9"/>
    <s v="Bank VAT Transfer Charge"/>
    <x v="2"/>
    <x v="2"/>
    <x v="24"/>
    <x v="1"/>
    <x v="1"/>
    <m/>
    <n v="119.21"/>
    <m/>
    <m/>
    <m/>
    <m/>
    <m/>
    <m/>
    <m/>
    <n v="119.21"/>
    <n v="119.21"/>
    <m/>
  </r>
  <r>
    <x v="173"/>
    <n v="2022"/>
    <n v="10"/>
    <s v="Cheque No.57592964 (Loan Repayment)"/>
    <x v="5"/>
    <x v="9"/>
    <x v="37"/>
    <x v="1"/>
    <x v="5"/>
    <m/>
    <m/>
    <m/>
    <m/>
    <n v="-82000"/>
    <m/>
    <m/>
    <m/>
    <m/>
    <n v="-82000"/>
    <n v="82000"/>
    <m/>
  </r>
  <r>
    <x v="174"/>
    <n v="2022"/>
    <n v="10"/>
    <s v="Bank Pays Samer"/>
    <x v="5"/>
    <x v="9"/>
    <x v="10"/>
    <x v="1"/>
    <x v="5"/>
    <m/>
    <n v="-3000"/>
    <m/>
    <m/>
    <m/>
    <m/>
    <m/>
    <n v="3000"/>
    <m/>
    <n v="0"/>
    <n v="0"/>
    <m/>
  </r>
  <r>
    <x v="174"/>
    <n v="2022"/>
    <n v="10"/>
    <s v="Bank Pays Margins"/>
    <x v="5"/>
    <x v="9"/>
    <x v="7"/>
    <x v="1"/>
    <x v="5"/>
    <m/>
    <m/>
    <m/>
    <m/>
    <m/>
    <m/>
    <m/>
    <n v="1000"/>
    <n v="-1000"/>
    <n v="0"/>
    <n v="0"/>
    <m/>
  </r>
  <r>
    <x v="174"/>
    <n v="2022"/>
    <n v="10"/>
    <s v="Doorman Monthly salary (Oct/22)"/>
    <x v="2"/>
    <x v="8"/>
    <x v="1"/>
    <x v="1"/>
    <x v="1"/>
    <m/>
    <m/>
    <m/>
    <m/>
    <m/>
    <m/>
    <m/>
    <m/>
    <n v="350"/>
    <n v="350"/>
    <n v="350"/>
    <m/>
  </r>
  <r>
    <x v="175"/>
    <n v="2022"/>
    <n v="10"/>
    <s v="Safe Kids Payment (inv 101001)"/>
    <x v="4"/>
    <x v="24"/>
    <x v="29"/>
    <x v="22"/>
    <x v="3"/>
    <m/>
    <m/>
    <m/>
    <m/>
    <m/>
    <m/>
    <n v="-2341.8000000000002"/>
    <m/>
    <m/>
    <n v="-2341.8000000000002"/>
    <n v="2341.8000000000002"/>
    <m/>
  </r>
  <r>
    <x v="175"/>
    <n v="2022"/>
    <n v="10"/>
    <s v="Safe Kids Payment - VAT"/>
    <x v="4"/>
    <x v="24"/>
    <x v="6"/>
    <x v="22"/>
    <x v="3"/>
    <m/>
    <m/>
    <m/>
    <m/>
    <m/>
    <m/>
    <n v="-327.85200000000003"/>
    <m/>
    <m/>
    <n v="-327.85200000000003"/>
    <n v="327.85200000000003"/>
    <m/>
  </r>
  <r>
    <x v="175"/>
    <n v="2022"/>
    <n v="10"/>
    <s v="Safe Kids Payment - Tax Deduction"/>
    <x v="3"/>
    <x v="5"/>
    <x v="29"/>
    <x v="22"/>
    <x v="3"/>
    <m/>
    <m/>
    <m/>
    <m/>
    <m/>
    <m/>
    <n v="70.254000000000005"/>
    <m/>
    <m/>
    <n v="70.254000000000005"/>
    <n v="70.254000000000005"/>
    <m/>
  </r>
  <r>
    <x v="175"/>
    <n v="2022"/>
    <n v="10"/>
    <s v="Safe Kids Payment (inv 101007)"/>
    <x v="4"/>
    <x v="6"/>
    <x v="29"/>
    <x v="22"/>
    <x v="3"/>
    <m/>
    <m/>
    <m/>
    <m/>
    <m/>
    <m/>
    <n v="-901.6"/>
    <m/>
    <m/>
    <n v="-901.6"/>
    <n v="901.6"/>
    <m/>
  </r>
  <r>
    <x v="175"/>
    <n v="2022"/>
    <n v="10"/>
    <s v="Safe Kids Payment - VAT"/>
    <x v="4"/>
    <x v="6"/>
    <x v="6"/>
    <x v="22"/>
    <x v="3"/>
    <m/>
    <m/>
    <m/>
    <m/>
    <m/>
    <m/>
    <n v="-126.00000000000001"/>
    <m/>
    <m/>
    <n v="-126.00000000000001"/>
    <n v="126.00000000000001"/>
    <m/>
  </r>
  <r>
    <x v="175"/>
    <n v="2022"/>
    <n v="10"/>
    <s v="Safe Kids Payment - Tax Deduction"/>
    <x v="3"/>
    <x v="5"/>
    <x v="29"/>
    <x v="22"/>
    <x v="3"/>
    <m/>
    <m/>
    <m/>
    <m/>
    <m/>
    <m/>
    <n v="27"/>
    <m/>
    <m/>
    <n v="27"/>
    <n v="27"/>
    <m/>
  </r>
  <r>
    <x v="175"/>
    <n v="2022"/>
    <n v="10"/>
    <s v="Software September/22 Payroll"/>
    <x v="7"/>
    <x v="21"/>
    <x v="20"/>
    <x v="1"/>
    <x v="0"/>
    <m/>
    <n v="9000"/>
    <m/>
    <m/>
    <m/>
    <m/>
    <n v="3000"/>
    <n v="62600"/>
    <m/>
    <n v="74600"/>
    <n v="74600"/>
    <m/>
  </r>
  <r>
    <x v="175"/>
    <n v="2022"/>
    <n v="10"/>
    <s v="Mobile September/22  Payroll"/>
    <x v="7"/>
    <x v="21"/>
    <x v="21"/>
    <x v="1"/>
    <x v="4"/>
    <m/>
    <m/>
    <m/>
    <m/>
    <m/>
    <m/>
    <m/>
    <n v="8000"/>
    <m/>
    <n v="8000"/>
    <n v="8000"/>
    <m/>
  </r>
  <r>
    <x v="175"/>
    <n v="2022"/>
    <n v="10"/>
    <s v="General September/22  Payroll"/>
    <x v="7"/>
    <x v="21"/>
    <x v="22"/>
    <x v="1"/>
    <x v="1"/>
    <m/>
    <n v="18000"/>
    <m/>
    <m/>
    <m/>
    <m/>
    <m/>
    <n v="18900"/>
    <m/>
    <n v="36900"/>
    <n v="36900"/>
    <m/>
  </r>
  <r>
    <x v="175"/>
    <n v="2022"/>
    <n v="10"/>
    <s v="Websites September/22 Payroll"/>
    <x v="7"/>
    <x v="21"/>
    <x v="23"/>
    <x v="1"/>
    <x v="3"/>
    <m/>
    <n v="9000"/>
    <m/>
    <m/>
    <m/>
    <m/>
    <m/>
    <n v="9500"/>
    <m/>
    <n v="18500"/>
    <n v="18500"/>
    <m/>
  </r>
  <r>
    <x v="176"/>
    <n v="2022"/>
    <n v="10"/>
    <s v="Bank &amp; Cash Pays Samer"/>
    <x v="5"/>
    <x v="9"/>
    <x v="10"/>
    <x v="1"/>
    <x v="5"/>
    <m/>
    <n v="-3600"/>
    <m/>
    <m/>
    <m/>
    <m/>
    <n v="600"/>
    <n v="3000"/>
    <m/>
    <n v="0"/>
    <n v="0"/>
    <m/>
  </r>
  <r>
    <x v="176"/>
    <n v="2022"/>
    <n v="10"/>
    <s v="Rent (Oct/22)"/>
    <x v="2"/>
    <x v="12"/>
    <x v="1"/>
    <x v="1"/>
    <x v="1"/>
    <m/>
    <m/>
    <m/>
    <m/>
    <m/>
    <m/>
    <m/>
    <n v="14641"/>
    <m/>
    <n v="14641"/>
    <n v="14641"/>
    <m/>
  </r>
  <r>
    <x v="176"/>
    <n v="2022"/>
    <n v="10"/>
    <s v="Rent (Oct/22)"/>
    <x v="2"/>
    <x v="12"/>
    <x v="1"/>
    <x v="1"/>
    <x v="1"/>
    <m/>
    <m/>
    <m/>
    <m/>
    <m/>
    <m/>
    <m/>
    <n v="44.28"/>
    <m/>
    <n v="44.28"/>
    <n v="44.28"/>
    <m/>
  </r>
  <r>
    <x v="176"/>
    <n v="2022"/>
    <n v="10"/>
    <s v="Samer Pays En.Adel"/>
    <x v="5"/>
    <x v="9"/>
    <x v="38"/>
    <x v="1"/>
    <x v="5"/>
    <m/>
    <n v="1000"/>
    <m/>
    <m/>
    <n v="-1000"/>
    <m/>
    <m/>
    <m/>
    <m/>
    <n v="0"/>
    <n v="0"/>
    <m/>
  </r>
  <r>
    <x v="177"/>
    <n v="2022"/>
    <n v="10"/>
    <s v="St.Mark Payment-Without Invoice"/>
    <x v="4"/>
    <x v="6"/>
    <x v="7"/>
    <x v="34"/>
    <x v="3"/>
    <m/>
    <m/>
    <m/>
    <m/>
    <m/>
    <m/>
    <n v="-13600"/>
    <m/>
    <m/>
    <n v="-13600"/>
    <n v="13600"/>
    <m/>
  </r>
  <r>
    <x v="178"/>
    <n v="2022"/>
    <n v="10"/>
    <s v="Cash Pays Bank &amp; Samer"/>
    <x v="5"/>
    <x v="9"/>
    <x v="7"/>
    <x v="1"/>
    <x v="5"/>
    <m/>
    <n v="-6600"/>
    <m/>
    <m/>
    <n v="43000"/>
    <m/>
    <n v="13600"/>
    <n v="-50000"/>
    <m/>
    <n v="0"/>
    <n v="0"/>
    <m/>
  </r>
  <r>
    <x v="178"/>
    <n v="2022"/>
    <n v="10"/>
    <s v="Legal Accountant Yearly Fees"/>
    <x v="2"/>
    <x v="8"/>
    <x v="39"/>
    <x v="1"/>
    <x v="1"/>
    <m/>
    <m/>
    <m/>
    <m/>
    <m/>
    <m/>
    <m/>
    <n v="26800"/>
    <m/>
    <n v="26800"/>
    <n v="26800"/>
    <m/>
  </r>
  <r>
    <x v="178"/>
    <n v="2022"/>
    <n v="10"/>
    <s v="Bank Transfer Charge"/>
    <x v="2"/>
    <x v="2"/>
    <x v="2"/>
    <x v="1"/>
    <x v="1"/>
    <m/>
    <m/>
    <m/>
    <m/>
    <m/>
    <m/>
    <m/>
    <n v="68.599959999999996"/>
    <m/>
    <n v="68.599959999999996"/>
    <n v="68.599959999999996"/>
    <m/>
  </r>
  <r>
    <x v="178"/>
    <n v="2022"/>
    <n v="10"/>
    <s v="Imkthis Payment (inv101003)"/>
    <x v="4"/>
    <x v="19"/>
    <x v="17"/>
    <x v="8"/>
    <x v="3"/>
    <m/>
    <m/>
    <m/>
    <m/>
    <m/>
    <m/>
    <m/>
    <n v="-8440"/>
    <m/>
    <n v="-8440"/>
    <n v="8440"/>
    <m/>
  </r>
  <r>
    <x v="178"/>
    <n v="2022"/>
    <n v="10"/>
    <s v="Imkthis Payment - VAT"/>
    <x v="4"/>
    <x v="19"/>
    <x v="6"/>
    <x v="8"/>
    <x v="3"/>
    <m/>
    <m/>
    <m/>
    <m/>
    <m/>
    <m/>
    <m/>
    <n v="-1181.6000000000001"/>
    <m/>
    <n v="-1181.6000000000001"/>
    <n v="1181.6000000000001"/>
    <m/>
  </r>
  <r>
    <x v="179"/>
    <n v="2022"/>
    <n v="10"/>
    <s v="Bank Pays Margins"/>
    <x v="5"/>
    <x v="9"/>
    <x v="10"/>
    <x v="1"/>
    <x v="5"/>
    <m/>
    <m/>
    <m/>
    <m/>
    <m/>
    <m/>
    <m/>
    <n v="1000"/>
    <n v="-1000"/>
    <n v="0"/>
    <n v="0"/>
    <m/>
  </r>
  <r>
    <x v="179"/>
    <n v="2022"/>
    <n v="10"/>
    <s v="Company Electricity Maintenance"/>
    <x v="2"/>
    <x v="13"/>
    <x v="11"/>
    <x v="1"/>
    <x v="1"/>
    <m/>
    <m/>
    <m/>
    <m/>
    <m/>
    <m/>
    <m/>
    <m/>
    <n v="300"/>
    <n v="300"/>
    <n v="300"/>
    <m/>
  </r>
  <r>
    <x v="179"/>
    <n v="2022"/>
    <n v="10"/>
    <s v="Margins Pays Samer"/>
    <x v="5"/>
    <x v="9"/>
    <x v="7"/>
    <x v="1"/>
    <x v="5"/>
    <m/>
    <n v="-28"/>
    <m/>
    <m/>
    <m/>
    <m/>
    <m/>
    <m/>
    <n v="28"/>
    <n v="0"/>
    <n v="0"/>
    <m/>
  </r>
  <r>
    <x v="179"/>
    <n v="2022"/>
    <n v="10"/>
    <s v="Charges CBX Package"/>
    <x v="2"/>
    <x v="2"/>
    <x v="2"/>
    <x v="1"/>
    <x v="1"/>
    <m/>
    <m/>
    <m/>
    <m/>
    <m/>
    <m/>
    <m/>
    <n v="100"/>
    <m/>
    <n v="100"/>
    <n v="100"/>
    <m/>
  </r>
  <r>
    <x v="180"/>
    <n v="2022"/>
    <n v="10"/>
    <s v="Bank Pays Samer"/>
    <x v="5"/>
    <x v="9"/>
    <x v="10"/>
    <x v="1"/>
    <x v="5"/>
    <m/>
    <n v="-1500"/>
    <m/>
    <m/>
    <m/>
    <m/>
    <m/>
    <n v="1500"/>
    <m/>
    <n v="0"/>
    <n v="0"/>
    <m/>
  </r>
  <r>
    <x v="181"/>
    <n v="2022"/>
    <n v="10"/>
    <s v="SILS Website 40% Downpaymentاي ليرن للاستثمار التعليمي  (inv101025)"/>
    <x v="4"/>
    <x v="6"/>
    <x v="17"/>
    <x v="35"/>
    <x v="3"/>
    <m/>
    <m/>
    <m/>
    <m/>
    <m/>
    <m/>
    <m/>
    <n v="-13404"/>
    <m/>
    <n v="-13404"/>
    <n v="13404"/>
    <m/>
  </r>
  <r>
    <x v="181"/>
    <n v="2022"/>
    <n v="10"/>
    <s v="SILS Website 40% Downpaymentاي ليرن للاستثمار التعليمي  (inv101025)-VAT"/>
    <x v="4"/>
    <x v="6"/>
    <x v="6"/>
    <x v="35"/>
    <x v="3"/>
    <m/>
    <m/>
    <m/>
    <m/>
    <m/>
    <m/>
    <m/>
    <n v="-1876.0000000000002"/>
    <m/>
    <n v="-1876.0000000000002"/>
    <n v="1876.0000000000002"/>
    <m/>
  </r>
  <r>
    <x v="181"/>
    <n v="2022"/>
    <n v="10"/>
    <s v="WILS Website 40% Downpaymentاي ليرن للاستثمار التعليمي  (inv101025)"/>
    <x v="4"/>
    <x v="6"/>
    <x v="17"/>
    <x v="36"/>
    <x v="3"/>
    <m/>
    <m/>
    <m/>
    <m/>
    <m/>
    <m/>
    <m/>
    <n v="-13400"/>
    <m/>
    <n v="-13400"/>
    <n v="13400"/>
    <m/>
  </r>
  <r>
    <x v="181"/>
    <n v="2022"/>
    <n v="10"/>
    <s v="WILS Website 40% Downpaymentاي ليرن للاستثمار التعليمي  (inv101026)-VAT"/>
    <x v="4"/>
    <x v="6"/>
    <x v="6"/>
    <x v="36"/>
    <x v="3"/>
    <m/>
    <m/>
    <m/>
    <m/>
    <m/>
    <m/>
    <m/>
    <n v="-1876.0000000000002"/>
    <m/>
    <n v="-1876.0000000000002"/>
    <n v="1876.0000000000002"/>
    <m/>
  </r>
  <r>
    <x v="181"/>
    <n v="2022"/>
    <n v="10"/>
    <s v="Cash Deposit Fees اي ليرن Payment"/>
    <x v="2"/>
    <x v="2"/>
    <x v="17"/>
    <x v="37"/>
    <x v="1"/>
    <m/>
    <m/>
    <m/>
    <m/>
    <m/>
    <m/>
    <m/>
    <n v="30"/>
    <m/>
    <n v="30"/>
    <n v="30"/>
    <m/>
  </r>
  <r>
    <x v="182"/>
    <n v="2022"/>
    <n v="10"/>
    <s v="Bank Pays Samer"/>
    <x v="5"/>
    <x v="9"/>
    <x v="10"/>
    <x v="1"/>
    <x v="5"/>
    <m/>
    <n v="-4500"/>
    <m/>
    <m/>
    <m/>
    <m/>
    <m/>
    <n v="4500"/>
    <m/>
    <n v="0"/>
    <n v="0"/>
    <m/>
  </r>
  <r>
    <x v="182"/>
    <n v="2022"/>
    <n v="10"/>
    <s v="SAI payment (Smart Website Support - Sep/22)-inv 100994"/>
    <x v="4"/>
    <x v="19"/>
    <x v="5"/>
    <x v="7"/>
    <x v="3"/>
    <m/>
    <m/>
    <m/>
    <m/>
    <m/>
    <m/>
    <m/>
    <n v="-6932.78"/>
    <m/>
    <n v="-6932.78"/>
    <n v="6932.78"/>
    <m/>
  </r>
  <r>
    <x v="182"/>
    <n v="2022"/>
    <n v="10"/>
    <s v="SAI payment (Smart Website Support -VAT"/>
    <x v="4"/>
    <x v="19"/>
    <x v="6"/>
    <x v="7"/>
    <x v="3"/>
    <m/>
    <m/>
    <m/>
    <m/>
    <m/>
    <m/>
    <m/>
    <n v="-970.59060000000011"/>
    <m/>
    <n v="-970.59060000000011"/>
    <n v="970.59060000000011"/>
    <m/>
  </r>
  <r>
    <x v="182"/>
    <n v="2022"/>
    <n v="10"/>
    <s v="SAI payment (Smart Website Support -Tax Deduction"/>
    <x v="3"/>
    <x v="5"/>
    <x v="5"/>
    <x v="7"/>
    <x v="3"/>
    <m/>
    <m/>
    <m/>
    <m/>
    <m/>
    <m/>
    <m/>
    <n v="207.9837"/>
    <m/>
    <n v="207.9837"/>
    <n v="207.9837"/>
    <m/>
  </r>
  <r>
    <x v="182"/>
    <n v="2022"/>
    <n v="10"/>
    <s v="check Collection Fees Smart Payment"/>
    <x v="2"/>
    <x v="2"/>
    <x v="4"/>
    <x v="7"/>
    <x v="1"/>
    <m/>
    <m/>
    <m/>
    <m/>
    <m/>
    <m/>
    <m/>
    <n v="15"/>
    <m/>
    <n v="15"/>
    <n v="15"/>
    <m/>
  </r>
  <r>
    <x v="182"/>
    <n v="2022"/>
    <n v="10"/>
    <s v="Bank Fees"/>
    <x v="2"/>
    <x v="2"/>
    <x v="2"/>
    <x v="1"/>
    <x v="1"/>
    <m/>
    <m/>
    <m/>
    <m/>
    <m/>
    <m/>
    <m/>
    <n v="80"/>
    <m/>
    <n v="80"/>
    <n v="80"/>
    <m/>
  </r>
  <r>
    <x v="183"/>
    <n v="2022"/>
    <n v="10"/>
    <s v="Coptic Church Payment (Without invoice)"/>
    <x v="4"/>
    <x v="6"/>
    <x v="17"/>
    <x v="18"/>
    <x v="3"/>
    <m/>
    <n v="-6525"/>
    <m/>
    <m/>
    <m/>
    <m/>
    <m/>
    <m/>
    <m/>
    <n v="-6525"/>
    <n v="6525"/>
    <m/>
  </r>
  <r>
    <x v="184"/>
    <n v="2022"/>
    <n v="10"/>
    <s v="EEP Website 60% Final paymentجيمس ايجيبت للخدمات التعليمية (inv101011)"/>
    <x v="4"/>
    <x v="6"/>
    <x v="17"/>
    <x v="31"/>
    <x v="3"/>
    <m/>
    <m/>
    <m/>
    <m/>
    <m/>
    <m/>
    <m/>
    <n v="-20575.2"/>
    <m/>
    <n v="-20575.2"/>
    <n v="20575.2"/>
    <m/>
  </r>
  <r>
    <x v="184"/>
    <n v="2022"/>
    <n v="10"/>
    <s v="EEP Website 60% Final paymentجيمس ايجيبت للخدمات التعليمية -VAT"/>
    <x v="4"/>
    <x v="6"/>
    <x v="6"/>
    <x v="31"/>
    <x v="3"/>
    <m/>
    <m/>
    <m/>
    <m/>
    <m/>
    <m/>
    <m/>
    <n v="-2880.5280000000002"/>
    <m/>
    <n v="-2880.5280000000002"/>
    <n v="2880.5280000000002"/>
    <m/>
  </r>
  <r>
    <x v="184"/>
    <n v="2022"/>
    <n v="10"/>
    <s v="EEP Website 60% Final paymentجيمس ايجيبت للخدمات التعليمية -Tax Deduction"/>
    <x v="3"/>
    <x v="5"/>
    <x v="17"/>
    <x v="31"/>
    <x v="3"/>
    <m/>
    <m/>
    <m/>
    <m/>
    <m/>
    <m/>
    <m/>
    <n v="617.25599999999997"/>
    <m/>
    <n v="617.25599999999997"/>
    <n v="617.25599999999997"/>
    <m/>
  </r>
  <r>
    <x v="184"/>
    <n v="2022"/>
    <n v="10"/>
    <s v="Samer Pays Margins"/>
    <x v="5"/>
    <x v="9"/>
    <x v="7"/>
    <x v="1"/>
    <x v="5"/>
    <m/>
    <m/>
    <m/>
    <m/>
    <m/>
    <m/>
    <m/>
    <m/>
    <n v="-75"/>
    <n v="-75"/>
    <n v="75"/>
    <m/>
  </r>
  <r>
    <x v="184"/>
    <n v="2022"/>
    <n v="10"/>
    <s v="Nodust"/>
    <x v="2"/>
    <x v="16"/>
    <x v="13"/>
    <x v="1"/>
    <x v="1"/>
    <m/>
    <m/>
    <m/>
    <m/>
    <m/>
    <m/>
    <m/>
    <m/>
    <n v="75"/>
    <n v="75"/>
    <n v="75"/>
    <m/>
  </r>
  <r>
    <x v="184"/>
    <n v="2022"/>
    <n v="10"/>
    <s v="Cash Deposit Fees جيمس Payment"/>
    <x v="2"/>
    <x v="2"/>
    <x v="17"/>
    <x v="31"/>
    <x v="1"/>
    <m/>
    <m/>
    <m/>
    <m/>
    <m/>
    <m/>
    <m/>
    <n v="5"/>
    <m/>
    <n v="5"/>
    <n v="5"/>
    <m/>
  </r>
  <r>
    <x v="185"/>
    <n v="2022"/>
    <n v="10"/>
    <s v="Check Collection Fees Bashaier Payment"/>
    <x v="2"/>
    <x v="2"/>
    <x v="4"/>
    <x v="9"/>
    <x v="1"/>
    <m/>
    <m/>
    <m/>
    <m/>
    <m/>
    <m/>
    <m/>
    <n v="15"/>
    <m/>
    <n v="15"/>
    <n v="15"/>
    <m/>
  </r>
  <r>
    <x v="185"/>
    <n v="2022"/>
    <n v="10"/>
    <s v="Bashaier Fourth Payment30%(part2)-inv100997"/>
    <x v="4"/>
    <x v="7"/>
    <x v="5"/>
    <x v="9"/>
    <x v="4"/>
    <m/>
    <m/>
    <m/>
    <m/>
    <m/>
    <m/>
    <m/>
    <n v="-57000"/>
    <m/>
    <n v="-57000"/>
    <n v="57000"/>
    <m/>
  </r>
  <r>
    <x v="186"/>
    <n v="2022"/>
    <n v="10"/>
    <s v="Bank Pays Cash "/>
    <x v="5"/>
    <x v="9"/>
    <x v="7"/>
    <x v="1"/>
    <x v="5"/>
    <m/>
    <m/>
    <m/>
    <m/>
    <m/>
    <m/>
    <n v="-10000"/>
    <n v="10000"/>
    <m/>
    <n v="0"/>
    <n v="0"/>
    <m/>
  </r>
  <r>
    <x v="186"/>
    <n v="2022"/>
    <n v="10"/>
    <s v="Tark Salary Oct"/>
    <x v="6"/>
    <x v="17"/>
    <x v="14"/>
    <x v="19"/>
    <x v="6"/>
    <m/>
    <m/>
    <m/>
    <m/>
    <m/>
    <m/>
    <n v="3000"/>
    <m/>
    <m/>
    <n v="3000"/>
    <n v="3000"/>
    <m/>
  </r>
  <r>
    <x v="186"/>
    <n v="2022"/>
    <n v="10"/>
    <s v="Shady Salary Oct"/>
    <x v="6"/>
    <x v="17"/>
    <x v="14"/>
    <x v="19"/>
    <x v="6"/>
    <m/>
    <m/>
    <m/>
    <m/>
    <m/>
    <m/>
    <n v="5000"/>
    <m/>
    <m/>
    <n v="5000"/>
    <n v="5000"/>
    <m/>
  </r>
  <r>
    <x v="186"/>
    <n v="2022"/>
    <n v="10"/>
    <s v="Cheers payment Oct (inv 101006)"/>
    <x v="4"/>
    <x v="19"/>
    <x v="5"/>
    <x v="20"/>
    <x v="3"/>
    <m/>
    <m/>
    <m/>
    <m/>
    <m/>
    <m/>
    <m/>
    <n v="-2000"/>
    <m/>
    <n v="-2000"/>
    <n v="2000"/>
    <m/>
  </r>
  <r>
    <x v="186"/>
    <n v="2022"/>
    <n v="10"/>
    <s v="Cheers payment -VAT"/>
    <x v="4"/>
    <x v="19"/>
    <x v="6"/>
    <x v="20"/>
    <x v="3"/>
    <m/>
    <m/>
    <m/>
    <m/>
    <m/>
    <m/>
    <m/>
    <n v="-280"/>
    <m/>
    <n v="-280"/>
    <n v="280"/>
    <m/>
  </r>
  <r>
    <x v="186"/>
    <n v="2022"/>
    <n v="10"/>
    <s v="Cheers payment -Tax Deduction"/>
    <x v="3"/>
    <x v="5"/>
    <x v="5"/>
    <x v="20"/>
    <x v="3"/>
    <m/>
    <m/>
    <m/>
    <m/>
    <m/>
    <m/>
    <m/>
    <n v="60"/>
    <m/>
    <n v="60"/>
    <n v="60"/>
    <m/>
  </r>
  <r>
    <x v="186"/>
    <n v="2022"/>
    <n v="10"/>
    <s v="Check Collection Fees Cheers Payment"/>
    <x v="2"/>
    <x v="2"/>
    <x v="4"/>
    <x v="20"/>
    <x v="1"/>
    <m/>
    <m/>
    <m/>
    <m/>
    <m/>
    <m/>
    <m/>
    <n v="15"/>
    <m/>
    <n v="15"/>
    <n v="15"/>
    <m/>
  </r>
  <r>
    <x v="187"/>
    <n v="2022"/>
    <n v="10"/>
    <s v="Tax(ِJul,Aug,Sep/21)- ضرائب كسب العمل الفترة الثالثة"/>
    <x v="3"/>
    <x v="28"/>
    <x v="17"/>
    <x v="1"/>
    <x v="1"/>
    <m/>
    <m/>
    <m/>
    <m/>
    <m/>
    <m/>
    <m/>
    <n v="29544.240000000002"/>
    <m/>
    <n v="29544.240000000002"/>
    <n v="29544.240000000002"/>
    <m/>
  </r>
  <r>
    <x v="187"/>
    <n v="2022"/>
    <n v="10"/>
    <s v="Bank Tax Transfer Charge"/>
    <x v="2"/>
    <x v="2"/>
    <x v="2"/>
    <x v="1"/>
    <x v="1"/>
    <m/>
    <m/>
    <m/>
    <m/>
    <m/>
    <m/>
    <m/>
    <n v="50.52"/>
    <m/>
    <n v="50.52"/>
    <n v="50.52"/>
    <m/>
  </r>
  <r>
    <x v="187"/>
    <n v="2022"/>
    <n v="10"/>
    <s v="Alfa Electronics payment(inv101013)"/>
    <x v="4"/>
    <x v="4"/>
    <x v="5"/>
    <x v="2"/>
    <x v="0"/>
    <m/>
    <m/>
    <m/>
    <m/>
    <m/>
    <m/>
    <n v="-30083.759999999998"/>
    <m/>
    <m/>
    <n v="-30083.759999999998"/>
    <n v="30083.759999999998"/>
    <m/>
  </r>
  <r>
    <x v="187"/>
    <n v="2022"/>
    <n v="10"/>
    <s v="Alfa Electronics payment-VAT"/>
    <x v="4"/>
    <x v="4"/>
    <x v="6"/>
    <x v="2"/>
    <x v="0"/>
    <m/>
    <m/>
    <m/>
    <m/>
    <m/>
    <m/>
    <n v="-4211.76"/>
    <m/>
    <m/>
    <n v="-4211.76"/>
    <n v="4211.76"/>
    <m/>
  </r>
  <r>
    <x v="187"/>
    <n v="2022"/>
    <n v="10"/>
    <s v="Alfa Electronics payment-Tax Deduction"/>
    <x v="3"/>
    <x v="5"/>
    <x v="5"/>
    <x v="2"/>
    <x v="0"/>
    <m/>
    <m/>
    <m/>
    <m/>
    <m/>
    <m/>
    <n v="902.52"/>
    <m/>
    <m/>
    <n v="902.52"/>
    <n v="902.52"/>
    <m/>
  </r>
  <r>
    <x v="187"/>
    <n v="2022"/>
    <n v="10"/>
    <s v="Cash Pays Bank"/>
    <x v="5"/>
    <x v="9"/>
    <x v="10"/>
    <x v="1"/>
    <x v="5"/>
    <m/>
    <m/>
    <m/>
    <m/>
    <m/>
    <m/>
    <n v="33393"/>
    <n v="-33393"/>
    <m/>
    <n v="0"/>
    <n v="0"/>
    <m/>
  </r>
  <r>
    <x v="188"/>
    <n v="2022"/>
    <n v="10"/>
    <s v="Copticad Payment - Hosting (without inv)"/>
    <x v="4"/>
    <x v="24"/>
    <x v="29"/>
    <x v="38"/>
    <x v="3"/>
    <m/>
    <m/>
    <m/>
    <m/>
    <m/>
    <m/>
    <n v="-4000"/>
    <m/>
    <m/>
    <n v="-4000"/>
    <n v="4000"/>
    <m/>
  </r>
  <r>
    <x v="188"/>
    <n v="2022"/>
    <n v="10"/>
    <s v="Cash Pays Samer &amp; Margins"/>
    <x v="5"/>
    <x v="9"/>
    <x v="7"/>
    <x v="1"/>
    <x v="5"/>
    <m/>
    <n v="-3000"/>
    <m/>
    <m/>
    <m/>
    <m/>
    <n v="4000"/>
    <m/>
    <n v="-1000"/>
    <n v="0"/>
    <n v="0"/>
    <m/>
  </r>
  <r>
    <x v="188"/>
    <n v="2022"/>
    <n v="10"/>
    <s v="VAT September"/>
    <x v="6"/>
    <x v="17"/>
    <x v="14"/>
    <x v="19"/>
    <x v="6"/>
    <m/>
    <m/>
    <m/>
    <m/>
    <m/>
    <m/>
    <m/>
    <n v="42884.01"/>
    <m/>
    <n v="42884.01"/>
    <n v="42884.01"/>
    <m/>
  </r>
  <r>
    <x v="188"/>
    <n v="2022"/>
    <n v="10"/>
    <s v="Various Consumables-Oct"/>
    <x v="2"/>
    <x v="16"/>
    <x v="18"/>
    <x v="1"/>
    <x v="1"/>
    <m/>
    <m/>
    <m/>
    <m/>
    <m/>
    <m/>
    <m/>
    <m/>
    <n v="2011"/>
    <n v="2011"/>
    <n v="2011"/>
    <m/>
  </r>
  <r>
    <x v="188"/>
    <n v="2022"/>
    <n v="10"/>
    <s v="Ibrahim Transportation-Oct"/>
    <x v="2"/>
    <x v="20"/>
    <x v="19"/>
    <x v="1"/>
    <x v="1"/>
    <m/>
    <m/>
    <m/>
    <m/>
    <m/>
    <m/>
    <m/>
    <m/>
    <n v="416"/>
    <n v="416"/>
    <n v="416"/>
    <m/>
  </r>
  <r>
    <x v="189"/>
    <n v="2022"/>
    <n v="11"/>
    <s v="Overdraft Commission"/>
    <x v="2"/>
    <x v="2"/>
    <x v="33"/>
    <x v="1"/>
    <x v="1"/>
    <m/>
    <m/>
    <m/>
    <m/>
    <m/>
    <m/>
    <m/>
    <n v="17.690000000000001"/>
    <m/>
    <n v="17.690000000000001"/>
    <n v="17.690000000000001"/>
    <m/>
  </r>
  <r>
    <x v="189"/>
    <n v="2022"/>
    <n v="11"/>
    <s v="Min Balance Fees"/>
    <x v="2"/>
    <x v="2"/>
    <x v="2"/>
    <x v="1"/>
    <x v="1"/>
    <m/>
    <m/>
    <m/>
    <m/>
    <m/>
    <m/>
    <m/>
    <n v="25"/>
    <m/>
    <n v="25"/>
    <n v="25"/>
    <m/>
  </r>
  <r>
    <x v="189"/>
    <n v="2022"/>
    <n v="11"/>
    <s v="Debit Interests"/>
    <x v="2"/>
    <x v="2"/>
    <x v="2"/>
    <x v="1"/>
    <x v="1"/>
    <m/>
    <m/>
    <m/>
    <m/>
    <m/>
    <m/>
    <m/>
    <n v="9.83"/>
    <m/>
    <n v="9.83"/>
    <n v="9.83"/>
    <m/>
  </r>
  <r>
    <x v="190"/>
    <n v="2022"/>
    <n v="11"/>
    <s v="loan "/>
    <x v="5"/>
    <x v="9"/>
    <x v="10"/>
    <x v="1"/>
    <x v="5"/>
    <m/>
    <m/>
    <m/>
    <m/>
    <n v="45000"/>
    <m/>
    <m/>
    <n v="-45000"/>
    <m/>
    <n v="0"/>
    <n v="0"/>
    <m/>
  </r>
  <r>
    <x v="190"/>
    <n v="2022"/>
    <n v="11"/>
    <s v="Salaries Oct-1"/>
    <x v="6"/>
    <x v="17"/>
    <x v="14"/>
    <x v="19"/>
    <x v="6"/>
    <m/>
    <m/>
    <m/>
    <m/>
    <m/>
    <m/>
    <m/>
    <n v="68900"/>
    <m/>
    <n v="68900"/>
    <n v="68900"/>
    <m/>
  </r>
  <r>
    <x v="190"/>
    <n v="2022"/>
    <n v="11"/>
    <s v="Bank Pays Samer"/>
    <x v="5"/>
    <x v="9"/>
    <x v="10"/>
    <x v="1"/>
    <x v="5"/>
    <m/>
    <n v="-6000"/>
    <m/>
    <m/>
    <m/>
    <m/>
    <m/>
    <n v="6000"/>
    <m/>
    <n v="0"/>
    <n v="0"/>
    <m/>
  </r>
  <r>
    <x v="190"/>
    <n v="2022"/>
    <n v="11"/>
    <s v="Medfest Egypt Payment (inv 101016)"/>
    <x v="4"/>
    <x v="24"/>
    <x v="17"/>
    <x v="39"/>
    <x v="3"/>
    <m/>
    <m/>
    <m/>
    <m/>
    <m/>
    <m/>
    <m/>
    <n v="-2990.4100000000003"/>
    <m/>
    <n v="-2990.4100000000003"/>
    <n v="2990.4100000000003"/>
    <m/>
  </r>
  <r>
    <x v="190"/>
    <n v="2022"/>
    <n v="11"/>
    <s v="Medfest Egypt Payment - VAT"/>
    <x v="4"/>
    <x v="24"/>
    <x v="17"/>
    <x v="39"/>
    <x v="3"/>
    <m/>
    <m/>
    <m/>
    <m/>
    <m/>
    <m/>
    <m/>
    <n v="-418.65600000000006"/>
    <m/>
    <n v="-418.65600000000006"/>
    <n v="418.65600000000006"/>
    <m/>
  </r>
  <r>
    <x v="190"/>
    <n v="2022"/>
    <n v="11"/>
    <s v="Medfest Egypt Payment - Tax Deduction"/>
    <x v="3"/>
    <x v="5"/>
    <x v="17"/>
    <x v="39"/>
    <x v="3"/>
    <m/>
    <m/>
    <m/>
    <m/>
    <m/>
    <m/>
    <m/>
    <n v="89.712000000000003"/>
    <m/>
    <n v="89.712000000000003"/>
    <n v="89.712000000000003"/>
    <m/>
  </r>
  <r>
    <x v="190"/>
    <n v="2022"/>
    <n v="11"/>
    <s v="Cash Deposit Fees Medfest Payment"/>
    <x v="2"/>
    <x v="2"/>
    <x v="17"/>
    <x v="39"/>
    <x v="1"/>
    <m/>
    <m/>
    <m/>
    <m/>
    <m/>
    <m/>
    <m/>
    <n v="15"/>
    <m/>
    <n v="15"/>
    <n v="15"/>
    <m/>
  </r>
  <r>
    <x v="190"/>
    <n v="2022"/>
    <n v="11"/>
    <s v="Bank Pays Samer"/>
    <x v="5"/>
    <x v="9"/>
    <x v="10"/>
    <x v="1"/>
    <x v="5"/>
    <m/>
    <n v="-2990.4"/>
    <m/>
    <m/>
    <m/>
    <m/>
    <m/>
    <n v="2990.4"/>
    <m/>
    <n v="0"/>
    <n v="0"/>
    <m/>
  </r>
  <r>
    <x v="190"/>
    <n v="2022"/>
    <n v="11"/>
    <s v="HawkHost"/>
    <x v="0"/>
    <x v="0"/>
    <x v="0"/>
    <x v="39"/>
    <x v="6"/>
    <m/>
    <n v="2990"/>
    <m/>
    <m/>
    <m/>
    <m/>
    <m/>
    <m/>
    <m/>
    <n v="2990"/>
    <n v="2990"/>
    <m/>
  </r>
  <r>
    <x v="190"/>
    <n v="2022"/>
    <n v="11"/>
    <s v="GEMS paymentجيمس ايجيبت للخدمات التعليمية (inv100993)"/>
    <x v="4"/>
    <x v="24"/>
    <x v="17"/>
    <x v="31"/>
    <x v="3"/>
    <m/>
    <m/>
    <m/>
    <m/>
    <m/>
    <m/>
    <m/>
    <n v="-2872.58"/>
    <m/>
    <n v="-2872.58"/>
    <n v="2872.58"/>
    <m/>
  </r>
  <r>
    <x v="190"/>
    <n v="2022"/>
    <n v="11"/>
    <s v="GEMS paymentجيمس ايجيبت للخدمات التعليمية -VAT"/>
    <x v="4"/>
    <x v="24"/>
    <x v="6"/>
    <x v="31"/>
    <x v="3"/>
    <m/>
    <m/>
    <m/>
    <m/>
    <m/>
    <m/>
    <m/>
    <n v="-402.16120000000001"/>
    <m/>
    <n v="-402.16120000000001"/>
    <n v="402.16120000000001"/>
    <m/>
  </r>
  <r>
    <x v="190"/>
    <n v="2022"/>
    <n v="11"/>
    <s v="GEMS paymentجيمس ايجيبت للخدمات التعليمية -Tax Deduction"/>
    <x v="3"/>
    <x v="5"/>
    <x v="17"/>
    <x v="31"/>
    <x v="3"/>
    <m/>
    <m/>
    <m/>
    <m/>
    <m/>
    <m/>
    <m/>
    <n v="86.177399999999992"/>
    <m/>
    <n v="86.177399999999992"/>
    <n v="86.177399999999992"/>
    <m/>
  </r>
  <r>
    <x v="190"/>
    <n v="2022"/>
    <n v="11"/>
    <s v="Cash Deposit Fees جيمس Payment"/>
    <x v="2"/>
    <x v="2"/>
    <x v="17"/>
    <x v="31"/>
    <x v="1"/>
    <m/>
    <m/>
    <m/>
    <m/>
    <m/>
    <m/>
    <m/>
    <n v="5"/>
    <m/>
    <n v="5"/>
    <n v="5"/>
    <m/>
  </r>
  <r>
    <x v="190"/>
    <n v="2022"/>
    <n v="11"/>
    <s v="Rent (Nov/22)"/>
    <x v="2"/>
    <x v="12"/>
    <x v="1"/>
    <x v="1"/>
    <x v="1"/>
    <m/>
    <m/>
    <m/>
    <m/>
    <m/>
    <m/>
    <m/>
    <n v="14641"/>
    <m/>
    <n v="14641"/>
    <n v="14641"/>
    <m/>
  </r>
  <r>
    <x v="190"/>
    <n v="2022"/>
    <n v="11"/>
    <s v="Rent (Nov/22)"/>
    <x v="2"/>
    <x v="12"/>
    <x v="1"/>
    <x v="1"/>
    <x v="1"/>
    <m/>
    <m/>
    <m/>
    <m/>
    <m/>
    <m/>
    <m/>
    <n v="44.28"/>
    <m/>
    <n v="44.28"/>
    <n v="44.28"/>
    <m/>
  </r>
  <r>
    <x v="191"/>
    <n v="2022"/>
    <n v="11"/>
    <s v="Cash Pays Margins"/>
    <x v="5"/>
    <x v="9"/>
    <x v="7"/>
    <x v="1"/>
    <x v="5"/>
    <m/>
    <m/>
    <m/>
    <m/>
    <m/>
    <m/>
    <n v="350"/>
    <m/>
    <n v="-350"/>
    <n v="0"/>
    <n v="0"/>
    <m/>
  </r>
  <r>
    <x v="191"/>
    <n v="2022"/>
    <n v="11"/>
    <s v="Doorman Monthly salary (Nov/22)"/>
    <x v="2"/>
    <x v="8"/>
    <x v="1"/>
    <x v="1"/>
    <x v="1"/>
    <m/>
    <m/>
    <m/>
    <m/>
    <m/>
    <m/>
    <m/>
    <m/>
    <n v="350"/>
    <n v="350"/>
    <n v="350"/>
    <m/>
  </r>
  <r>
    <x v="192"/>
    <n v="2022"/>
    <n v="11"/>
    <s v="Shady Salary Oct-2"/>
    <x v="6"/>
    <x v="17"/>
    <x v="14"/>
    <x v="19"/>
    <x v="6"/>
    <m/>
    <m/>
    <m/>
    <m/>
    <m/>
    <m/>
    <m/>
    <n v="3000"/>
    <m/>
    <n v="3000"/>
    <n v="3000"/>
    <m/>
  </r>
  <r>
    <x v="193"/>
    <n v="2022"/>
    <n v="11"/>
    <s v="TATA Wise Monkeys Payment (Without Invoice)"/>
    <x v="4"/>
    <x v="17"/>
    <x v="14"/>
    <x v="30"/>
    <x v="6"/>
    <m/>
    <m/>
    <m/>
    <m/>
    <m/>
    <m/>
    <m/>
    <n v="-3650"/>
    <m/>
    <n v="-3650"/>
    <n v="3650"/>
    <m/>
  </r>
  <r>
    <x v="193"/>
    <n v="2022"/>
    <n v="11"/>
    <s v="Cash Pays Margins &amp; Samer"/>
    <x v="5"/>
    <x v="9"/>
    <x v="7"/>
    <x v="1"/>
    <x v="5"/>
    <m/>
    <n v="-400"/>
    <m/>
    <m/>
    <m/>
    <m/>
    <n v="1400"/>
    <m/>
    <n v="-1000"/>
    <n v="0"/>
    <n v="0"/>
    <m/>
  </r>
  <r>
    <x v="194"/>
    <n v="2022"/>
    <n v="11"/>
    <s v="Spoon -20% Final Payment(inv101014)"/>
    <x v="4"/>
    <x v="6"/>
    <x v="17"/>
    <x v="29"/>
    <x v="3"/>
    <m/>
    <m/>
    <m/>
    <m/>
    <m/>
    <m/>
    <m/>
    <n v="-4623.59"/>
    <m/>
    <n v="-4623.59"/>
    <n v="4623.59"/>
    <m/>
  </r>
  <r>
    <x v="194"/>
    <n v="2022"/>
    <n v="11"/>
    <s v="Spoon-20% Final Payment-VAT"/>
    <x v="4"/>
    <x v="6"/>
    <x v="6"/>
    <x v="29"/>
    <x v="3"/>
    <m/>
    <m/>
    <m/>
    <m/>
    <m/>
    <m/>
    <m/>
    <n v="-646.91200000000003"/>
    <m/>
    <n v="-646.91200000000003"/>
    <n v="646.91200000000003"/>
    <m/>
  </r>
  <r>
    <x v="194"/>
    <n v="2022"/>
    <n v="11"/>
    <s v="Spoon Payment(inv101017)"/>
    <x v="4"/>
    <x v="6"/>
    <x v="17"/>
    <x v="29"/>
    <x v="3"/>
    <m/>
    <m/>
    <m/>
    <m/>
    <m/>
    <m/>
    <m/>
    <n v="-675"/>
    <m/>
    <n v="-675"/>
    <n v="675"/>
    <m/>
  </r>
  <r>
    <x v="194"/>
    <n v="2022"/>
    <n v="11"/>
    <s v="Spoon Payment-VAT"/>
    <x v="4"/>
    <x v="6"/>
    <x v="6"/>
    <x v="29"/>
    <x v="3"/>
    <m/>
    <m/>
    <m/>
    <m/>
    <m/>
    <m/>
    <m/>
    <n v="-94.500000000000014"/>
    <m/>
    <n v="-94.500000000000014"/>
    <n v="94.500000000000014"/>
    <m/>
  </r>
  <r>
    <x v="194"/>
    <n v="2022"/>
    <n v="11"/>
    <s v="Cash Deposit Fees Spoon Payment"/>
    <x v="2"/>
    <x v="2"/>
    <x v="17"/>
    <x v="29"/>
    <x v="1"/>
    <m/>
    <m/>
    <m/>
    <m/>
    <m/>
    <m/>
    <m/>
    <n v="5"/>
    <m/>
    <n v="5"/>
    <n v="5"/>
    <m/>
  </r>
  <r>
    <x v="194"/>
    <n v="2022"/>
    <n v="11"/>
    <s v="Bank Pays Samer"/>
    <x v="5"/>
    <x v="9"/>
    <x v="10"/>
    <x v="1"/>
    <x v="5"/>
    <m/>
    <n v="-6950"/>
    <m/>
    <m/>
    <m/>
    <m/>
    <m/>
    <n v="6950"/>
    <m/>
    <n v="0"/>
    <n v="0"/>
    <m/>
  </r>
  <r>
    <x v="194"/>
    <n v="2022"/>
    <n v="11"/>
    <s v="Regency 40% downpayment (inv101021)"/>
    <x v="4"/>
    <x v="6"/>
    <x v="17"/>
    <x v="40"/>
    <x v="3"/>
    <m/>
    <m/>
    <m/>
    <m/>
    <m/>
    <m/>
    <m/>
    <n v="-10200"/>
    <m/>
    <n v="-10200"/>
    <n v="10200"/>
    <m/>
  </r>
  <r>
    <x v="194"/>
    <n v="2022"/>
    <n v="11"/>
    <s v="Regency 40% downpayment-VAT"/>
    <x v="4"/>
    <x v="6"/>
    <x v="6"/>
    <x v="40"/>
    <x v="3"/>
    <m/>
    <m/>
    <m/>
    <m/>
    <m/>
    <m/>
    <m/>
    <n v="-1428.0000000000002"/>
    <m/>
    <n v="-1428.0000000000002"/>
    <n v="1428.0000000000002"/>
    <m/>
  </r>
  <r>
    <x v="194"/>
    <n v="2022"/>
    <n v="11"/>
    <s v="Cash Deposit Fees Regency Payment"/>
    <x v="2"/>
    <x v="2"/>
    <x v="17"/>
    <x v="40"/>
    <x v="1"/>
    <m/>
    <m/>
    <m/>
    <m/>
    <m/>
    <m/>
    <m/>
    <n v="5"/>
    <m/>
    <n v="5"/>
    <n v="5"/>
    <m/>
  </r>
  <r>
    <x v="195"/>
    <n v="2022"/>
    <n v="11"/>
    <s v="Fulbright Commission Payment (inv100999)"/>
    <x v="4"/>
    <x v="6"/>
    <x v="10"/>
    <x v="41"/>
    <x v="3"/>
    <m/>
    <m/>
    <m/>
    <m/>
    <m/>
    <m/>
    <m/>
    <n v="-3150"/>
    <m/>
    <n v="-3150"/>
    <n v="3150"/>
    <m/>
  </r>
  <r>
    <x v="195"/>
    <n v="2022"/>
    <n v="11"/>
    <s v="Fulbright Commission Payment - VAT"/>
    <x v="4"/>
    <x v="6"/>
    <x v="6"/>
    <x v="41"/>
    <x v="3"/>
    <m/>
    <m/>
    <m/>
    <m/>
    <m/>
    <m/>
    <m/>
    <n v="-441.00000000000006"/>
    <m/>
    <n v="-441.00000000000006"/>
    <n v="441.00000000000006"/>
    <m/>
  </r>
  <r>
    <x v="195"/>
    <n v="2022"/>
    <n v="11"/>
    <s v="Cash Deposit Fees Fulbright Payment"/>
    <x v="2"/>
    <x v="2"/>
    <x v="17"/>
    <x v="41"/>
    <x v="1"/>
    <m/>
    <m/>
    <m/>
    <m/>
    <m/>
    <m/>
    <m/>
    <n v="5"/>
    <m/>
    <n v="5"/>
    <n v="5"/>
    <m/>
  </r>
  <r>
    <x v="195"/>
    <n v="2022"/>
    <n v="11"/>
    <s v="Fulbright Commission Payment (inv101012)"/>
    <x v="4"/>
    <x v="24"/>
    <x v="10"/>
    <x v="41"/>
    <x v="3"/>
    <m/>
    <m/>
    <m/>
    <m/>
    <m/>
    <m/>
    <m/>
    <n v="-2776.74"/>
    <m/>
    <n v="-2776.74"/>
    <n v="2776.74"/>
    <m/>
  </r>
  <r>
    <x v="195"/>
    <n v="2022"/>
    <n v="11"/>
    <s v="Fulbright Commission Payment - VAT"/>
    <x v="4"/>
    <x v="24"/>
    <x v="6"/>
    <x v="41"/>
    <x v="3"/>
    <m/>
    <m/>
    <m/>
    <m/>
    <m/>
    <m/>
    <m/>
    <n v="-388.74360000000001"/>
    <m/>
    <n v="-388.74360000000001"/>
    <n v="388.74360000000001"/>
    <m/>
  </r>
  <r>
    <x v="195"/>
    <n v="2022"/>
    <n v="11"/>
    <s v="Cash Deposit Fees Fulbright Payment"/>
    <x v="2"/>
    <x v="2"/>
    <x v="17"/>
    <x v="41"/>
    <x v="1"/>
    <m/>
    <m/>
    <m/>
    <m/>
    <m/>
    <m/>
    <m/>
    <n v="5"/>
    <m/>
    <n v="5"/>
    <n v="5"/>
    <m/>
  </r>
  <r>
    <x v="196"/>
    <n v="2022"/>
    <n v="11"/>
    <s v="Salaries Oct-3"/>
    <x v="4"/>
    <x v="17"/>
    <x v="14"/>
    <x v="1"/>
    <x v="6"/>
    <m/>
    <m/>
    <m/>
    <m/>
    <m/>
    <m/>
    <m/>
    <n v="11600"/>
    <m/>
    <n v="11600"/>
    <n v="11600"/>
    <m/>
  </r>
  <r>
    <x v="197"/>
    <n v="2022"/>
    <n v="11"/>
    <s v="sky line Adel Farouk Shafik (Without invoice)"/>
    <x v="4"/>
    <x v="17"/>
    <x v="14"/>
    <x v="1"/>
    <x v="6"/>
    <m/>
    <m/>
    <m/>
    <m/>
    <m/>
    <m/>
    <n v="-20000"/>
    <m/>
    <m/>
    <n v="-20000"/>
    <n v="20000"/>
    <m/>
  </r>
  <r>
    <x v="197"/>
    <n v="2022"/>
    <n v="11"/>
    <s v="Hazem&amp;nathalie&amp;Mohamed ibrahim Salaries Oct-4"/>
    <x v="6"/>
    <x v="17"/>
    <x v="14"/>
    <x v="19"/>
    <x v="6"/>
    <m/>
    <m/>
    <m/>
    <m/>
    <m/>
    <m/>
    <n v="10500"/>
    <m/>
    <m/>
    <n v="10500"/>
    <n v="10500"/>
    <m/>
  </r>
  <r>
    <x v="197"/>
    <n v="2022"/>
    <n v="11"/>
    <s v="Cash Pays Samer"/>
    <x v="5"/>
    <x v="9"/>
    <x v="7"/>
    <x v="1"/>
    <x v="6"/>
    <m/>
    <n v="-6000"/>
    <m/>
    <m/>
    <m/>
    <m/>
    <n v="6000"/>
    <m/>
    <m/>
    <n v="0"/>
    <n v="0"/>
    <m/>
  </r>
  <r>
    <x v="198"/>
    <n v="2022"/>
    <n v="11"/>
    <s v="We Internet Recharge "/>
    <x v="2"/>
    <x v="22"/>
    <x v="27"/>
    <x v="1"/>
    <x v="1"/>
    <m/>
    <m/>
    <m/>
    <m/>
    <m/>
    <m/>
    <n v="1140"/>
    <m/>
    <m/>
    <n v="1140"/>
    <n v="1140"/>
    <m/>
  </r>
  <r>
    <x v="198"/>
    <n v="2022"/>
    <n v="11"/>
    <s v="SILS Website 30% Downpayment -Second Paymentاي ليرن للاستثمار التعليمي  (inv101027)"/>
    <x v="4"/>
    <x v="6"/>
    <x v="17"/>
    <x v="35"/>
    <x v="3"/>
    <m/>
    <m/>
    <m/>
    <m/>
    <m/>
    <m/>
    <m/>
    <n v="-10050"/>
    <m/>
    <n v="-10050"/>
    <n v="10050"/>
    <m/>
  </r>
  <r>
    <x v="198"/>
    <n v="2022"/>
    <n v="11"/>
    <s v="SILS Website 30% Downpayment -Second Paymentاي ليرن للاستثمار التعليمي-VAT"/>
    <x v="4"/>
    <x v="6"/>
    <x v="6"/>
    <x v="35"/>
    <x v="3"/>
    <m/>
    <m/>
    <m/>
    <m/>
    <m/>
    <m/>
    <m/>
    <n v="-1407.0000000000002"/>
    <m/>
    <n v="-1407.0000000000002"/>
    <n v="1407.0000000000002"/>
    <m/>
  </r>
  <r>
    <x v="198"/>
    <n v="2022"/>
    <n v="11"/>
    <s v="Cash Deposit Fees اي ليرن Payment"/>
    <x v="2"/>
    <x v="2"/>
    <x v="17"/>
    <x v="35"/>
    <x v="1"/>
    <m/>
    <m/>
    <m/>
    <m/>
    <m/>
    <m/>
    <m/>
    <n v="5"/>
    <m/>
    <n v="5"/>
    <n v="5"/>
    <m/>
  </r>
  <r>
    <x v="198"/>
    <n v="2022"/>
    <n v="11"/>
    <s v="Check Collection Fees Bashaier Payment"/>
    <x v="2"/>
    <x v="2"/>
    <x v="4"/>
    <x v="9"/>
    <x v="1"/>
    <m/>
    <m/>
    <m/>
    <m/>
    <m/>
    <m/>
    <m/>
    <n v="15"/>
    <m/>
    <n v="15"/>
    <n v="15"/>
    <m/>
  </r>
  <r>
    <x v="198"/>
    <n v="2022"/>
    <n v="11"/>
    <s v="Bashaier Fourth Payment30%(part3)-inv100997"/>
    <x v="4"/>
    <x v="7"/>
    <x v="5"/>
    <x v="9"/>
    <x v="4"/>
    <m/>
    <m/>
    <m/>
    <m/>
    <m/>
    <m/>
    <m/>
    <n v="-36860"/>
    <m/>
    <n v="-36860"/>
    <n v="36860"/>
    <m/>
  </r>
  <r>
    <x v="198"/>
    <n v="2022"/>
    <n v="11"/>
    <s v="Bashaier Fourth Payment30%(part3)-VAT"/>
    <x v="4"/>
    <x v="7"/>
    <x v="6"/>
    <x v="9"/>
    <x v="4"/>
    <m/>
    <m/>
    <m/>
    <m/>
    <m/>
    <m/>
    <m/>
    <n v="-19320.000000000004"/>
    <m/>
    <n v="-19320.000000000004"/>
    <n v="19320.000000000004"/>
    <m/>
  </r>
  <r>
    <x v="198"/>
    <n v="2022"/>
    <n v="11"/>
    <s v="Cash Pays Margins"/>
    <x v="5"/>
    <x v="9"/>
    <x v="7"/>
    <x v="1"/>
    <x v="5"/>
    <m/>
    <m/>
    <m/>
    <m/>
    <m/>
    <m/>
    <n v="510"/>
    <m/>
    <n v="-510"/>
    <n v="0"/>
    <n v="0"/>
    <m/>
  </r>
  <r>
    <x v="198"/>
    <n v="2022"/>
    <n v="11"/>
    <s v="Cash Pays Samer"/>
    <x v="5"/>
    <x v="9"/>
    <x v="7"/>
    <x v="1"/>
    <x v="5"/>
    <m/>
    <n v="-1850"/>
    <m/>
    <m/>
    <m/>
    <m/>
    <n v="1850"/>
    <m/>
    <m/>
    <n v="0"/>
    <n v="0"/>
    <m/>
  </r>
  <r>
    <x v="198"/>
    <n v="2022"/>
    <n v="11"/>
    <s v="Cash Pays Margins"/>
    <x v="5"/>
    <x v="9"/>
    <x v="7"/>
    <x v="1"/>
    <x v="5"/>
    <m/>
    <m/>
    <m/>
    <m/>
    <m/>
    <m/>
    <n v="195"/>
    <m/>
    <n v="-195"/>
    <n v="0"/>
    <n v="0"/>
    <m/>
  </r>
  <r>
    <x v="196"/>
    <n v="2022"/>
    <n v="11"/>
    <s v="Turni Benefit Hosting(Nov/22)-Hetzner"/>
    <x v="0"/>
    <x v="0"/>
    <x v="0"/>
    <x v="0"/>
    <x v="0"/>
    <m/>
    <m/>
    <m/>
    <m/>
    <m/>
    <m/>
    <m/>
    <n v="2169.599416"/>
    <m/>
    <n v="2169.599416"/>
    <n v="2169.599416"/>
    <m/>
  </r>
  <r>
    <x v="199"/>
    <n v="1900"/>
    <n v="1"/>
    <m/>
    <x v="6"/>
    <x v="17"/>
    <x v="14"/>
    <x v="19"/>
    <x v="6"/>
    <m/>
    <m/>
    <m/>
    <m/>
    <m/>
    <m/>
    <m/>
    <n v="2190.21"/>
    <m/>
    <n v="2190.21"/>
    <n v="2190.21"/>
    <m/>
  </r>
  <r>
    <x v="199"/>
    <n v="1900"/>
    <n v="1"/>
    <s v="HawkHost 1 FERGUS CA"/>
    <x v="0"/>
    <x v="0"/>
    <x v="0"/>
    <x v="5"/>
    <x v="3"/>
    <m/>
    <m/>
    <m/>
    <m/>
    <m/>
    <m/>
    <m/>
    <n v="3630.87"/>
    <m/>
    <n v="3630.87"/>
    <n v="3630.87"/>
    <m/>
  </r>
  <r>
    <x v="199"/>
    <n v="1900"/>
    <n v="1"/>
    <m/>
    <x v="6"/>
    <x v="17"/>
    <x v="14"/>
    <x v="19"/>
    <x v="6"/>
    <m/>
    <m/>
    <m/>
    <m/>
    <m/>
    <m/>
    <m/>
    <n v="2189.1999999999998"/>
    <m/>
    <n v="2189.1999999999998"/>
    <n v="2189.1999999999998"/>
    <m/>
  </r>
  <r>
    <x v="198"/>
    <n v="2022"/>
    <n v="11"/>
    <s v="Iscore payment الشركة المصرية للاستعلام الائتماني (inv101005)"/>
    <x v="4"/>
    <x v="19"/>
    <x v="17"/>
    <x v="13"/>
    <x v="0"/>
    <m/>
    <m/>
    <m/>
    <m/>
    <m/>
    <m/>
    <m/>
    <n v="-18364.056600000004"/>
    <m/>
    <n v="-18364.056600000004"/>
    <n v="18364.056600000004"/>
    <m/>
  </r>
  <r>
    <x v="198"/>
    <n v="2022"/>
    <n v="11"/>
    <s v="Iscore payment الشركة المصرية للاستعلام الائتماني-VAT"/>
    <x v="4"/>
    <x v="19"/>
    <x v="6"/>
    <x v="13"/>
    <x v="0"/>
    <m/>
    <m/>
    <m/>
    <m/>
    <m/>
    <m/>
    <m/>
    <n v="-2566.5873240000005"/>
    <m/>
    <n v="-2566.5873240000005"/>
    <n v="2566.5873240000005"/>
    <m/>
  </r>
  <r>
    <x v="198"/>
    <n v="2022"/>
    <n v="11"/>
    <s v="Iscore payment الشركة المصرية للاستعلام الائتماني- Tax Deduction"/>
    <x v="3"/>
    <x v="5"/>
    <x v="17"/>
    <x v="13"/>
    <x v="0"/>
    <m/>
    <m/>
    <m/>
    <m/>
    <m/>
    <m/>
    <m/>
    <n v="549.98299799999995"/>
    <m/>
    <n v="549.98299799999995"/>
    <n v="549.98299799999995"/>
    <m/>
  </r>
  <r>
    <x v="198"/>
    <n v="2022"/>
    <n v="11"/>
    <s v="Cash Deposit Fees Iscore Payment"/>
    <x v="2"/>
    <x v="2"/>
    <x v="17"/>
    <x v="13"/>
    <x v="1"/>
    <m/>
    <m/>
    <m/>
    <m/>
    <m/>
    <m/>
    <m/>
    <n v="5"/>
    <m/>
    <n v="5"/>
    <n v="5"/>
    <m/>
  </r>
  <r>
    <x v="198"/>
    <n v="2022"/>
    <n v="11"/>
    <s v="Nodust"/>
    <x v="2"/>
    <x v="16"/>
    <x v="13"/>
    <x v="1"/>
    <x v="1"/>
    <m/>
    <m/>
    <m/>
    <m/>
    <m/>
    <m/>
    <m/>
    <m/>
    <n v="75"/>
    <n v="75"/>
    <n v="75"/>
    <m/>
  </r>
  <r>
    <x v="200"/>
    <n v="2022"/>
    <n v="11"/>
    <s v="Various Consumables-Nov"/>
    <x v="2"/>
    <x v="16"/>
    <x v="18"/>
    <x v="1"/>
    <x v="1"/>
    <m/>
    <m/>
    <m/>
    <m/>
    <m/>
    <m/>
    <m/>
    <m/>
    <n v="1854"/>
    <n v="1854"/>
    <n v="1854"/>
    <m/>
  </r>
  <r>
    <x v="200"/>
    <n v="2022"/>
    <n v="11"/>
    <s v="Ibrahim Transportation-Nov"/>
    <x v="2"/>
    <x v="20"/>
    <x v="19"/>
    <x v="1"/>
    <x v="1"/>
    <m/>
    <m/>
    <m/>
    <m/>
    <m/>
    <m/>
    <m/>
    <m/>
    <n v="70"/>
    <n v="70"/>
    <n v="70"/>
    <m/>
  </r>
  <r>
    <x v="200"/>
    <n v="2022"/>
    <n v="11"/>
    <s v="Alfa Electronics payment(inv101023)"/>
    <x v="4"/>
    <x v="4"/>
    <x v="5"/>
    <x v="2"/>
    <x v="0"/>
    <m/>
    <m/>
    <m/>
    <m/>
    <m/>
    <m/>
    <n v="-36800"/>
    <m/>
    <m/>
    <n v="-36800"/>
    <n v="36800"/>
    <m/>
  </r>
  <r>
    <x v="200"/>
    <n v="2022"/>
    <n v="11"/>
    <s v="Alfa Electronics payment-VAT"/>
    <x v="4"/>
    <x v="4"/>
    <x v="6"/>
    <x v="2"/>
    <x v="0"/>
    <m/>
    <m/>
    <m/>
    <m/>
    <m/>
    <m/>
    <n v="-5152.0000000000009"/>
    <m/>
    <m/>
    <n v="-5152.0000000000009"/>
    <n v="5152.0000000000009"/>
    <m/>
  </r>
  <r>
    <x v="200"/>
    <n v="2022"/>
    <n v="11"/>
    <s v="Alfa Electronics payment-Tax Deduction"/>
    <x v="3"/>
    <x v="5"/>
    <x v="5"/>
    <x v="2"/>
    <x v="0"/>
    <m/>
    <m/>
    <m/>
    <m/>
    <m/>
    <m/>
    <n v="1104"/>
    <m/>
    <m/>
    <n v="1104"/>
    <n v="1104"/>
    <m/>
  </r>
  <r>
    <x v="200"/>
    <n v="2022"/>
    <n v="11"/>
    <s v="Turni Server Management (Nov22-Dec22)"/>
    <x v="0"/>
    <x v="11"/>
    <x v="14"/>
    <x v="0"/>
    <x v="0"/>
    <m/>
    <n v="5000"/>
    <m/>
    <m/>
    <m/>
    <m/>
    <m/>
    <m/>
    <m/>
    <n v="5000"/>
    <n v="5000"/>
    <m/>
  </r>
  <r>
    <x v="200"/>
    <n v="2022"/>
    <n v="11"/>
    <s v="Alfa Electronics payment(inv101024)"/>
    <x v="4"/>
    <x v="24"/>
    <x v="5"/>
    <x v="0"/>
    <x v="3"/>
    <m/>
    <m/>
    <m/>
    <m/>
    <m/>
    <m/>
    <n v="-10196"/>
    <m/>
    <m/>
    <n v="-10196"/>
    <n v="10196"/>
    <m/>
  </r>
  <r>
    <x v="200"/>
    <n v="2022"/>
    <n v="11"/>
    <s v="Alfa Electronics payment-VAT"/>
    <x v="4"/>
    <x v="24"/>
    <x v="6"/>
    <x v="0"/>
    <x v="3"/>
    <m/>
    <m/>
    <m/>
    <m/>
    <m/>
    <m/>
    <n v="-1427.44"/>
    <m/>
    <m/>
    <n v="-1427.44"/>
    <n v="1427.44"/>
    <m/>
  </r>
  <r>
    <x v="200"/>
    <n v="2022"/>
    <n v="11"/>
    <s v="Alfa Electronics payment-Tax Deduction"/>
    <x v="3"/>
    <x v="5"/>
    <x v="5"/>
    <x v="0"/>
    <x v="3"/>
    <m/>
    <m/>
    <m/>
    <m/>
    <m/>
    <m/>
    <n v="305.88"/>
    <m/>
    <m/>
    <n v="305.88"/>
    <n v="305.88"/>
    <m/>
  </r>
  <r>
    <x v="200"/>
    <n v="2022"/>
    <n v="11"/>
    <s v="Cash Pays Samer (Turni)"/>
    <x v="5"/>
    <x v="9"/>
    <x v="7"/>
    <x v="1"/>
    <x v="5"/>
    <m/>
    <n v="-5000"/>
    <m/>
    <m/>
    <m/>
    <m/>
    <n v="5000"/>
    <m/>
    <m/>
    <n v="0"/>
    <n v="0"/>
    <m/>
  </r>
  <r>
    <x v="200"/>
    <n v="2022"/>
    <n v="11"/>
    <s v="Samer Pays Margins"/>
    <x v="5"/>
    <x v="9"/>
    <x v="7"/>
    <x v="1"/>
    <x v="5"/>
    <m/>
    <n v="1850"/>
    <m/>
    <m/>
    <m/>
    <m/>
    <n v="-1850"/>
    <m/>
    <m/>
    <n v="0"/>
    <n v="0"/>
    <m/>
  </r>
  <r>
    <x v="200"/>
    <n v="2022"/>
    <n v="11"/>
    <s v="Cash Pays Bank"/>
    <x v="5"/>
    <x v="9"/>
    <x v="7"/>
    <x v="1"/>
    <x v="5"/>
    <m/>
    <m/>
    <m/>
    <m/>
    <m/>
    <m/>
    <n v="47165.56"/>
    <n v="-47165"/>
    <m/>
    <n v="0.55999999999767169"/>
    <n v="0.55999999999767169"/>
    <m/>
  </r>
  <r>
    <x v="201"/>
    <n v="2022"/>
    <n v="11"/>
    <s v="VAT October"/>
    <x v="3"/>
    <x v="3"/>
    <x v="3"/>
    <x v="1"/>
    <x v="6"/>
    <m/>
    <m/>
    <m/>
    <m/>
    <m/>
    <m/>
    <m/>
    <n v="13442.35"/>
    <m/>
    <n v="13442.35"/>
    <n v="13442.35"/>
    <m/>
  </r>
  <r>
    <x v="201"/>
    <n v="2022"/>
    <n v="11"/>
    <s v="Bank VAT Transfer Charge"/>
    <x v="2"/>
    <x v="2"/>
    <x v="24"/>
    <x v="1"/>
    <x v="1"/>
    <m/>
    <m/>
    <m/>
    <m/>
    <m/>
    <m/>
    <m/>
    <n v="144.5"/>
    <m/>
    <n v="144.5"/>
    <n v="144.5"/>
    <m/>
  </r>
  <r>
    <x v="201"/>
    <n v="2022"/>
    <n v="11"/>
    <s v="WILS Website 30% Downpayment -Second Paymentاي ليرن للخدمات التعليمية  (inv101028)"/>
    <x v="4"/>
    <x v="6"/>
    <x v="17"/>
    <x v="35"/>
    <x v="3"/>
    <m/>
    <m/>
    <m/>
    <m/>
    <m/>
    <m/>
    <m/>
    <n v="-10050"/>
    <m/>
    <n v="-10050"/>
    <n v="10050"/>
    <m/>
  </r>
  <r>
    <x v="201"/>
    <n v="2022"/>
    <n v="11"/>
    <s v="WILS Website 30% Downpayment -Second Paymentاي ليرن للخدمات التعليمية-VAT"/>
    <x v="4"/>
    <x v="6"/>
    <x v="6"/>
    <x v="35"/>
    <x v="3"/>
    <m/>
    <m/>
    <m/>
    <m/>
    <m/>
    <m/>
    <m/>
    <n v="-1407.0000000000002"/>
    <m/>
    <n v="-1407.0000000000002"/>
    <n v="1407.0000000000002"/>
    <m/>
  </r>
  <r>
    <x v="201"/>
    <n v="2022"/>
    <n v="11"/>
    <s v="Cash Deposit Fees اي ليرن Payment"/>
    <x v="2"/>
    <x v="2"/>
    <x v="17"/>
    <x v="35"/>
    <x v="1"/>
    <m/>
    <m/>
    <m/>
    <m/>
    <m/>
    <m/>
    <m/>
    <n v="5"/>
    <m/>
    <n v="5"/>
    <n v="5"/>
    <m/>
  </r>
  <r>
    <x v="201"/>
    <n v="2022"/>
    <n v="11"/>
    <s v="Salaries Nov/22"/>
    <x v="6"/>
    <x v="17"/>
    <x v="14"/>
    <x v="19"/>
    <x v="6"/>
    <m/>
    <m/>
    <m/>
    <m/>
    <m/>
    <m/>
    <m/>
    <n v="106000"/>
    <m/>
    <n v="106000"/>
    <n v="106000"/>
    <m/>
  </r>
  <r>
    <x v="202"/>
    <n v="2022"/>
    <n v="12"/>
    <s v="Electricity"/>
    <x v="2"/>
    <x v="13"/>
    <x v="11"/>
    <x v="1"/>
    <x v="1"/>
    <m/>
    <n v="3145.4700000000003"/>
    <m/>
    <m/>
    <m/>
    <m/>
    <m/>
    <n v="2245.1799999999998"/>
    <m/>
    <n v="5390.65"/>
    <n v="5390.65"/>
    <m/>
  </r>
  <r>
    <x v="202"/>
    <n v="2022"/>
    <n v="12"/>
    <s v="Bank Pays Samer"/>
    <x v="5"/>
    <x v="9"/>
    <x v="10"/>
    <x v="1"/>
    <x v="5"/>
    <m/>
    <n v="-2595"/>
    <m/>
    <m/>
    <m/>
    <m/>
    <m/>
    <n v="2595"/>
    <m/>
    <n v="0"/>
    <n v="0"/>
    <m/>
  </r>
  <r>
    <x v="202"/>
    <n v="2022"/>
    <n v="12"/>
    <s v="Cash Pays Samer &amp; Margins"/>
    <x v="5"/>
    <x v="9"/>
    <x v="7"/>
    <x v="1"/>
    <x v="5"/>
    <m/>
    <n v="-550"/>
    <m/>
    <m/>
    <m/>
    <m/>
    <n v="1850"/>
    <m/>
    <n v="-1300"/>
    <n v="0"/>
    <n v="0"/>
    <m/>
  </r>
  <r>
    <x v="203"/>
    <n v="2022"/>
    <n v="12"/>
    <s v="TATA Wise Monkeys Payment (Without Invoice)"/>
    <x v="4"/>
    <x v="17"/>
    <x v="14"/>
    <x v="30"/>
    <x v="6"/>
    <m/>
    <m/>
    <m/>
    <m/>
    <m/>
    <m/>
    <m/>
    <n v="-3650"/>
    <m/>
    <n v="-3650"/>
    <n v="3650"/>
    <m/>
  </r>
  <r>
    <x v="204"/>
    <n v="2022"/>
    <n v="12"/>
    <s v="Bank Pays Cash &amp; Margins"/>
    <x v="5"/>
    <x v="9"/>
    <x v="7"/>
    <x v="1"/>
    <x v="5"/>
    <m/>
    <m/>
    <m/>
    <m/>
    <m/>
    <m/>
    <n v="-6000"/>
    <n v="6400"/>
    <n v="-400"/>
    <n v="0"/>
    <n v="0"/>
    <m/>
  </r>
  <r>
    <x v="204"/>
    <n v="2022"/>
    <n v="12"/>
    <s v="Legal Accountant Fees Mr/Medhat Fawzy"/>
    <x v="2"/>
    <x v="8"/>
    <x v="39"/>
    <x v="1"/>
    <x v="1"/>
    <m/>
    <m/>
    <m/>
    <m/>
    <m/>
    <m/>
    <n v="6000"/>
    <m/>
    <m/>
    <n v="6000"/>
    <n v="6000"/>
    <m/>
  </r>
  <r>
    <x v="205"/>
    <n v="0"/>
    <n v="12"/>
    <s v="Bank Pays Margins"/>
    <x v="5"/>
    <x v="9"/>
    <x v="7"/>
    <x v="1"/>
    <x v="5"/>
    <m/>
    <m/>
    <m/>
    <m/>
    <m/>
    <m/>
    <m/>
    <n v="3000"/>
    <n v="-3000"/>
    <n v="0"/>
    <n v="0"/>
    <m/>
  </r>
  <r>
    <x v="206"/>
    <n v="2022"/>
    <n v="12"/>
    <s v="Nowpay.cash website full payment - inv 101032"/>
    <x v="4"/>
    <x v="6"/>
    <x v="17"/>
    <x v="28"/>
    <x v="3"/>
    <m/>
    <m/>
    <m/>
    <m/>
    <m/>
    <m/>
    <m/>
    <n v="-8815"/>
    <n v="3873.5"/>
    <n v="-4941.5"/>
    <n v="4941.5"/>
    <m/>
  </r>
  <r>
    <x v="206"/>
    <n v="2022"/>
    <n v="12"/>
    <s v="Nowpay.cash website full payment - VAT"/>
    <x v="4"/>
    <x v="6"/>
    <x v="6"/>
    <x v="28"/>
    <x v="3"/>
    <m/>
    <m/>
    <m/>
    <m/>
    <m/>
    <m/>
    <m/>
    <n v="-1234.1000000000001"/>
    <m/>
    <n v="-1234.1000000000001"/>
    <n v="1234.1000000000001"/>
    <m/>
  </r>
  <r>
    <x v="206"/>
    <n v="2022"/>
    <n v="12"/>
    <s v="Nowpay.cash website full payment - Tax Deduction"/>
    <x v="3"/>
    <x v="5"/>
    <x v="17"/>
    <x v="28"/>
    <x v="3"/>
    <m/>
    <m/>
    <m/>
    <m/>
    <m/>
    <m/>
    <m/>
    <n v="264.45"/>
    <m/>
    <n v="264.45"/>
    <n v="264.45"/>
    <m/>
  </r>
  <r>
    <x v="207"/>
    <n v="2022"/>
    <n v="12"/>
    <s v="Paraguru Payment - inv 101010"/>
    <x v="4"/>
    <x v="6"/>
    <x v="29"/>
    <x v="42"/>
    <x v="3"/>
    <m/>
    <m/>
    <m/>
    <m/>
    <m/>
    <m/>
    <n v="-900"/>
    <m/>
    <m/>
    <n v="-900"/>
    <n v="900"/>
    <m/>
  </r>
  <r>
    <x v="207"/>
    <n v="2022"/>
    <n v="12"/>
    <s v="Paraguru Payment - VAT"/>
    <x v="4"/>
    <x v="6"/>
    <x v="6"/>
    <x v="42"/>
    <x v="3"/>
    <m/>
    <m/>
    <m/>
    <m/>
    <m/>
    <m/>
    <n v="-126.00000000000001"/>
    <m/>
    <m/>
    <n v="-126.00000000000001"/>
    <n v="126.00000000000001"/>
    <m/>
  </r>
  <r>
    <x v="207"/>
    <n v="2022"/>
    <n v="12"/>
    <s v="Paraguru Payment - inv 101022"/>
    <x v="4"/>
    <x v="6"/>
    <x v="29"/>
    <x v="42"/>
    <x v="3"/>
    <m/>
    <m/>
    <m/>
    <m/>
    <m/>
    <m/>
    <n v="-4950"/>
    <m/>
    <m/>
    <n v="-4950"/>
    <n v="4950"/>
    <m/>
  </r>
  <r>
    <x v="207"/>
    <n v="2022"/>
    <n v="12"/>
    <s v="Paraguru Payment - VAT"/>
    <x v="4"/>
    <x v="6"/>
    <x v="6"/>
    <x v="42"/>
    <x v="3"/>
    <m/>
    <m/>
    <m/>
    <m/>
    <m/>
    <m/>
    <n v="-693.00000000000011"/>
    <m/>
    <m/>
    <n v="-693.00000000000011"/>
    <n v="693.00000000000011"/>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n v="1900"/>
    <n v="1"/>
    <m/>
    <x v="6"/>
    <x v="17"/>
    <x v="14"/>
    <x v="19"/>
    <x v="6"/>
    <m/>
    <m/>
    <m/>
    <m/>
    <m/>
    <m/>
    <m/>
    <m/>
    <m/>
    <n v="0"/>
    <n v="0"/>
    <m/>
  </r>
  <r>
    <x v="199"/>
    <m/>
    <m/>
    <m/>
    <x v="6"/>
    <x v="17"/>
    <x v="19"/>
    <x v="5"/>
    <x v="6"/>
    <m/>
    <n v="311066.09002720297"/>
    <n v="-151364.3886441247"/>
    <n v="443209.68201131886"/>
    <n v="70000.003586957959"/>
    <m/>
    <n v="0"/>
    <n v="-70873.539999999994"/>
    <n v="0"/>
    <n v="602037.84698135499"/>
    <n v="602037.846981354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IncomePivot"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5">
  <location ref="B2:C4" firstHeaderRow="1" firstDataRow="2" firstDataCol="1"/>
  <pivotFields count="22">
    <pivotField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pivotField showAll="0"/>
    <pivotField showAll="0"/>
    <pivotField showAll="0"/>
    <pivotField axis="axisCol" showAll="0">
      <items count="43">
        <item m="1" x="36"/>
        <item h="1" x="15"/>
        <item h="1" x="9"/>
        <item h="1" x="2"/>
        <item h="1" x="14"/>
        <item h="1" x="16"/>
        <item m="1" x="40"/>
        <item x="4"/>
        <item h="1" x="5"/>
        <item m="1" x="37"/>
        <item h="1" m="1" x="39"/>
        <item x="24"/>
        <item h="1" x="0"/>
        <item h="1" m="1" x="31"/>
        <item h="1" m="1" x="38"/>
        <item h="1" x="22"/>
        <item h="1" x="1"/>
        <item h="1" m="1" x="32"/>
        <item h="1" x="25"/>
        <item h="1" x="23"/>
        <item h="1" x="27"/>
        <item h="1" x="12"/>
        <item h="1" x="21"/>
        <item h="1" x="8"/>
        <item h="1" x="10"/>
        <item x="19"/>
        <item h="1" x="20"/>
        <item h="1" x="13"/>
        <item h="1" x="3"/>
        <item x="6"/>
        <item h="1" x="17"/>
        <item m="1" x="33"/>
        <item h="1" x="18"/>
        <item h="1" m="1" x="35"/>
        <item h="1" m="1" x="41"/>
        <item h="1" m="1" x="34"/>
        <item h="1" x="7"/>
        <item h="1" x="11"/>
        <item h="1" x="26"/>
        <item h="1" x="28"/>
        <item h="1" x="29"/>
        <item h="1" x="30"/>
        <item t="default"/>
      </items>
    </pivotField>
    <pivotField showAll="0"/>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howAll="0">
      <items count="8">
        <item h="1" x="5"/>
        <item x="0"/>
        <item x="2"/>
        <item x="1"/>
        <item x="3"/>
        <item h="1" x="4"/>
        <item h="1" x="6"/>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items count="15">
        <item h="1" x="0"/>
        <item x="1"/>
        <item x="2"/>
        <item x="3"/>
        <item x="4"/>
        <item x="5"/>
        <item x="6"/>
        <item x="7"/>
        <item x="8"/>
        <item x="9"/>
        <item x="10"/>
        <item x="11"/>
        <item x="12"/>
        <item h="1" x="13"/>
        <item t="default"/>
      </items>
    </pivotField>
  </pivotFields>
  <rowFields count="1">
    <field x="21"/>
  </rowFields>
  <rowItems count="1">
    <i t="grand">
      <x/>
    </i>
  </rowItems>
  <colFields count="1">
    <field x="5"/>
  </colFields>
  <colItems count="1">
    <i t="grand">
      <x/>
    </i>
  </colItems>
  <dataFields count="1">
    <dataField name="Sum of Absolute Total" fld="19" baseField="0" baseItem="0" numFmtId="167"/>
  </dataFields>
  <formats count="1">
    <format dxfId="56">
      <pivotArea outline="0" collapsedLevelsAreSubtotals="1" fieldPosition="0"/>
    </format>
  </formats>
  <chartFormats count="9">
    <chartFormat chart="4" format="23" series="1">
      <pivotArea type="data" outline="0" fieldPosition="0">
        <references count="1">
          <reference field="4294967294" count="1" selected="0">
            <x v="0"/>
          </reference>
        </references>
      </pivotArea>
    </chartFormat>
    <chartFormat chart="4" format="40" series="1">
      <pivotArea type="data" outline="0" fieldPosition="0">
        <references count="2">
          <reference field="4294967294" count="1" selected="0">
            <x v="0"/>
          </reference>
          <reference field="5" count="1" selected="0">
            <x v="31"/>
          </reference>
        </references>
      </pivotArea>
    </chartFormat>
    <chartFormat chart="4" format="41" series="1">
      <pivotArea type="data" outline="0" fieldPosition="0">
        <references count="2">
          <reference field="4294967294" count="1" selected="0">
            <x v="0"/>
          </reference>
          <reference field="5" count="1" selected="0">
            <x v="0"/>
          </reference>
        </references>
      </pivotArea>
    </chartFormat>
    <chartFormat chart="4" format="42" series="1">
      <pivotArea type="data" outline="0" fieldPosition="0">
        <references count="2">
          <reference field="4294967294" count="1" selected="0">
            <x v="0"/>
          </reference>
          <reference field="5" count="1" selected="0">
            <x v="6"/>
          </reference>
        </references>
      </pivotArea>
    </chartFormat>
    <chartFormat chart="4" format="43" series="1">
      <pivotArea type="data" outline="0" fieldPosition="0">
        <references count="2">
          <reference field="4294967294" count="1" selected="0">
            <x v="0"/>
          </reference>
          <reference field="5" count="1" selected="0">
            <x v="7"/>
          </reference>
        </references>
      </pivotArea>
    </chartFormat>
    <chartFormat chart="4" format="44" series="1">
      <pivotArea type="data" outline="0" fieldPosition="0">
        <references count="2">
          <reference field="4294967294" count="1" selected="0">
            <x v="0"/>
          </reference>
          <reference field="5" count="1" selected="0">
            <x v="9"/>
          </reference>
        </references>
      </pivotArea>
    </chartFormat>
    <chartFormat chart="4" format="45" series="1">
      <pivotArea type="data" outline="0" fieldPosition="0">
        <references count="2">
          <reference field="4294967294" count="1" selected="0">
            <x v="0"/>
          </reference>
          <reference field="5" count="1" selected="0">
            <x v="11"/>
          </reference>
        </references>
      </pivotArea>
    </chartFormat>
    <chartFormat chart="4" format="46" series="1">
      <pivotArea type="data" outline="0" fieldPosition="0">
        <references count="2">
          <reference field="4294967294" count="1" selected="0">
            <x v="0"/>
          </reference>
          <reference field="5" count="1" selected="0">
            <x v="25"/>
          </reference>
        </references>
      </pivotArea>
    </chartFormat>
    <chartFormat chart="4" format="47" series="1">
      <pivotArea type="data" outline="0" fieldPosition="0">
        <references count="2">
          <reference field="4294967294" count="1" selected="0">
            <x v="0"/>
          </reference>
          <reference field="5" count="1" selected="0">
            <x v="29"/>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ayroll_Pivot"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B2:G13" firstHeaderRow="1" firstDataRow="3" firstDataCol="1"/>
  <pivotFields count="22">
    <pivotField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pivotField showAll="0"/>
    <pivotField showAll="0"/>
    <pivotField axis="axisCol" showAll="0">
      <items count="10">
        <item h="1" x="1"/>
        <item h="1" x="0"/>
        <item h="1" x="4"/>
        <item h="1" x="5"/>
        <item h="1" x="2"/>
        <item x="7"/>
        <item h="1" x="8"/>
        <item h="1" x="3"/>
        <item h="1" x="6"/>
        <item t="default"/>
      </items>
    </pivotField>
    <pivotField showAll="0"/>
    <pivotField showAll="0"/>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axis="axisCol" showAll="0">
      <items count="8">
        <item h="1" x="5"/>
        <item x="0"/>
        <item x="2"/>
        <item x="1"/>
        <item x="3"/>
        <item h="1" x="6"/>
        <item h="1" x="4"/>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items count="15">
        <item h="1" sd="0" x="0"/>
        <item sd="0" x="1"/>
        <item x="2"/>
        <item sd="0" x="3"/>
        <item sd="0" x="4"/>
        <item sd="0" x="5"/>
        <item sd="0" x="6"/>
        <item sd="0" x="7"/>
        <item sd="0" x="8"/>
        <item sd="0" x="9"/>
        <item sd="0" x="10"/>
        <item sd="0" x="11"/>
        <item sd="0" x="12"/>
        <item h="1" sd="0" x="13"/>
        <item t="default"/>
      </items>
    </pivotField>
  </pivotFields>
  <rowFields count="1">
    <field x="21"/>
  </rowFields>
  <rowItems count="9">
    <i>
      <x v="2"/>
    </i>
    <i>
      <x v="3"/>
    </i>
    <i>
      <x v="4"/>
    </i>
    <i>
      <x v="6"/>
    </i>
    <i>
      <x v="7"/>
    </i>
    <i>
      <x v="8"/>
    </i>
    <i>
      <x v="9"/>
    </i>
    <i>
      <x v="10"/>
    </i>
    <i t="grand">
      <x/>
    </i>
  </rowItems>
  <colFields count="2">
    <field x="4"/>
    <field x="8"/>
  </colFields>
  <colItems count="5">
    <i>
      <x v="5"/>
      <x v="1"/>
    </i>
    <i r="1">
      <x v="3"/>
    </i>
    <i r="1">
      <x v="4"/>
    </i>
    <i t="default">
      <x v="5"/>
    </i>
    <i t="grand">
      <x/>
    </i>
  </colItems>
  <dataFields count="1">
    <dataField name="Sum of Absolute Total" fld="19" baseField="0" baseItem="0" numFmtId="167"/>
  </dataFields>
  <formats count="1">
    <format dxfId="55">
      <pivotArea outline="0" collapsedLevelsAreSubtotals="1" fieldPosition="0"/>
    </format>
  </formats>
  <chartFormats count="5">
    <chartFormat chart="2" format="10" series="1">
      <pivotArea type="data" outline="0" fieldPosition="0">
        <references count="3">
          <reference field="4294967294" count="1" selected="0">
            <x v="0"/>
          </reference>
          <reference field="4" count="1" selected="0">
            <x v="5"/>
          </reference>
          <reference field="8" count="1" selected="0">
            <x v="1"/>
          </reference>
        </references>
      </pivotArea>
    </chartFormat>
    <chartFormat chart="2" format="11" series="1">
      <pivotArea type="data" outline="0" fieldPosition="0">
        <references count="3">
          <reference field="4294967294" count="1" selected="0">
            <x v="0"/>
          </reference>
          <reference field="4" count="1" selected="0">
            <x v="5"/>
          </reference>
          <reference field="8" count="1" selected="0">
            <x v="2"/>
          </reference>
        </references>
      </pivotArea>
    </chartFormat>
    <chartFormat chart="2" format="12" series="1">
      <pivotArea type="data" outline="0" fieldPosition="0">
        <references count="3">
          <reference field="4294967294" count="1" selected="0">
            <x v="0"/>
          </reference>
          <reference field="4" count="1" selected="0">
            <x v="5"/>
          </reference>
          <reference field="8" count="1" selected="0">
            <x v="3"/>
          </reference>
        </references>
      </pivotArea>
    </chartFormat>
    <chartFormat chart="2" format="13" series="1">
      <pivotArea type="data" outline="0" fieldPosition="0">
        <references count="3">
          <reference field="4294967294" count="1" selected="0">
            <x v="0"/>
          </reference>
          <reference field="4" count="1" selected="0">
            <x v="5"/>
          </reference>
          <reference field="8" count="1" selected="0">
            <x v="4"/>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Expenses_Pivot"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B2:H16" firstHeaderRow="1" firstDataRow="2" firstDataCol="1"/>
  <pivotFields count="22">
    <pivotField showAll="0"/>
    <pivotField showAll="0"/>
    <pivotField showAll="0"/>
    <pivotField showAll="0"/>
    <pivotField axis="axisCol" showAll="0">
      <items count="10">
        <item x="1"/>
        <item x="0"/>
        <item h="1" x="4"/>
        <item h="1" x="5"/>
        <item x="2"/>
        <item x="7"/>
        <item x="8"/>
        <item x="3"/>
        <item h="1" x="6"/>
        <item t="default"/>
      </items>
    </pivotField>
    <pivotField showAll="0"/>
    <pivotField showAll="0"/>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howAll="0">
      <items count="8">
        <item h="1" x="5"/>
        <item x="0"/>
        <item x="2"/>
        <item x="1"/>
        <item x="3"/>
        <item h="1" x="4"/>
        <item h="1" x="6"/>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defaultSubtotal="0">
      <items count="14">
        <item h="1" x="0"/>
        <item x="1"/>
        <item x="2"/>
        <item x="3"/>
        <item x="4"/>
        <item x="5"/>
        <item x="6"/>
        <item x="7"/>
        <item x="8"/>
        <item x="9"/>
        <item x="10"/>
        <item x="11"/>
        <item x="12"/>
        <item h="1" x="13"/>
      </items>
    </pivotField>
  </pivotFields>
  <rowFields count="1">
    <field x="21"/>
  </rowFields>
  <rowItems count="13">
    <i>
      <x v="1"/>
    </i>
    <i>
      <x v="2"/>
    </i>
    <i>
      <x v="3"/>
    </i>
    <i>
      <x v="4"/>
    </i>
    <i>
      <x v="5"/>
    </i>
    <i>
      <x v="6"/>
    </i>
    <i>
      <x v="7"/>
    </i>
    <i>
      <x v="8"/>
    </i>
    <i>
      <x v="9"/>
    </i>
    <i>
      <x v="10"/>
    </i>
    <i>
      <x v="11"/>
    </i>
    <i>
      <x v="12"/>
    </i>
    <i t="grand">
      <x/>
    </i>
  </rowItems>
  <colFields count="1">
    <field x="4"/>
  </colFields>
  <colItems count="6">
    <i>
      <x/>
    </i>
    <i>
      <x v="1"/>
    </i>
    <i>
      <x v="4"/>
    </i>
    <i>
      <x v="5"/>
    </i>
    <i>
      <x v="7"/>
    </i>
    <i t="grand">
      <x/>
    </i>
  </colItems>
  <dataFields count="1">
    <dataField name="Sum of Absolute Total" fld="19" baseField="0" baseItem="0" numFmtId="167"/>
  </dataFields>
  <formats count="5">
    <format dxfId="54">
      <pivotArea collapsedLevelsAreSubtotals="1" fieldPosition="0">
        <references count="2">
          <reference field="4" count="8">
            <x v="0"/>
            <x v="1"/>
            <x v="2"/>
            <x v="3"/>
            <x v="4"/>
            <x v="5"/>
            <x v="6"/>
            <x v="7"/>
          </reference>
          <reference field="21" count="1" selected="0">
            <x v="1"/>
          </reference>
        </references>
      </pivotArea>
    </format>
    <format dxfId="53">
      <pivotArea collapsedLevelsAreSubtotals="1" fieldPosition="0">
        <references count="1">
          <reference field="21" count="1">
            <x v="2"/>
          </reference>
        </references>
      </pivotArea>
    </format>
    <format dxfId="52">
      <pivotArea collapsedLevelsAreSubtotals="1" fieldPosition="0">
        <references count="2">
          <reference field="4" count="6">
            <x v="0"/>
            <x v="1"/>
            <x v="2"/>
            <x v="3"/>
            <x v="4"/>
            <x v="7"/>
          </reference>
          <reference field="21" count="1" selected="0">
            <x v="2"/>
          </reference>
        </references>
      </pivotArea>
    </format>
    <format dxfId="51">
      <pivotArea grandRow="1" outline="0" collapsedLevelsAreSubtotals="1" fieldPosition="0"/>
    </format>
    <format dxfId="50">
      <pivotArea outline="0" collapsedLevelsAreSubtotals="1" fieldPosition="0"/>
    </format>
  </formats>
  <chartFormats count="7">
    <chartFormat chart="2" format="17" series="1">
      <pivotArea type="data" outline="0" fieldPosition="0">
        <references count="2">
          <reference field="4294967294" count="1" selected="0">
            <x v="0"/>
          </reference>
          <reference field="4" count="1" selected="0">
            <x v="0"/>
          </reference>
        </references>
      </pivotArea>
    </chartFormat>
    <chartFormat chart="2" format="18" series="1">
      <pivotArea type="data" outline="0" fieldPosition="0">
        <references count="2">
          <reference field="4294967294" count="1" selected="0">
            <x v="0"/>
          </reference>
          <reference field="4" count="1" selected="0">
            <x v="1"/>
          </reference>
        </references>
      </pivotArea>
    </chartFormat>
    <chartFormat chart="2" format="19" series="1">
      <pivotArea type="data" outline="0" fieldPosition="0">
        <references count="2">
          <reference field="4294967294" count="1" selected="0">
            <x v="0"/>
          </reference>
          <reference field="4" count="1" selected="0">
            <x v="4"/>
          </reference>
        </references>
      </pivotArea>
    </chartFormat>
    <chartFormat chart="2" format="20" series="1">
      <pivotArea type="data" outline="0" fieldPosition="0">
        <references count="2">
          <reference field="4294967294" count="1" selected="0">
            <x v="0"/>
          </reference>
          <reference field="4" count="1" selected="0">
            <x v="5"/>
          </reference>
        </references>
      </pivotArea>
    </chartFormat>
    <chartFormat chart="2" format="21" series="1">
      <pivotArea type="data" outline="0" fieldPosition="0">
        <references count="2">
          <reference field="4294967294" count="1" selected="0">
            <x v="0"/>
          </reference>
          <reference field="4" count="1" selected="0">
            <x v="6"/>
          </reference>
        </references>
      </pivotArea>
    </chartFormat>
    <chartFormat chart="2" format="22" series="1">
      <pivotArea type="data" outline="0" fieldPosition="0">
        <references count="2">
          <reference field="4294967294" count="1" selected="0">
            <x v="0"/>
          </reference>
          <reference field="4" count="1" selected="0">
            <x v="7"/>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OpEx_Pivot"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3">
  <location ref="B2:S18" firstHeaderRow="1" firstDataRow="4" firstDataCol="1"/>
  <pivotFields count="22">
    <pivotField showAll="0"/>
    <pivotField showAll="0"/>
    <pivotField showAll="0"/>
    <pivotField showAll="0"/>
    <pivotField axis="axisCol" showAll="0">
      <items count="10">
        <item h="1" x="1"/>
        <item h="1" x="0"/>
        <item h="1" x="4"/>
        <item h="1" x="5"/>
        <item x="2"/>
        <item h="1" x="7"/>
        <item h="1" x="8"/>
        <item h="1" x="3"/>
        <item h="1" x="6"/>
        <item t="default"/>
      </items>
    </pivotField>
    <pivotField axis="axisCol" showAll="0">
      <items count="43">
        <item m="1" x="36"/>
        <item x="15"/>
        <item x="9"/>
        <item sd="0" x="2"/>
        <item sd="0" x="14"/>
        <item sd="0" x="16"/>
        <item m="1" x="40"/>
        <item x="4"/>
        <item x="5"/>
        <item m="1" x="37"/>
        <item m="1" x="39"/>
        <item x="24"/>
        <item x="0"/>
        <item m="1" x="31"/>
        <item m="1" x="38"/>
        <item sd="0" x="22"/>
        <item x="1"/>
        <item m="1" x="32"/>
        <item sd="0" x="25"/>
        <item x="23"/>
        <item x="27"/>
        <item sd="0" x="12"/>
        <item x="21"/>
        <item sd="0" x="8"/>
        <item sd="0" x="10"/>
        <item x="19"/>
        <item sd="0" x="20"/>
        <item sd="0" x="13"/>
        <item x="3"/>
        <item x="6"/>
        <item x="17"/>
        <item m="1" x="33"/>
        <item x="18"/>
        <item m="1" x="35"/>
        <item m="1" x="41"/>
        <item m="1" x="34"/>
        <item x="7"/>
        <item x="11"/>
        <item x="26"/>
        <item x="28"/>
        <item x="29"/>
        <item x="30"/>
        <item t="default"/>
      </items>
    </pivotField>
    <pivotField axis="axisCol" showAll="0">
      <items count="66">
        <item m="1" x="40"/>
        <item x="16"/>
        <item x="17"/>
        <item x="10"/>
        <item m="1" x="41"/>
        <item x="29"/>
        <item x="5"/>
        <item x="4"/>
        <item x="19"/>
        <item m="1" x="45"/>
        <item m="1" x="47"/>
        <item x="11"/>
        <item x="0"/>
        <item x="32"/>
        <item m="1" x="50"/>
        <item x="22"/>
        <item x="13"/>
        <item x="12"/>
        <item m="1" x="56"/>
        <item m="1" x="63"/>
        <item m="1" x="42"/>
        <item m="1" x="44"/>
        <item x="1"/>
        <item x="8"/>
        <item m="1" x="60"/>
        <item x="36"/>
        <item x="20"/>
        <item x="28"/>
        <item m="1" x="46"/>
        <item m="1" x="53"/>
        <item x="24"/>
        <item m="1" x="64"/>
        <item x="31"/>
        <item x="14"/>
        <item x="27"/>
        <item m="1" x="61"/>
        <item m="1" x="59"/>
        <item x="6"/>
        <item x="3"/>
        <item x="7"/>
        <item x="15"/>
        <item m="1" x="51"/>
        <item x="33"/>
        <item m="1" x="49"/>
        <item m="1" x="43"/>
        <item m="1" x="58"/>
        <item m="1" x="55"/>
        <item m="1" x="62"/>
        <item m="1" x="52"/>
        <item m="1" x="57"/>
        <item x="39"/>
        <item m="1" x="48"/>
        <item m="1" x="54"/>
        <item x="2"/>
        <item x="9"/>
        <item x="18"/>
        <item x="21"/>
        <item x="23"/>
        <item x="25"/>
        <item x="26"/>
        <item x="30"/>
        <item x="34"/>
        <item x="35"/>
        <item x="37"/>
        <item x="38"/>
        <item t="default"/>
      </items>
    </pivotField>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howAll="0">
      <items count="8">
        <item h="1" x="5"/>
        <item x="0"/>
        <item x="2"/>
        <item x="1"/>
        <item x="3"/>
        <item h="1" x="4"/>
        <item h="1" x="6"/>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defaultSubtotal="0">
      <items count="14">
        <item h="1" x="0"/>
        <item x="1"/>
        <item x="2"/>
        <item x="3"/>
        <item x="4"/>
        <item x="5"/>
        <item x="6"/>
        <item x="7"/>
        <item x="8"/>
        <item x="9"/>
        <item x="10"/>
        <item x="11"/>
        <item x="12"/>
        <item h="1" x="13"/>
      </items>
    </pivotField>
  </pivotFields>
  <rowFields count="1">
    <field x="21"/>
  </rowFields>
  <rowItems count="13">
    <i>
      <x v="1"/>
    </i>
    <i>
      <x v="2"/>
    </i>
    <i>
      <x v="3"/>
    </i>
    <i>
      <x v="4"/>
    </i>
    <i>
      <x v="5"/>
    </i>
    <i>
      <x v="6"/>
    </i>
    <i>
      <x v="7"/>
    </i>
    <i>
      <x v="8"/>
    </i>
    <i>
      <x v="9"/>
    </i>
    <i>
      <x v="10"/>
    </i>
    <i>
      <x v="11"/>
    </i>
    <i>
      <x v="12"/>
    </i>
    <i t="grand">
      <x/>
    </i>
  </rowItems>
  <colFields count="3">
    <field x="4"/>
    <field x="5"/>
    <field x="6"/>
  </colFields>
  <colItems count="17">
    <i>
      <x v="4"/>
      <x v="3"/>
    </i>
    <i r="1">
      <x v="4"/>
    </i>
    <i r="1">
      <x v="5"/>
    </i>
    <i r="1">
      <x v="15"/>
    </i>
    <i r="1">
      <x v="18"/>
    </i>
    <i r="1">
      <x v="19"/>
      <x v="22"/>
    </i>
    <i t="default" r="1">
      <x v="19"/>
    </i>
    <i r="1">
      <x v="21"/>
    </i>
    <i r="1">
      <x v="23"/>
    </i>
    <i r="1">
      <x v="24"/>
    </i>
    <i r="1">
      <x v="26"/>
    </i>
    <i r="1">
      <x v="27"/>
    </i>
    <i r="1">
      <x v="30"/>
      <x v="33"/>
    </i>
    <i r="2">
      <x v="61"/>
    </i>
    <i t="default" r="1">
      <x v="30"/>
    </i>
    <i t="default">
      <x v="4"/>
    </i>
    <i t="grand">
      <x/>
    </i>
  </colItems>
  <dataFields count="1">
    <dataField name="Sum of Absolute Total" fld="19" baseField="0" baseItem="0" numFmtId="167"/>
  </dataFields>
  <formats count="1">
    <format dxfId="49">
      <pivotArea outline="0" collapsedLevelsAreSubtotals="1" fieldPosition="0"/>
    </format>
  </formats>
  <chartFormats count="16">
    <chartFormat chart="2" format="42" series="1">
      <pivotArea type="data" outline="0" fieldPosition="0">
        <references count="3">
          <reference field="4294967294" count="1" selected="0">
            <x v="0"/>
          </reference>
          <reference field="4" count="1" selected="0">
            <x v="4"/>
          </reference>
          <reference field="5" count="1" selected="0">
            <x v="3"/>
          </reference>
        </references>
      </pivotArea>
    </chartFormat>
    <chartFormat chart="2" format="43" series="1">
      <pivotArea type="data" outline="0" fieldPosition="0">
        <references count="3">
          <reference field="4294967294" count="1" selected="0">
            <x v="0"/>
          </reference>
          <reference field="4" count="1" selected="0">
            <x v="4"/>
          </reference>
          <reference field="5" count="1" selected="0">
            <x v="4"/>
          </reference>
        </references>
      </pivotArea>
    </chartFormat>
    <chartFormat chart="2" format="44" series="1">
      <pivotArea type="data" outline="0" fieldPosition="0">
        <references count="3">
          <reference field="4294967294" count="1" selected="0">
            <x v="0"/>
          </reference>
          <reference field="4" count="1" selected="0">
            <x v="4"/>
          </reference>
          <reference field="5" count="1" selected="0">
            <x v="5"/>
          </reference>
        </references>
      </pivotArea>
    </chartFormat>
    <chartFormat chart="2" format="45" series="1">
      <pivotArea type="data" outline="0" fieldPosition="0">
        <references count="3">
          <reference field="4294967294" count="1" selected="0">
            <x v="0"/>
          </reference>
          <reference field="4" count="1" selected="0">
            <x v="4"/>
          </reference>
          <reference field="5" count="1" selected="0">
            <x v="15"/>
          </reference>
        </references>
      </pivotArea>
    </chartFormat>
    <chartFormat chart="2" format="46" series="1">
      <pivotArea type="data" outline="0" fieldPosition="0">
        <references count="3">
          <reference field="4294967294" count="1" selected="0">
            <x v="0"/>
          </reference>
          <reference field="4" count="1" selected="0">
            <x v="4"/>
          </reference>
          <reference field="5" count="1" selected="0">
            <x v="18"/>
          </reference>
        </references>
      </pivotArea>
    </chartFormat>
    <chartFormat chart="2" format="47" series="1">
      <pivotArea type="data" outline="0" fieldPosition="0">
        <references count="3">
          <reference field="4294967294" count="1" selected="0">
            <x v="0"/>
          </reference>
          <reference field="4" count="1" selected="0">
            <x v="4"/>
          </reference>
          <reference field="5" count="1" selected="0">
            <x v="21"/>
          </reference>
        </references>
      </pivotArea>
    </chartFormat>
    <chartFormat chart="2" format="48" series="1">
      <pivotArea type="data" outline="0" fieldPosition="0">
        <references count="3">
          <reference field="4294967294" count="1" selected="0">
            <x v="0"/>
          </reference>
          <reference field="4" count="1" selected="0">
            <x v="4"/>
          </reference>
          <reference field="5" count="1" selected="0">
            <x v="23"/>
          </reference>
        </references>
      </pivotArea>
    </chartFormat>
    <chartFormat chart="2" format="49" series="1">
      <pivotArea type="data" outline="0" fieldPosition="0">
        <references count="3">
          <reference field="4294967294" count="1" selected="0">
            <x v="0"/>
          </reference>
          <reference field="4" count="1" selected="0">
            <x v="4"/>
          </reference>
          <reference field="5" count="1" selected="0">
            <x v="24"/>
          </reference>
        </references>
      </pivotArea>
    </chartFormat>
    <chartFormat chart="2" format="50" series="1">
      <pivotArea type="data" outline="0" fieldPosition="0">
        <references count="3">
          <reference field="4294967294" count="1" selected="0">
            <x v="0"/>
          </reference>
          <reference field="4" count="1" selected="0">
            <x v="4"/>
          </reference>
          <reference field="5" count="1" selected="0">
            <x v="26"/>
          </reference>
        </references>
      </pivotArea>
    </chartFormat>
    <chartFormat chart="2" format="51" series="1">
      <pivotArea type="data" outline="0" fieldPosition="0">
        <references count="3">
          <reference field="4294967294" count="1" selected="0">
            <x v="0"/>
          </reference>
          <reference field="4" count="1" selected="0">
            <x v="4"/>
          </reference>
          <reference field="5" count="1" selected="0">
            <x v="27"/>
          </reference>
        </references>
      </pivotArea>
    </chartFormat>
    <chartFormat chart="2" format="52" series="1">
      <pivotArea type="data" outline="0" fieldPosition="0">
        <references count="1">
          <reference field="4294967294" count="1" selected="0">
            <x v="0"/>
          </reference>
        </references>
      </pivotArea>
    </chartFormat>
    <chartFormat chart="2" format="53" series="1">
      <pivotArea type="data" outline="0" fieldPosition="0">
        <references count="4">
          <reference field="4294967294" count="1" selected="0">
            <x v="0"/>
          </reference>
          <reference field="4" count="1" selected="0">
            <x v="4"/>
          </reference>
          <reference field="5" count="1" selected="0">
            <x v="34"/>
          </reference>
          <reference field="6" count="1" selected="0">
            <x v="51"/>
          </reference>
        </references>
      </pivotArea>
    </chartFormat>
    <chartFormat chart="2" format="54" series="1">
      <pivotArea type="data" outline="0" fieldPosition="0">
        <references count="4">
          <reference field="4294967294" count="1" selected="0">
            <x v="0"/>
          </reference>
          <reference field="4" count="1" selected="0">
            <x v="4"/>
          </reference>
          <reference field="5" count="1" selected="0">
            <x v="12"/>
          </reference>
          <reference field="6" count="1" selected="0">
            <x v="12"/>
          </reference>
        </references>
      </pivotArea>
    </chartFormat>
    <chartFormat chart="2" format="55" series="1">
      <pivotArea type="data" outline="0" fieldPosition="0">
        <references count="4">
          <reference field="4294967294" count="1" selected="0">
            <x v="0"/>
          </reference>
          <reference field="4" count="1" selected="0">
            <x v="4"/>
          </reference>
          <reference field="5" count="1" selected="0">
            <x v="19"/>
          </reference>
          <reference field="6" count="1" selected="0">
            <x v="22"/>
          </reference>
        </references>
      </pivotArea>
    </chartFormat>
    <chartFormat chart="2" format="56" series="1">
      <pivotArea type="data" outline="0" fieldPosition="0">
        <references count="4">
          <reference field="4294967294" count="1" selected="0">
            <x v="0"/>
          </reference>
          <reference field="4" count="1" selected="0">
            <x v="4"/>
          </reference>
          <reference field="5" count="1" selected="0">
            <x v="30"/>
          </reference>
          <reference field="6" count="1" selected="0">
            <x v="33"/>
          </reference>
        </references>
      </pivotArea>
    </chartFormat>
    <chartFormat chart="2" format="57" series="1">
      <pivotArea type="data" outline="0" fieldPosition="0">
        <references count="4">
          <reference field="4294967294" count="1" selected="0">
            <x v="0"/>
          </reference>
          <reference field="4" count="1" selected="0">
            <x v="4"/>
          </reference>
          <reference field="5" count="1" selected="0">
            <x v="30"/>
          </reference>
          <reference field="6" count="1" selected="0">
            <x v="61"/>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CoS_Pivot"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4">
  <location ref="B2:H15" firstHeaderRow="1" firstDataRow="4" firstDataCol="1"/>
  <pivotFields count="22">
    <pivotField showAll="0"/>
    <pivotField showAll="0"/>
    <pivotField showAll="0"/>
    <pivotField showAll="0"/>
    <pivotField axis="axisCol" showAll="0">
      <items count="10">
        <item h="1" x="1"/>
        <item x="0"/>
        <item h="1" x="4"/>
        <item h="1" x="5"/>
        <item h="1" x="2"/>
        <item h="1" x="7"/>
        <item h="1" x="8"/>
        <item h="1" x="3"/>
        <item h="1" x="6"/>
        <item t="default"/>
      </items>
    </pivotField>
    <pivotField axis="axisCol" showAll="0">
      <items count="43">
        <item m="1" x="36"/>
        <item sd="0" x="15"/>
        <item x="9"/>
        <item x="2"/>
        <item x="14"/>
        <item x="16"/>
        <item m="1" x="40"/>
        <item x="4"/>
        <item x="5"/>
        <item m="1" x="37"/>
        <item m="1" x="39"/>
        <item x="24"/>
        <item sd="0" x="0"/>
        <item m="1" x="31"/>
        <item m="1" x="38"/>
        <item x="22"/>
        <item x="1"/>
        <item m="1" x="32"/>
        <item x="25"/>
        <item x="23"/>
        <item sd="0" x="27"/>
        <item x="12"/>
        <item x="21"/>
        <item x="8"/>
        <item x="10"/>
        <item x="19"/>
        <item x="20"/>
        <item x="13"/>
        <item x="3"/>
        <item x="6"/>
        <item x="17"/>
        <item m="1" x="33"/>
        <item sd="0" x="18"/>
        <item m="1" x="35"/>
        <item m="1" x="41"/>
        <item m="1" x="34"/>
        <item x="7"/>
        <item x="11"/>
        <item x="26"/>
        <item x="28"/>
        <item x="29"/>
        <item x="30"/>
        <item t="default"/>
      </items>
    </pivotField>
    <pivotField axis="axisCol" showAll="0">
      <items count="66">
        <item m="1" x="40"/>
        <item x="16"/>
        <item x="17"/>
        <item x="10"/>
        <item m="1" x="41"/>
        <item x="29"/>
        <item x="5"/>
        <item x="4"/>
        <item x="19"/>
        <item m="1" x="45"/>
        <item m="1" x="47"/>
        <item x="11"/>
        <item x="0"/>
        <item x="32"/>
        <item m="1" x="50"/>
        <item x="22"/>
        <item x="13"/>
        <item x="12"/>
        <item m="1" x="56"/>
        <item m="1" x="63"/>
        <item m="1" x="42"/>
        <item m="1" x="44"/>
        <item x="1"/>
        <item x="8"/>
        <item m="1" x="60"/>
        <item x="36"/>
        <item x="20"/>
        <item x="28"/>
        <item m="1" x="46"/>
        <item m="1" x="53"/>
        <item x="24"/>
        <item m="1" x="64"/>
        <item x="31"/>
        <item x="14"/>
        <item x="27"/>
        <item m="1" x="61"/>
        <item m="1" x="59"/>
        <item x="6"/>
        <item x="3"/>
        <item x="7"/>
        <item x="15"/>
        <item m="1" x="51"/>
        <item x="33"/>
        <item m="1" x="49"/>
        <item m="1" x="43"/>
        <item m="1" x="58"/>
        <item m="1" x="55"/>
        <item m="1" x="62"/>
        <item m="1" x="52"/>
        <item m="1" x="57"/>
        <item x="39"/>
        <item m="1" x="48"/>
        <item m="1" x="54"/>
        <item x="2"/>
        <item x="9"/>
        <item x="18"/>
        <item x="21"/>
        <item x="23"/>
        <item x="25"/>
        <item x="26"/>
        <item x="30"/>
        <item x="34"/>
        <item x="35"/>
        <item x="37"/>
        <item x="38"/>
        <item t="default"/>
      </items>
    </pivotField>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howAll="0">
      <items count="8">
        <item h="1" x="5"/>
        <item x="0"/>
        <item x="2"/>
        <item x="1"/>
        <item x="3"/>
        <item h="1" x="4"/>
        <item h="1" x="6"/>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defaultSubtotal="0">
      <items count="14">
        <item h="1" x="0"/>
        <item x="1"/>
        <item x="2"/>
        <item x="3"/>
        <item x="4"/>
        <item x="5"/>
        <item x="6"/>
        <item x="7"/>
        <item x="8"/>
        <item x="9"/>
        <item x="10"/>
        <item x="11"/>
        <item x="12"/>
        <item h="1" x="13"/>
      </items>
    </pivotField>
  </pivotFields>
  <rowFields count="1">
    <field x="21"/>
  </rowFields>
  <rowItems count="10">
    <i>
      <x v="1"/>
    </i>
    <i>
      <x v="2"/>
    </i>
    <i>
      <x v="3"/>
    </i>
    <i>
      <x v="4"/>
    </i>
    <i>
      <x v="5"/>
    </i>
    <i>
      <x v="6"/>
    </i>
    <i>
      <x v="7"/>
    </i>
    <i>
      <x v="8"/>
    </i>
    <i>
      <x v="9"/>
    </i>
    <i t="grand">
      <x/>
    </i>
  </rowItems>
  <colFields count="3">
    <field x="4"/>
    <field x="5"/>
    <field x="6"/>
  </colFields>
  <colItems count="6">
    <i>
      <x v="1"/>
      <x v="1"/>
    </i>
    <i r="1">
      <x v="12"/>
    </i>
    <i r="1">
      <x v="20"/>
    </i>
    <i r="1">
      <x v="32"/>
    </i>
    <i t="default">
      <x v="1"/>
    </i>
    <i t="grand">
      <x/>
    </i>
  </colItems>
  <dataFields count="1">
    <dataField name="Sum of Absolute Total" fld="19" baseField="0" baseItem="0" numFmtId="167"/>
  </dataFields>
  <formats count="1">
    <format dxfId="48">
      <pivotArea outline="0" collapsedLevelsAreSubtotals="1" fieldPosition="0"/>
    </format>
  </formats>
  <chartFormats count="12">
    <chartFormat chart="2" format="14" series="1">
      <pivotArea type="data" outline="0" fieldPosition="0">
        <references count="4">
          <reference field="4294967294" count="1" selected="0">
            <x v="0"/>
          </reference>
          <reference field="4" count="1" selected="0">
            <x v="1"/>
          </reference>
          <reference field="5" count="1" selected="0">
            <x v="1"/>
          </reference>
          <reference field="6" count="1" selected="0">
            <x v="13"/>
          </reference>
        </references>
      </pivotArea>
    </chartFormat>
    <chartFormat chart="2" format="15" series="1">
      <pivotArea type="data" outline="0" fieldPosition="0">
        <references count="4">
          <reference field="4294967294" count="1" selected="0">
            <x v="0"/>
          </reference>
          <reference field="4" count="1" selected="0">
            <x v="1"/>
          </reference>
          <reference field="5" count="1" selected="0">
            <x v="1"/>
          </reference>
          <reference field="6" count="1" selected="0">
            <x v="17"/>
          </reference>
        </references>
      </pivotArea>
    </chartFormat>
    <chartFormat chart="2" format="16" series="1">
      <pivotArea type="data" outline="0" fieldPosition="0">
        <references count="3">
          <reference field="4294967294" count="1" selected="0">
            <x v="0"/>
          </reference>
          <reference field="4" count="1" selected="0">
            <x v="1"/>
          </reference>
          <reference field="5" count="1" selected="0">
            <x v="12"/>
          </reference>
        </references>
      </pivotArea>
    </chartFormat>
    <chartFormat chart="2" format="17" series="1">
      <pivotArea type="data" outline="0" fieldPosition="0">
        <references count="3">
          <reference field="4294967294" count="1" selected="0">
            <x v="0"/>
          </reference>
          <reference field="4" count="1" selected="0">
            <x v="1"/>
          </reference>
          <reference field="5" count="1" selected="0">
            <x v="20"/>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4">
          <reference field="4294967294" count="1" selected="0">
            <x v="0"/>
          </reference>
          <reference field="4" count="1" selected="0">
            <x v="1"/>
          </reference>
          <reference field="5" count="1" selected="0">
            <x v="32"/>
          </reference>
          <reference field="6" count="1" selected="0">
            <x v="12"/>
          </reference>
        </references>
      </pivotArea>
    </chartFormat>
    <chartFormat chart="2" format="20" series="1">
      <pivotArea type="data" outline="0" fieldPosition="0">
        <references count="4">
          <reference field="4294967294" count="1" selected="0">
            <x v="0"/>
          </reference>
          <reference field="4" count="1" selected="0">
            <x v="1"/>
          </reference>
          <reference field="5" count="1" selected="0">
            <x v="32"/>
          </reference>
          <reference field="6" count="1" selected="0">
            <x v="40"/>
          </reference>
        </references>
      </pivotArea>
    </chartFormat>
    <chartFormat chart="2" format="21" series="1">
      <pivotArea type="data" outline="0" fieldPosition="0">
        <references count="3">
          <reference field="4294967294" count="1" selected="0">
            <x v="0"/>
          </reference>
          <reference field="4" count="1" selected="0">
            <x v="1"/>
          </reference>
          <reference field="5" count="1" selected="0">
            <x v="32"/>
          </reference>
        </references>
      </pivotArea>
    </chartFormat>
    <chartFormat chart="2" format="22" series="1">
      <pivotArea type="data" outline="0" fieldPosition="0">
        <references count="3">
          <reference field="4294967294" count="1" selected="0">
            <x v="0"/>
          </reference>
          <reference field="4" count="1" selected="0">
            <x v="1"/>
          </reference>
          <reference field="5" count="1" selected="0">
            <x v="1"/>
          </reference>
        </references>
      </pivotArea>
    </chartFormat>
    <chartFormat chart="2" format="23" series="1">
      <pivotArea type="data" outline="0" fieldPosition="0">
        <references count="4">
          <reference field="4294967294" count="1" selected="0">
            <x v="0"/>
          </reference>
          <reference field="4" count="1" selected="0">
            <x v="1"/>
          </reference>
          <reference field="5" count="1" selected="0">
            <x v="35"/>
          </reference>
          <reference field="6" count="1" selected="0">
            <x v="32"/>
          </reference>
        </references>
      </pivotArea>
    </chartFormat>
    <chartFormat chart="2" format="24" series="1">
      <pivotArea type="data" outline="0" fieldPosition="0">
        <references count="4">
          <reference field="4294967294" count="1" selected="0">
            <x v="0"/>
          </reference>
          <reference field="4" count="1" selected="0">
            <x v="1"/>
          </reference>
          <reference field="5" count="1" selected="0">
            <x v="37"/>
          </reference>
          <reference field="6" count="1" selected="0">
            <x v="33"/>
          </reference>
        </references>
      </pivotArea>
    </chartFormat>
    <chartFormat chart="2" format="25" series="1">
      <pivotArea type="data" outline="0" fieldPosition="0">
        <references count="4">
          <reference field="4294967294" count="1" selected="0">
            <x v="0"/>
          </reference>
          <reference field="4" count="1" selected="0">
            <x v="1"/>
          </reference>
          <reference field="5" count="1" selected="0">
            <x v="37"/>
          </reference>
          <reference field="6" count="1" selected="0">
            <x v="54"/>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x_Pivot" cacheId="0" applyNumberFormats="0" applyBorderFormats="0" applyFontFormats="0" applyPatternFormats="0" applyAlignmentFormats="0" applyWidthHeightFormats="1" dataCaption="Values" updatedVersion="5" minRefreshableVersion="3" itemPrintTitles="1" createdVersion="6" indent="0" outline="1" outlineData="1" multipleFieldFilters="0" chartFormat="3">
  <location ref="B2:H15" firstHeaderRow="1" firstDataRow="3" firstDataCol="1"/>
  <pivotFields count="22">
    <pivotField showAll="0"/>
    <pivotField showAll="0"/>
    <pivotField showAll="0"/>
    <pivotField showAll="0"/>
    <pivotField axis="axisCol" showAll="0">
      <items count="10">
        <item h="1" x="1"/>
        <item h="1" x="0"/>
        <item h="1" x="4"/>
        <item h="1" x="5"/>
        <item h="1" x="2"/>
        <item h="1" x="7"/>
        <item h="1" x="8"/>
        <item x="3"/>
        <item h="1" x="6"/>
        <item t="default"/>
      </items>
    </pivotField>
    <pivotField axis="axisCol" showAll="0">
      <items count="43">
        <item m="1" x="36"/>
        <item x="15"/>
        <item x="9"/>
        <item x="2"/>
        <item x="14"/>
        <item x="16"/>
        <item m="1" x="40"/>
        <item x="4"/>
        <item x="5"/>
        <item m="1" x="37"/>
        <item m="1" x="39"/>
        <item x="24"/>
        <item x="0"/>
        <item m="1" x="31"/>
        <item m="1" x="38"/>
        <item x="22"/>
        <item x="1"/>
        <item m="1" x="32"/>
        <item x="25"/>
        <item x="23"/>
        <item x="27"/>
        <item x="12"/>
        <item x="21"/>
        <item x="8"/>
        <item x="10"/>
        <item x="19"/>
        <item x="20"/>
        <item x="13"/>
        <item x="3"/>
        <item x="6"/>
        <item x="17"/>
        <item m="1" x="33"/>
        <item x="18"/>
        <item m="1" x="35"/>
        <item m="1" x="41"/>
        <item m="1" x="34"/>
        <item x="7"/>
        <item x="11"/>
        <item x="26"/>
        <item x="28"/>
        <item x="29"/>
        <item x="30"/>
        <item t="default"/>
      </items>
    </pivotField>
    <pivotField showAll="0"/>
    <pivotField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howAll="0">
      <items count="8">
        <item h="1" x="5"/>
        <item x="0"/>
        <item x="2"/>
        <item x="1"/>
        <item x="3"/>
        <item h="1" x="4"/>
        <item h="1" x="6"/>
        <item t="default"/>
      </items>
    </pivotField>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axis="axisRow" showAll="0" defaultSubtotal="0">
      <items count="14">
        <item h="1" x="0"/>
        <item x="1"/>
        <item x="2"/>
        <item x="3"/>
        <item x="4"/>
        <item x="5"/>
        <item x="6"/>
        <item x="7"/>
        <item x="8"/>
        <item x="9"/>
        <item x="10"/>
        <item x="11"/>
        <item x="12"/>
        <item h="1" x="13"/>
      </items>
    </pivotField>
  </pivotFields>
  <rowFields count="1">
    <field x="21"/>
  </rowFields>
  <rowItems count="11">
    <i>
      <x v="1"/>
    </i>
    <i>
      <x v="2"/>
    </i>
    <i>
      <x v="3"/>
    </i>
    <i>
      <x v="4"/>
    </i>
    <i>
      <x v="5"/>
    </i>
    <i>
      <x v="6"/>
    </i>
    <i>
      <x v="7"/>
    </i>
    <i>
      <x v="8"/>
    </i>
    <i>
      <x v="9"/>
    </i>
    <i>
      <x v="10"/>
    </i>
    <i t="grand">
      <x/>
    </i>
  </rowItems>
  <colFields count="2">
    <field x="4"/>
    <field x="5"/>
  </colFields>
  <colItems count="6">
    <i>
      <x v="7"/>
      <x v="8"/>
    </i>
    <i r="1">
      <x v="28"/>
    </i>
    <i r="1">
      <x v="39"/>
    </i>
    <i r="1">
      <x v="41"/>
    </i>
    <i t="default">
      <x v="7"/>
    </i>
    <i t="grand">
      <x/>
    </i>
  </colItems>
  <dataFields count="1">
    <dataField name="Sum of Absolute Total" fld="19" baseField="0" baseItem="0" numFmtId="167"/>
  </dataFields>
  <formats count="1">
    <format dxfId="47">
      <pivotArea outline="0" collapsedLevelsAreSubtotals="1" fieldPosition="0"/>
    </format>
  </formats>
  <chartFormats count="7">
    <chartFormat chart="2" format="7" series="1">
      <pivotArea type="data" outline="0" fieldPosition="0">
        <references count="3">
          <reference field="4294967294" count="1" selected="0">
            <x v="0"/>
          </reference>
          <reference field="4" count="1" selected="0">
            <x v="7"/>
          </reference>
          <reference field="5" count="1" selected="0">
            <x v="8"/>
          </reference>
        </references>
      </pivotArea>
    </chartFormat>
    <chartFormat chart="2" format="8" series="1">
      <pivotArea type="data" outline="0" fieldPosition="0">
        <references count="3">
          <reference field="4294967294" count="1" selected="0">
            <x v="0"/>
          </reference>
          <reference field="4" count="1" selected="0">
            <x v="7"/>
          </reference>
          <reference field="5" count="1" selected="0">
            <x v="28"/>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3">
          <reference field="4294967294" count="1" selected="0">
            <x v="0"/>
          </reference>
          <reference field="4" count="1" selected="0">
            <x v="7"/>
          </reference>
          <reference field="5" count="1" selected="0">
            <x v="33"/>
          </reference>
        </references>
      </pivotArea>
    </chartFormat>
    <chartFormat chart="2" format="11" series="1">
      <pivotArea type="data" outline="0" fieldPosition="0">
        <references count="3">
          <reference field="4294967294" count="1" selected="0">
            <x v="0"/>
          </reference>
          <reference field="4" count="1" selected="0">
            <x v="7"/>
          </reference>
          <reference field="5" count="1" selected="0">
            <x v="7"/>
          </reference>
        </references>
      </pivotArea>
    </chartFormat>
    <chartFormat chart="2" format="12" series="1">
      <pivotArea type="data" outline="0" fieldPosition="0">
        <references count="3">
          <reference field="4294967294" count="1" selected="0">
            <x v="0"/>
          </reference>
          <reference field="4" count="1" selected="0">
            <x v="7"/>
          </reference>
          <reference field="5" count="1" selected="0">
            <x v="39"/>
          </reference>
        </references>
      </pivotArea>
    </chartFormat>
    <chartFormat chart="2" format="13" series="1">
      <pivotArea type="data" outline="0" fieldPosition="0">
        <references count="3">
          <reference field="4294967294" count="1" selected="0">
            <x v="0"/>
          </reference>
          <reference field="4" count="1" selected="0">
            <x v="7"/>
          </reference>
          <reference field="5" count="1" selected="0">
            <x v="41"/>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Ads_Pivot" cacheId="0" applyNumberFormats="0" applyBorderFormats="0" applyFontFormats="0" applyPatternFormats="0" applyAlignmentFormats="0" applyWidthHeightFormats="1" dataCaption="Values" updatedVersion="5" minRefreshableVersion="3" colGrandTotals="0" itemPrintTitles="1" createdVersion="6" indent="0" outline="1" outlineData="1" multipleFieldFilters="0" chartFormat="5">
  <location ref="B2:C13" firstHeaderRow="1" firstDataRow="2" firstDataCol="1"/>
  <pivotFields count="22">
    <pivotField subtotalTop="0"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ubtotalTop="0" showAll="0"/>
    <pivotField subtotalTop="0" showAll="0"/>
    <pivotField subtotalTop="0" showAll="0"/>
    <pivotField subtotalTop="0" showAll="0"/>
    <pivotField axis="axisCol" subtotalTop="0" showAll="0">
      <items count="43">
        <item m="1" x="36"/>
        <item x="15"/>
        <item h="1" x="9"/>
        <item h="1" x="2"/>
        <item h="1" x="14"/>
        <item h="1" x="16"/>
        <item h="1" m="1" x="40"/>
        <item h="1" x="4"/>
        <item h="1" x="5"/>
        <item h="1" m="1" x="37"/>
        <item h="1" m="1" x="39"/>
        <item h="1" x="24"/>
        <item h="1" x="0"/>
        <item h="1" m="1" x="31"/>
        <item h="1" m="1" x="38"/>
        <item h="1" x="22"/>
        <item h="1" x="1"/>
        <item h="1" m="1" x="32"/>
        <item h="1" x="25"/>
        <item h="1" x="23"/>
        <item h="1" x="27"/>
        <item h="1" x="12"/>
        <item h="1" x="21"/>
        <item h="1" x="8"/>
        <item h="1" x="10"/>
        <item h="1" x="19"/>
        <item h="1" x="20"/>
        <item h="1" x="13"/>
        <item h="1" x="3"/>
        <item h="1" x="6"/>
        <item h="1" x="17"/>
        <item h="1" m="1" x="33"/>
        <item h="1" x="18"/>
        <item h="1" m="1" x="35"/>
        <item h="1" m="1" x="41"/>
        <item h="1" m="1" x="34"/>
        <item h="1" x="7"/>
        <item h="1" x="11"/>
        <item h="1" x="26"/>
        <item h="1" x="28"/>
        <item h="1" x="29"/>
        <item h="1" x="30"/>
        <item t="default"/>
      </items>
    </pivotField>
    <pivotField subtotalTop="0" showAll="0"/>
    <pivotField subtotalTop="0"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ubtotalTop="0" showAll="0">
      <items count="8">
        <item h="1" x="5"/>
        <item x="0"/>
        <item x="2"/>
        <item x="1"/>
        <item x="3"/>
        <item h="1" x="4"/>
        <item h="1" x="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 dataField="1" numFmtId="164" subtotalTop="0" showAll="0"/>
    <pivotField subtotalTop="0" showAll="0"/>
    <pivotField axis="axisRow" subtotalTop="0" showAll="0">
      <items count="15">
        <item h="1" x="0"/>
        <item sd="0" x="1"/>
        <item sd="0" x="2"/>
        <item x="3"/>
        <item x="4"/>
        <item x="5"/>
        <item x="6"/>
        <item x="7"/>
        <item x="8"/>
        <item x="9"/>
        <item x="10"/>
        <item x="11"/>
        <item x="12"/>
        <item h="1" x="13"/>
        <item t="default"/>
      </items>
    </pivotField>
  </pivotFields>
  <rowFields count="1">
    <field x="21"/>
  </rowFields>
  <rowItems count="10">
    <i>
      <x v="1"/>
    </i>
    <i>
      <x v="2"/>
    </i>
    <i>
      <x v="3"/>
    </i>
    <i>
      <x v="4"/>
    </i>
    <i>
      <x v="5"/>
    </i>
    <i>
      <x v="6"/>
    </i>
    <i>
      <x v="7"/>
    </i>
    <i>
      <x v="8"/>
    </i>
    <i>
      <x v="9"/>
    </i>
    <i t="grand">
      <x/>
    </i>
  </rowItems>
  <colFields count="1">
    <field x="5"/>
  </colFields>
  <colItems count="1">
    <i>
      <x v="1"/>
    </i>
  </colItems>
  <dataFields count="1">
    <dataField name="Sum of Absolute Total" fld="19" baseField="0" baseItem="0"/>
  </dataFields>
  <formats count="1">
    <format dxfId="46">
      <pivotArea outline="0" collapsedLevelsAreSubtotals="1" fieldPosition="0"/>
    </format>
  </formats>
  <chartFormats count="5">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4" format="5" series="1">
      <pivotArea type="data" outline="0" fieldPosition="0">
        <references count="2">
          <reference field="4294967294" count="1" selected="0">
            <x v="0"/>
          </reference>
          <reference field="5" count="1" selected="0">
            <x v="0"/>
          </reference>
        </references>
      </pivotArea>
    </chartFormat>
    <chartFormat chart="4" format="6" series="1">
      <pivotArea type="data" outline="0" fieldPosition="0">
        <references count="2">
          <reference field="4294967294" count="1" selected="0">
            <x v="0"/>
          </reference>
          <reference field="5" count="1" selected="0">
            <x v="1"/>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Hosting_Pivot" cacheId="0" applyNumberFormats="0" applyBorderFormats="0" applyFontFormats="0" applyPatternFormats="0" applyAlignmentFormats="0" applyWidthHeightFormats="1" dataCaption="Values" updatedVersion="5" minRefreshableVersion="3" colGrandTotals="0" itemPrintTitles="1" createdVersion="6" indent="0" outline="1" outlineData="1" multipleFieldFilters="0" chartFormat="5">
  <location ref="B2:D11" firstHeaderRow="1" firstDataRow="2" firstDataCol="1"/>
  <pivotFields count="22">
    <pivotField subtotalTop="0"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ubtotalTop="0" showAll="0"/>
    <pivotField subtotalTop="0" showAll="0"/>
    <pivotField subtotalTop="0" showAll="0"/>
    <pivotField subtotalTop="0" showAll="0"/>
    <pivotField axis="axisCol" subtotalTop="0" showAll="0">
      <items count="43">
        <item h="1" m="1" x="36"/>
        <item h="1" x="15"/>
        <item h="1" x="9"/>
        <item h="1" x="2"/>
        <item h="1" x="14"/>
        <item h="1" x="16"/>
        <item h="1" m="1" x="40"/>
        <item h="1" x="4"/>
        <item h="1" x="5"/>
        <item h="1" m="1" x="37"/>
        <item h="1" m="1" x="39"/>
        <item x="24"/>
        <item x="0"/>
        <item h="1" m="1" x="31"/>
        <item h="1" m="1" x="38"/>
        <item h="1" x="22"/>
        <item h="1" x="1"/>
        <item h="1" m="1" x="32"/>
        <item h="1" x="25"/>
        <item h="1" x="23"/>
        <item h="1" x="27"/>
        <item h="1" x="12"/>
        <item h="1" x="21"/>
        <item h="1" x="8"/>
        <item h="1" x="10"/>
        <item h="1" x="19"/>
        <item h="1" x="20"/>
        <item h="1" x="13"/>
        <item h="1" x="3"/>
        <item h="1" x="6"/>
        <item h="1" x="17"/>
        <item h="1" m="1" x="33"/>
        <item x="18"/>
        <item h="1" m="1" x="35"/>
        <item h="1" m="1" x="41"/>
        <item h="1" m="1" x="34"/>
        <item h="1" x="7"/>
        <item h="1" x="11"/>
        <item h="1" x="26"/>
        <item h="1" x="28"/>
        <item h="1" x="29"/>
        <item h="1" x="30"/>
        <item t="default"/>
      </items>
    </pivotField>
    <pivotField subtotalTop="0" showAll="0"/>
    <pivotField subtotalTop="0" showAll="0">
      <items count="45">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 t="default"/>
      </items>
    </pivotField>
    <pivotField subtotalTop="0" showAll="0">
      <items count="8">
        <item h="1" x="5"/>
        <item x="0"/>
        <item x="2"/>
        <item x="1"/>
        <item x="3"/>
        <item h="1" x="4"/>
        <item h="1" x="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 dataField="1" numFmtId="164" subtotalTop="0" showAll="0"/>
    <pivotField subtotalTop="0" showAll="0"/>
    <pivotField axis="axisRow" subtotalTop="0" showAll="0">
      <items count="15">
        <item h="1" x="0"/>
        <item sd="0" x="1"/>
        <item sd="0" x="2"/>
        <item x="3"/>
        <item x="4"/>
        <item x="5"/>
        <item x="6"/>
        <item x="7"/>
        <item x="8"/>
        <item x="9"/>
        <item x="10"/>
        <item x="11"/>
        <item x="12"/>
        <item h="1" x="13"/>
        <item t="default"/>
      </items>
    </pivotField>
  </pivotFields>
  <rowFields count="1">
    <field x="21"/>
  </rowFields>
  <rowItems count="8">
    <i>
      <x v="1"/>
    </i>
    <i>
      <x v="2"/>
    </i>
    <i>
      <x v="3"/>
    </i>
    <i>
      <x v="5"/>
    </i>
    <i>
      <x v="6"/>
    </i>
    <i>
      <x v="7"/>
    </i>
    <i>
      <x v="8"/>
    </i>
    <i t="grand">
      <x/>
    </i>
  </rowItems>
  <colFields count="1">
    <field x="5"/>
  </colFields>
  <colItems count="2">
    <i>
      <x v="12"/>
    </i>
    <i>
      <x v="32"/>
    </i>
  </colItems>
  <dataFields count="1">
    <dataField name="Sum of Absolute Total" fld="19" baseField="0" baseItem="0"/>
  </dataFields>
  <formats count="1">
    <format dxfId="45">
      <pivotArea outline="0" collapsedLevelsAreSubtotals="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4" format="11" series="1">
      <pivotArea type="data" outline="0" fieldPosition="0">
        <references count="2">
          <reference field="4294967294" count="1" selected="0">
            <x v="0"/>
          </reference>
          <reference field="5" count="1" selected="0">
            <x v="11"/>
          </reference>
        </references>
      </pivotArea>
    </chartFormat>
    <chartFormat chart="4" format="12" series="1">
      <pivotArea type="data" outline="0" fieldPosition="0">
        <references count="2">
          <reference field="4294967294" count="1" selected="0">
            <x v="0"/>
          </reference>
          <reference field="5" count="1" selected="0">
            <x v="12"/>
          </reference>
        </references>
      </pivotArea>
    </chartFormat>
    <chartFormat chart="4" format="13" series="1">
      <pivotArea type="data" outline="0" fieldPosition="0">
        <references count="1">
          <reference field="4294967294" count="1" selected="0">
            <x v="0"/>
          </reference>
        </references>
      </pivotArea>
    </chartFormat>
    <chartFormat chart="4" format="14" series="1">
      <pivotArea type="data" outline="0" fieldPosition="0">
        <references count="2">
          <reference field="4294967294" count="1" selected="0">
            <x v="0"/>
          </reference>
          <reference field="5" count="1" selected="0">
            <x v="3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Customers_Pivot" cacheId="0" applyNumberFormats="0" applyBorderFormats="0" applyFontFormats="0" applyPatternFormats="0" applyAlignmentFormats="0" applyWidthHeightFormats="1" dataCaption="Values" updatedVersion="5" minRefreshableVersion="3" rowGrandTotals="0" colGrandTotals="0" itemPrintTitles="1" createdVersion="6" indent="0" outline="1" outlineData="1" multipleFieldFilters="0">
  <location ref="B2:C4" firstHeaderRow="1" firstDataRow="3" firstDataCol="1"/>
  <pivotFields count="22">
    <pivotField axis="axisRow" subtotalTop="0" showAll="0" defaultSubtotal="0">
      <items count="368">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subtotalTop="0" showAll="0" defaultSubtotal="0"/>
    <pivotField subtotalTop="0" showAll="0" defaultSubtotal="0"/>
    <pivotField subtotalTop="0" showAll="0" defaultSubtotal="0"/>
    <pivotField axis="axisCol" subtotalTop="0" showAll="0" defaultSubtotal="0">
      <items count="9">
        <item h="1" x="1"/>
        <item h="1" x="0"/>
        <item x="4"/>
        <item h="1" x="5"/>
        <item h="1" x="2"/>
        <item h="1" x="7"/>
        <item h="1" x="8"/>
        <item h="1" x="3"/>
        <item h="1" x="6"/>
      </items>
    </pivotField>
    <pivotField subtotalTop="0" showAll="0" defaultSubtotal="0"/>
    <pivotField subtotalTop="0" showAll="0" defaultSubtotal="0"/>
    <pivotField axis="axisCol" subtotalTop="0" showAll="0" defaultSubtotal="0">
      <items count="44">
        <item h="1" m="1" x="43"/>
        <item h="1" x="2"/>
        <item x="1"/>
        <item h="1" x="0"/>
        <item h="1" x="5"/>
        <item h="1" x="3"/>
        <item h="1" x="4"/>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s>
    </pivotField>
    <pivotField subtotalTop="0" showAll="0" defaultSubtotal="0">
      <items count="7">
        <item h="1" x="5"/>
        <item x="0"/>
        <item x="2"/>
        <item x="1"/>
        <item x="3"/>
        <item h="1" x="4"/>
        <item h="1"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numFmtId="164" subtotalTop="0" showAll="0" defaultSubtotal="0"/>
    <pivotField dataField="1" numFmtId="164" subtotalTop="0" showAll="0" defaultSubtotal="0"/>
    <pivotField subtotalTop="0" showAll="0" defaultSubtotal="0"/>
    <pivotField axis="axisRow" subtotalTop="0" showAll="0" defaultSubtotal="0">
      <items count="14">
        <item h="1" x="0"/>
        <item sd="0" x="1"/>
        <item sd="0" x="2"/>
        <item sd="0" x="3"/>
        <item sd="0" x="4"/>
        <item sd="0" x="5"/>
        <item sd="0" x="6"/>
        <item sd="0" x="7"/>
        <item sd="0" x="8"/>
        <item sd="0" x="9"/>
        <item sd="0" x="10"/>
        <item x="11"/>
        <item x="12"/>
        <item h="1" x="13"/>
      </items>
    </pivotField>
  </pivotFields>
  <rowFields count="2">
    <field x="21"/>
    <field x="0"/>
  </rowFields>
  <colFields count="2">
    <field x="4"/>
    <field x="7"/>
  </colFields>
  <dataFields count="1">
    <dataField name="Count of Absolute Total" fld="19" subtotal="count" baseField="0" baseItem="0"/>
  </dataFields>
  <formats count="1">
    <format dxfId="44">
      <pivotArea outline="0" collapsedLevelsAreSubtotals="1"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VATPivot" cacheId="0" applyNumberFormats="0" applyBorderFormats="0" applyFontFormats="0" applyPatternFormats="0" applyAlignmentFormats="0" applyWidthHeightFormats="1" dataCaption="Values" updatedVersion="5" minRefreshableVersion="3" useAutoFormatting="1" rowGrandTotals="0" colGrandTotals="0" itemPrintTitles="1" createdVersion="6" indent="0" outline="1" outlineData="1" multipleFieldFilters="0" chartFormat="9">
  <location ref="B2:C12" firstHeaderRow="1" firstDataRow="2" firstDataCol="1"/>
  <pivotFields count="22">
    <pivotField showAll="0" defaultSubtotal="0">
      <items count="368">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showAll="0" defaultSubtotal="0"/>
    <pivotField showAll="0" defaultSubtotal="0"/>
    <pivotField showAll="0" defaultSubtotal="0"/>
    <pivotField showAll="0" defaultSubtotal="0"/>
    <pivotField showAll="0" defaultSubtotal="0"/>
    <pivotField axis="axisCol" showAll="0" defaultSubtotal="0">
      <items count="65">
        <item h="1" m="1" x="40"/>
        <item h="1" x="16"/>
        <item h="1" x="17"/>
        <item h="1" x="10"/>
        <item h="1" m="1" x="41"/>
        <item h="1" x="29"/>
        <item h="1" x="5"/>
        <item h="1" x="4"/>
        <item h="1" x="19"/>
        <item h="1" m="1" x="45"/>
        <item h="1" m="1" x="47"/>
        <item h="1" x="11"/>
        <item h="1" x="0"/>
        <item h="1" x="32"/>
        <item h="1" m="1" x="50"/>
        <item h="1" x="22"/>
        <item h="1" x="13"/>
        <item h="1" x="12"/>
        <item h="1" m="1" x="56"/>
        <item h="1" m="1" x="63"/>
        <item h="1" m="1" x="42"/>
        <item h="1" m="1" x="44"/>
        <item h="1" x="1"/>
        <item h="1" x="8"/>
        <item h="1" m="1" x="60"/>
        <item h="1" m="1" x="59"/>
        <item h="1" x="36"/>
        <item h="1" x="20"/>
        <item h="1" x="28"/>
        <item h="1" m="1" x="61"/>
        <item h="1" m="1" x="46"/>
        <item h="1" m="1" x="53"/>
        <item h="1" x="24"/>
        <item h="1" x="27"/>
        <item h="1" m="1" x="64"/>
        <item h="1" x="31"/>
        <item h="1" x="14"/>
        <item x="6"/>
        <item x="3"/>
        <item h="1" x="7"/>
        <item h="1" x="15"/>
        <item h="1" m="1" x="51"/>
        <item h="1" x="33"/>
        <item h="1" m="1" x="49"/>
        <item h="1" m="1" x="43"/>
        <item h="1" m="1" x="58"/>
        <item h="1" m="1" x="55"/>
        <item h="1" m="1" x="62"/>
        <item h="1" m="1" x="52"/>
        <item h="1" m="1" x="57"/>
        <item h="1" x="39"/>
        <item h="1" m="1" x="48"/>
        <item h="1" m="1" x="54"/>
        <item h="1" x="2"/>
        <item h="1" x="9"/>
        <item h="1" x="18"/>
        <item h="1" x="21"/>
        <item h="1" x="23"/>
        <item h="1" x="25"/>
        <item h="1" x="26"/>
        <item h="1" x="30"/>
        <item h="1" x="34"/>
        <item h="1" x="35"/>
        <item h="1" x="37"/>
        <item h="1" x="38"/>
      </items>
    </pivotField>
    <pivotField showAll="0" defaultSubtotal="0">
      <items count="44">
        <item h="1" m="1" x="43"/>
        <item h="1" x="25"/>
        <item h="1" x="2"/>
        <item h="1" x="17"/>
        <item x="1"/>
        <item h="1" x="20"/>
        <item h="1" x="6"/>
        <item h="1" x="38"/>
        <item h="1" x="4"/>
        <item h="1" x="10"/>
        <item h="1" x="32"/>
        <item h="1" x="3"/>
        <item h="1" x="41"/>
        <item h="1" x="24"/>
        <item h="1" x="26"/>
        <item h="1" x="27"/>
        <item h="1" x="11"/>
        <item h="1" x="8"/>
        <item h="1" x="12"/>
        <item h="1" x="33"/>
        <item h="1" x="13"/>
        <item h="1" x="9"/>
        <item h="1" x="14"/>
        <item h="1" x="39"/>
        <item h="1" x="21"/>
        <item h="1" x="28"/>
        <item h="1" x="23"/>
        <item h="1" x="18"/>
        <item h="1" x="42"/>
        <item h="1" x="40"/>
        <item h="1" x="22"/>
        <item h="1" x="7"/>
        <item h="1" x="16"/>
        <item h="1" x="34"/>
        <item h="1" x="30"/>
        <item h="1" x="0"/>
        <item h="1" x="37"/>
        <item h="1" x="35"/>
        <item h="1" x="36"/>
        <item h="1" x="15"/>
        <item h="1" x="31"/>
        <item h="1" x="29"/>
        <item h="1" x="19"/>
        <item h="1" x="5"/>
      </items>
    </pivotField>
    <pivotField showAll="0" defaultSubtotal="0">
      <items count="7">
        <item h="1" x="5"/>
        <item x="0"/>
        <item x="2"/>
        <item x="1"/>
        <item x="3"/>
        <item h="1" x="4"/>
        <item h="1" x="6"/>
      </items>
    </pivotField>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numFmtId="164" showAll="0" defaultSubtotal="0"/>
    <pivotField dataField="1" numFmtId="164" showAll="0" defaultSubtotal="0"/>
    <pivotField showAll="0" defaultSubtotal="0"/>
    <pivotField axis="axisRow" showAll="0" defaultSubtotal="0">
      <items count="14">
        <item h="1" x="0"/>
        <item x="1"/>
        <item x="2"/>
        <item x="3"/>
        <item x="4"/>
        <item x="5"/>
        <item x="6"/>
        <item x="7"/>
        <item x="8"/>
        <item x="9"/>
        <item x="10"/>
        <item x="11"/>
        <item x="12"/>
        <item h="1" x="13"/>
      </items>
    </pivotField>
  </pivotFields>
  <rowFields count="1">
    <field x="21"/>
  </rowFields>
  <rowItems count="9">
    <i>
      <x v="1"/>
    </i>
    <i>
      <x v="2"/>
    </i>
    <i>
      <x v="3"/>
    </i>
    <i>
      <x v="4"/>
    </i>
    <i>
      <x v="5"/>
    </i>
    <i>
      <x v="6"/>
    </i>
    <i>
      <x v="7"/>
    </i>
    <i>
      <x v="8"/>
    </i>
    <i>
      <x v="9"/>
    </i>
  </rowItems>
  <colFields count="1">
    <field x="6"/>
  </colFields>
  <colItems count="1">
    <i>
      <x v="38"/>
    </i>
  </colItems>
  <dataFields count="1">
    <dataField name="Sum of Absolute Total" fld="19" baseField="0" baseItem="0" numFmtId="167"/>
  </dataFields>
  <formats count="1">
    <format dxfId="43">
      <pivotArea outline="0" collapsedLevelsAreSubtotals="1" fieldPosition="0"/>
    </format>
  </formats>
  <chartFormats count="12">
    <chartFormat chart="4" format="23" series="1">
      <pivotArea type="data" outline="0" fieldPosition="0">
        <references count="1">
          <reference field="4294967294" count="1" selected="0">
            <x v="0"/>
          </reference>
        </references>
      </pivotArea>
    </chartFormat>
    <chartFormat chart="6" format="2" series="1">
      <pivotArea type="data" outline="0" fieldPosition="0">
        <references count="2">
          <reference field="4294967294" count="1" selected="0">
            <x v="0"/>
          </reference>
          <reference field="6" count="1" selected="0">
            <x v="37"/>
          </reference>
        </references>
      </pivotArea>
    </chartFormat>
    <chartFormat chart="6" format="3" series="1">
      <pivotArea type="data" outline="0" fieldPosition="0">
        <references count="2">
          <reference field="4294967294" count="1" selected="0">
            <x v="0"/>
          </reference>
          <reference field="6" count="1" selected="0">
            <x v="38"/>
          </reference>
        </references>
      </pivotArea>
    </chartFormat>
    <chartFormat chart="6"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6" count="1" selected="0">
            <x v="37"/>
          </reference>
        </references>
      </pivotArea>
    </chartFormat>
    <chartFormat chart="8" format="6" series="1">
      <pivotArea type="data" outline="0" fieldPosition="0">
        <references count="2">
          <reference field="4294967294" count="1" selected="0">
            <x v="0"/>
          </reference>
          <reference field="6" count="1" selected="0">
            <x v="38"/>
          </reference>
        </references>
      </pivotArea>
    </chartFormat>
    <chartFormat chart="7" format="7" series="1">
      <pivotArea type="data" outline="0" fieldPosition="0">
        <references count="2">
          <reference field="4294967294" count="1" selected="0">
            <x v="0"/>
          </reference>
          <reference field="6" count="1" selected="0">
            <x v="37"/>
          </reference>
        </references>
      </pivotArea>
    </chartFormat>
    <chartFormat chart="7" format="8" series="1">
      <pivotArea type="data" outline="0" fieldPosition="0">
        <references count="2">
          <reference field="4294967294" count="1" selected="0">
            <x v="0"/>
          </reference>
          <reference field="6" count="1" selected="0">
            <x v="38"/>
          </reference>
        </references>
      </pivotArea>
    </chartFormat>
    <chartFormat chart="7" format="9">
      <pivotArea type="data" outline="0" fieldPosition="0">
        <references count="3">
          <reference field="4294967294" count="1" selected="0">
            <x v="0"/>
          </reference>
          <reference field="6" count="1" selected="0">
            <x v="38"/>
          </reference>
          <reference field="21" count="1" selected="0">
            <x v="1"/>
          </reference>
        </references>
      </pivotArea>
    </chartFormat>
    <chartFormat chart="7" format="10">
      <pivotArea type="data" outline="0" fieldPosition="0">
        <references count="3">
          <reference field="4294967294" count="1" selected="0">
            <x v="0"/>
          </reference>
          <reference field="6" count="1" selected="0">
            <x v="38"/>
          </reference>
          <reference field="21" count="1" selected="0">
            <x v="2"/>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3">
          <reference field="4294967294" count="1" selected="0">
            <x v="0"/>
          </reference>
          <reference field="6" count="1" selected="0">
            <x v="38"/>
          </reference>
          <reference field="21" count="1" selected="0">
            <x v="9"/>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00000000-0013-0000-FFFF-FFFF01000000}" sourceName="Customer">
  <pivotTables>
    <pivotTable tabId="4" name="IncomePivot"/>
    <pivotTable tabId="10" name="Ads_Pivot"/>
    <pivotTable tabId="8" name="CoS_Pivot"/>
    <pivotTable tabId="11" name="Customers_Pivot"/>
    <pivotTable tabId="6" name="Expenses_Pivot"/>
    <pivotTable tabId="12" name="Hosting_Pivot"/>
    <pivotTable tabId="7" name="OpEx_Pivot"/>
    <pivotTable tabId="5" name="Payroll_Pivot"/>
    <pivotTable tabId="9" name="Tax_Pivot"/>
    <pivotTable tabId="14" name="VATPivot"/>
  </pivotTables>
  <data>
    <tabular pivotCacheId="1537859849">
      <items count="44">
        <i x="25"/>
        <i x="2"/>
        <i x="17"/>
        <i x="1" s="1"/>
        <i x="20"/>
        <i x="6"/>
        <i x="38"/>
        <i x="4"/>
        <i x="32"/>
        <i x="3"/>
        <i x="41"/>
        <i x="24"/>
        <i x="26"/>
        <i x="27"/>
        <i x="8"/>
        <i x="12"/>
        <i x="33"/>
        <i x="13"/>
        <i x="9"/>
        <i x="14"/>
        <i x="39"/>
        <i x="21"/>
        <i x="28"/>
        <i x="23"/>
        <i x="18"/>
        <i x="42"/>
        <i x="40"/>
        <i x="22"/>
        <i x="7"/>
        <i x="16"/>
        <i x="34"/>
        <i x="0"/>
        <i x="37"/>
        <i x="35"/>
        <i x="36"/>
        <i x="15"/>
        <i x="31"/>
        <i x="29"/>
        <i x="5"/>
        <i x="43" nd="1"/>
        <i x="10" nd="1"/>
        <i x="11" nd="1"/>
        <i x="30" nd="1"/>
        <i x="1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4" name="IncomePivot"/>
    <pivotTable tabId="10" name="Ads_Pivot"/>
    <pivotTable tabId="8" name="CoS_Pivot"/>
    <pivotTable tabId="11" name="Customers_Pivot"/>
    <pivotTable tabId="6" name="Expenses_Pivot"/>
    <pivotTable tabId="12" name="Hosting_Pivot"/>
    <pivotTable tabId="7" name="OpEx_Pivot"/>
    <pivotTable tabId="5" name="Payroll_Pivot"/>
    <pivotTable tabId="9" name="Tax_Pivot"/>
    <pivotTable tabId="14" name="VATPivot"/>
  </pivotTables>
  <data>
    <tabular pivotCacheId="1537859849">
      <items count="7">
        <i x="5"/>
        <i x="0" s="1"/>
        <i x="2" s="1"/>
        <i x="1" s="1"/>
        <i x="3" s="1"/>
        <i x="4"/>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3000000}" sourceName="Months">
  <pivotTables>
    <pivotTable tabId="6" name="Expenses_Pivot"/>
    <pivotTable tabId="10" name="Ads_Pivot"/>
    <pivotTable tabId="8" name="CoS_Pivot"/>
    <pivotTable tabId="11" name="Customers_Pivot"/>
    <pivotTable tabId="12" name="Hosting_Pivot"/>
    <pivotTable tabId="4" name="IncomePivot"/>
    <pivotTable tabId="7" name="OpEx_Pivot"/>
    <pivotTable tabId="5" name="Payroll_Pivot"/>
    <pivotTable tabId="9" name="Tax_Pivot"/>
    <pivotTable tabId="14" name="VATPivot"/>
  </pivotTables>
  <data>
    <tabular pivotCacheId="1537859849">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00000000-0014-0000-FFFF-FFFF01000000}" cache="Slicer_Customer" caption="Customer" style="SlicerStyleLight4" rowHeight="251883"/>
  <slicer name="Department" xr10:uid="{00000000-0014-0000-FFFF-FFFF02000000}" cache="Slicer_Department" caption="Department" style="SlicerStyleLight5" rowHeight="251883"/>
  <slicer name="Months" xr10:uid="{00000000-0014-0000-FFFF-FFFF03000000}" cache="Slicer_Months" caption="Months"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Investment" displayName="Investment" ref="B13:J16" totalsRowCount="1">
  <autoFilter ref="B13:J15" xr:uid="{00000000-0009-0000-0100-000004000000}"/>
  <tableColumns count="9">
    <tableColumn id="1" xr3:uid="{00000000-0010-0000-0000-000001000000}" name="Ref" totalsRowLabel="Total" dataDxfId="8119" totalsRowDxfId="8118"/>
    <tableColumn id="2" xr3:uid="{00000000-0010-0000-0000-000002000000}" name="Date" dataDxfId="8117" totalsRowDxfId="8116"/>
    <tableColumn id="3" xr3:uid="{00000000-0010-0000-0000-000003000000}" name="Item" dataDxfId="8115" totalsRowDxfId="8114"/>
    <tableColumn id="5" xr3:uid="{00000000-0010-0000-0000-000005000000}" name="Samer" totalsRowFunction="custom" dataDxfId="8113" totalsRowDxfId="8112">
      <totalsRowFormula>SUMPRODUCT(Investment[Samer],Investment[Rate])</totalsRowFormula>
    </tableColumn>
    <tableColumn id="6" xr3:uid="{00000000-0010-0000-0000-000006000000}" name="Simon" totalsRowFunction="custom" dataDxfId="8111" totalsRowDxfId="8110">
      <totalsRowFormula>SUMPRODUCT(Investment[Simon],Investment[Rate])</totalsRowFormula>
    </tableColumn>
    <tableColumn id="7" xr3:uid="{00000000-0010-0000-0000-000007000000}" name="Fadi" totalsRowFunction="custom" dataDxfId="8109" totalsRowDxfId="8108">
      <totalsRowFormula>SUMPRODUCT(Investment[Fadi],Investment[Rate])</totalsRowFormula>
    </tableColumn>
    <tableColumn id="9" xr3:uid="{00000000-0010-0000-0000-000009000000}" name="Currency" dataDxfId="8107" totalsRowDxfId="8106"/>
    <tableColumn id="11" xr3:uid="{00000000-0010-0000-0000-00000B000000}" name="Rate" dataDxfId="8105" totalsRowDxfId="8104">
      <calculatedColumnFormula>LOOKUP(Investment[[#This Row],[Currency]],Currency2[])</calculatedColumnFormula>
    </tableColumn>
    <tableColumn id="10" xr3:uid="{00000000-0010-0000-0000-00000A000000}" name="Total (EGP)" totalsRowFunction="sum" dataDxfId="8103" totalsRowDxfId="8102">
      <calculatedColumnFormula>SUM(Investment[[#This Row],[Samer]:[Fadi]])*Investment[[#This Row],[Rate]]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urrency2" displayName="Currency2" ref="B6:C10" totalsRowShown="0">
  <autoFilter ref="B6:C10" xr:uid="{00000000-0009-0000-0100-000003000000}"/>
  <tableColumns count="2">
    <tableColumn id="1" xr3:uid="{00000000-0010-0000-0100-000001000000}" name="Currency" dataDxfId="8101"/>
    <tableColumn id="2" xr3:uid="{00000000-0010-0000-0100-000002000000}" name="Rate" dataDxfId="810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Finance" displayName="Finance" ref="B14:X993" totalsRowCount="1" totalsRowDxfId="83" headerRowBorderDxfId="84" totalsRowBorderDxfId="82">
  <autoFilter ref="B14:X992" xr:uid="{00000000-0009-0000-0100-000002000000}"/>
  <sortState xmlns:xlrd2="http://schemas.microsoft.com/office/spreadsheetml/2017/richdata2" ref="B15:X992">
    <sortCondition ref="B14:B992"/>
  </sortState>
  <tableColumns count="23">
    <tableColumn id="2" xr3:uid="{00000000-0010-0000-0200-000002000000}" name="Date" dataDxfId="81" totalsRowDxfId="22"/>
    <tableColumn id="13" xr3:uid="{00000000-0010-0000-0200-00000D000000}" name="Year" dataDxfId="80" totalsRowDxfId="21">
      <calculatedColumnFormula>YEAR(Finance[[#This Row],[Date]])</calculatedColumnFormula>
    </tableColumn>
    <tableColumn id="14" xr3:uid="{00000000-0010-0000-0200-00000E000000}" name="Month" dataDxfId="79" totalsRowDxfId="20">
      <calculatedColumnFormula>MONTH(Finance[[#This Row],[Date]])</calculatedColumnFormula>
    </tableColumn>
    <tableColumn id="3" xr3:uid="{00000000-0010-0000-0200-000003000000}" name="Item" dataDxfId="78" totalsRowDxfId="19"/>
    <tableColumn id="8" xr3:uid="{00000000-0010-0000-0200-000008000000}" name="Type" dataDxfId="77" totalsRowDxfId="18"/>
    <tableColumn id="1" xr3:uid="{00000000-0010-0000-0200-000001000000}" name="Category" dataDxfId="76" totalsRowDxfId="17"/>
    <tableColumn id="9" xr3:uid="{00000000-0010-0000-0200-000009000000}" name="Sub Category" dataDxfId="75" totalsRowDxfId="16"/>
    <tableColumn id="11" xr3:uid="{00000000-0010-0000-0200-00000B000000}" name="Customer" dataDxfId="74" totalsRowDxfId="15">
      <calculatedColumnFormula>VLOOKUP(Finance[[#This Row],[Sub Category]],Currency[],2)</calculatedColumnFormula>
    </tableColumn>
    <tableColumn id="12" xr3:uid="{00000000-0010-0000-0200-00000C000000}" name="Department" dataDxfId="73" totalsRowDxfId="14"/>
    <tableColumn id="17" xr3:uid="{00000000-0010-0000-0200-000011000000}" name="Inv #" dataDxfId="72" totalsRowDxfId="13"/>
    <tableColumn id="5" xr3:uid="{00000000-0010-0000-0200-000005000000}" name="Samer" totalsRowFunction="sum" dataDxfId="71" totalsRowDxfId="12" dataCellStyle="Comma">
      <calculatedColumnFormula>[2]!Finance[[#Totals],[Samer]]</calculatedColumnFormula>
    </tableColumn>
    <tableColumn id="6" xr3:uid="{00000000-0010-0000-0200-000006000000}" name="Simon" totalsRowFunction="sum" dataDxfId="70" totalsRowDxfId="11" dataCellStyle="Comma"/>
    <tableColumn id="7" xr3:uid="{00000000-0010-0000-0200-000007000000}" name="Fadi" totalsRowFunction="sum" dataDxfId="69" totalsRowDxfId="10" dataCellStyle="Comma"/>
    <tableColumn id="18" xr3:uid="{00000000-0010-0000-0200-000012000000}" name="Adel" totalsRowFunction="sum" dataDxfId="68" totalsRowDxfId="9" dataCellStyle="Comma"/>
    <tableColumn id="19" xr3:uid="{00000000-0010-0000-0200-000013000000}" name="CapEx Cash" totalsRowFunction="sum" dataDxfId="67" totalsRowDxfId="8" dataCellStyle="Comma"/>
    <tableColumn id="16" xr3:uid="{00000000-0010-0000-0200-000010000000}" name="Cash" totalsRowFunction="sum" dataDxfId="66" totalsRowDxfId="7" dataCellStyle="Comma">
      <calculatedColumnFormula>-3000-1000</calculatedColumnFormula>
    </tableColumn>
    <tableColumn id="15" xr3:uid="{00000000-0010-0000-0200-00000F000000}" name="Bank (QNB)EGP" totalsRowFunction="sum" dataDxfId="65" totalsRowDxfId="6" dataCellStyle="Comma"/>
    <tableColumn id="20" xr3:uid="{00000000-0010-0000-0200-000014000000}" name="Margins" totalsRowFunction="sum" dataDxfId="64" totalsRowDxfId="5" dataCellStyle="Comma"/>
    <tableColumn id="10" xr3:uid="{00000000-0010-0000-0200-00000A000000}" name="Total (EGP)" totalsRowFunction="custom" dataDxfId="63" totalsRowDxfId="4" dataCellStyle="Comma">
      <calculatedColumnFormula>SUM(Finance[[#This Row],[Samer]:[Margins]])</calculatedColumnFormula>
      <totalsRowFormula>SUM(Finance[[#Totals],[Samer]:[Margins]])</totalsRowFormula>
    </tableColumn>
    <tableColumn id="21" xr3:uid="{00000000-0010-0000-0200-000015000000}" name="Absolute Total" dataDxfId="62" totalsRowDxfId="3" dataCellStyle="Comma">
      <calculatedColumnFormula>ABS(Finance[[#This Row],[Total (EGP)]])</calculatedColumnFormula>
    </tableColumn>
    <tableColumn id="4" xr3:uid="{00000000-0010-0000-0200-000004000000}" name="Comment" dataDxfId="61" totalsRowDxfId="2" dataCellStyle="Comma"/>
    <tableColumn id="22" xr3:uid="{7E4FF63B-BD2B-4B92-A4A0-60BB015AB7B9}" name="Column1" dataDxfId="60" totalsRowDxfId="1"/>
    <tableColumn id="23" xr3:uid="{15197440-23AB-42F5-89F7-36E0D2167E1A}" name="Column2" dataDxfId="59" totalsRowDxfId="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Currency" displayName="Currency" ref="B7:C11" totalsRowShown="0">
  <autoFilter ref="B7:C11" xr:uid="{00000000-0009-0000-0100-000001000000}"/>
  <tableColumns count="2">
    <tableColumn id="1" xr3:uid="{00000000-0010-0000-0300-000001000000}" name="Currency" dataDxfId="58"/>
    <tableColumn id="2" xr3:uid="{00000000-0010-0000-0300-000002000000}" name="Rate" dataDxfId="5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57" displayName="Table57" ref="B5:E76" totalsRowShown="0" headerRowDxfId="27" headerRowBorderDxfId="26">
  <autoFilter ref="B5:E76" xr:uid="{00000000-0009-0000-0100-000006000000}"/>
  <sortState xmlns:xlrd2="http://schemas.microsoft.com/office/spreadsheetml/2017/richdata2" ref="B6:C45">
    <sortCondition ref="B5:B45"/>
  </sortState>
  <tableColumns count="4">
    <tableColumn id="1" xr3:uid="{00000000-0010-0000-0400-000001000000}" name="Type" dataDxfId="25"/>
    <tableColumn id="2" xr3:uid="{00000000-0010-0000-0400-000002000000}" name="Category" dataDxfId="24"/>
    <tableColumn id="3" xr3:uid="{00000000-0010-0000-0400-000003000000}" name="Description" dataDxfId="23"/>
    <tableColumn id="4" xr3:uid="{00000000-0010-0000-0400-000004000000}" name="Sub Categori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J16"/>
  <sheetViews>
    <sheetView workbookViewId="0">
      <selection activeCell="F30" sqref="F30"/>
    </sheetView>
  </sheetViews>
  <sheetFormatPr defaultColWidth="10.875" defaultRowHeight="17.25" x14ac:dyDescent="0.3"/>
  <cols>
    <col min="1" max="1" width="4.375" style="2" customWidth="1"/>
    <col min="2" max="2" width="13.125" style="2" customWidth="1"/>
    <col min="3" max="3" width="11.875" style="2" customWidth="1"/>
    <col min="4" max="4" width="18.625" style="2" customWidth="1"/>
    <col min="5" max="7" width="10.875" style="2" customWidth="1"/>
    <col min="8" max="9" width="12.625" style="2" customWidth="1"/>
    <col min="10" max="10" width="14.125" style="2" customWidth="1"/>
    <col min="11" max="11" width="10.875" style="2" customWidth="1"/>
    <col min="12" max="16384" width="10.875" style="2"/>
  </cols>
  <sheetData>
    <row r="2" spans="2:10" ht="18.75" x14ac:dyDescent="0.3">
      <c r="B2" s="1" t="s">
        <v>0</v>
      </c>
    </row>
    <row r="3" spans="2:10" x14ac:dyDescent="0.3">
      <c r="B3" s="2" t="s">
        <v>19</v>
      </c>
    </row>
    <row r="5" spans="2:10" x14ac:dyDescent="0.3">
      <c r="B5" s="14" t="s">
        <v>17</v>
      </c>
      <c r="C5" s="15"/>
    </row>
    <row r="6" spans="2:10" x14ac:dyDescent="0.3">
      <c r="B6" s="8" t="s">
        <v>10</v>
      </c>
      <c r="C6" s="9" t="s">
        <v>16</v>
      </c>
    </row>
    <row r="7" spans="2:10" x14ac:dyDescent="0.3">
      <c r="B7" s="10" t="s">
        <v>11</v>
      </c>
      <c r="C7" s="11">
        <v>7.3</v>
      </c>
    </row>
    <row r="8" spans="2:10" x14ac:dyDescent="0.3">
      <c r="B8" s="10" t="s">
        <v>12</v>
      </c>
      <c r="C8" s="11">
        <v>1</v>
      </c>
    </row>
    <row r="9" spans="2:10" x14ac:dyDescent="0.3">
      <c r="B9" s="10" t="s">
        <v>13</v>
      </c>
      <c r="C9" s="11">
        <v>10</v>
      </c>
    </row>
    <row r="10" spans="2:10" x14ac:dyDescent="0.3">
      <c r="B10" s="12" t="s">
        <v>14</v>
      </c>
      <c r="C10" s="13">
        <v>8</v>
      </c>
    </row>
    <row r="12" spans="2:10" x14ac:dyDescent="0.3">
      <c r="B12" s="16" t="s">
        <v>8</v>
      </c>
      <c r="C12" s="17"/>
      <c r="D12" s="17"/>
      <c r="E12" s="17"/>
      <c r="F12" s="17"/>
      <c r="G12" s="17"/>
      <c r="H12" s="17"/>
      <c r="I12" s="17"/>
      <c r="J12" s="17"/>
    </row>
    <row r="13" spans="2:10" x14ac:dyDescent="0.3">
      <c r="B13" s="4" t="s">
        <v>2</v>
      </c>
      <c r="C13" s="4" t="s">
        <v>3</v>
      </c>
      <c r="D13" s="4" t="s">
        <v>1</v>
      </c>
      <c r="E13" s="4" t="s">
        <v>4</v>
      </c>
      <c r="F13" s="4" t="s">
        <v>5</v>
      </c>
      <c r="G13" s="4" t="s">
        <v>6</v>
      </c>
      <c r="H13" s="4" t="s">
        <v>10</v>
      </c>
      <c r="I13" s="4" t="s">
        <v>16</v>
      </c>
      <c r="J13" s="4" t="s">
        <v>15</v>
      </c>
    </row>
    <row r="14" spans="2:10" x14ac:dyDescent="0.3">
      <c r="B14" s="2">
        <v>1</v>
      </c>
      <c r="C14" s="3">
        <v>41960</v>
      </c>
      <c r="D14" s="2" t="s">
        <v>18</v>
      </c>
      <c r="E14" s="2">
        <v>0</v>
      </c>
      <c r="F14" s="2">
        <v>0</v>
      </c>
      <c r="G14" s="2">
        <v>27000</v>
      </c>
      <c r="H14" s="2" t="s">
        <v>12</v>
      </c>
      <c r="I14" s="2">
        <f>LOOKUP(Investment[[#This Row],[Currency]],Currency2[])</f>
        <v>1</v>
      </c>
      <c r="J14" s="2">
        <f>SUM(Investment[[#This Row],[Samer]:[Fadi]])*Investment[[#This Row],[Rate]]</f>
        <v>27000</v>
      </c>
    </row>
    <row r="15" spans="2:10" x14ac:dyDescent="0.3">
      <c r="B15" s="6">
        <v>2</v>
      </c>
      <c r="C15" s="7">
        <v>42015</v>
      </c>
      <c r="D15" s="6" t="s">
        <v>18</v>
      </c>
      <c r="E15" s="6">
        <v>200</v>
      </c>
      <c r="F15" s="6">
        <v>0</v>
      </c>
      <c r="G15" s="6">
        <v>0</v>
      </c>
      <c r="H15" s="6" t="s">
        <v>12</v>
      </c>
      <c r="I15" s="6">
        <f>LOOKUP(Investment[[#This Row],[Currency]],Currency2[])</f>
        <v>1</v>
      </c>
      <c r="J15" s="6">
        <f>SUM(Investment[[#This Row],[Samer]:[Fadi]])*Investment[[#This Row],[Rate]]</f>
        <v>200</v>
      </c>
    </row>
    <row r="16" spans="2:10" x14ac:dyDescent="0.3">
      <c r="B16" s="5" t="s">
        <v>7</v>
      </c>
      <c r="C16" s="5"/>
      <c r="D16" s="5"/>
      <c r="E16" s="5">
        <f>SUMPRODUCT(Investment[Samer],Investment[Rate])</f>
        <v>200</v>
      </c>
      <c r="F16" s="5">
        <f>SUMPRODUCT(Investment[Simon],Investment[Rate])</f>
        <v>0</v>
      </c>
      <c r="G16" s="5">
        <f>SUMPRODUCT(Investment[Fadi],Investment[Rate])</f>
        <v>27000</v>
      </c>
      <c r="H16" s="5"/>
      <c r="I16" s="5"/>
      <c r="J16" s="5">
        <f>SUBTOTAL(109,Investment[Total (EGP)])</f>
        <v>27200</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dimension ref="B1:Y88"/>
  <sheetViews>
    <sheetView showGridLines="0" topLeftCell="A52" zoomScale="82" zoomScaleNormal="140" workbookViewId="0">
      <selection activeCell="C91" sqref="C91"/>
    </sheetView>
  </sheetViews>
  <sheetFormatPr defaultColWidth="10.625" defaultRowHeight="15.75" x14ac:dyDescent="0.25"/>
  <cols>
    <col min="1" max="1" width="3.5" customWidth="1"/>
    <col min="23" max="23" width="0.375" customWidth="1"/>
    <col min="24" max="24" width="4.125" customWidth="1"/>
  </cols>
  <sheetData>
    <row r="1" spans="2:25" s="74" customFormat="1" x14ac:dyDescent="0.25">
      <c r="W1" s="77"/>
    </row>
    <row r="2" spans="2:25" s="74" customFormat="1" ht="25.5" x14ac:dyDescent="0.35">
      <c r="B2" s="76" t="s">
        <v>139</v>
      </c>
      <c r="W2" s="77"/>
      <c r="Y2" s="76" t="s">
        <v>140</v>
      </c>
    </row>
    <row r="3" spans="2:25" s="74" customFormat="1" x14ac:dyDescent="0.25">
      <c r="W3" s="77"/>
    </row>
    <row r="4" spans="2:25" x14ac:dyDescent="0.25">
      <c r="W4" s="77"/>
    </row>
    <row r="5" spans="2:25" x14ac:dyDescent="0.25">
      <c r="W5" s="77"/>
    </row>
    <row r="6" spans="2:25" x14ac:dyDescent="0.25">
      <c r="W6" s="77"/>
    </row>
    <row r="7" spans="2:25" x14ac:dyDescent="0.25">
      <c r="W7" s="77"/>
    </row>
    <row r="8" spans="2:25" x14ac:dyDescent="0.25">
      <c r="W8" s="77"/>
    </row>
    <row r="9" spans="2:25" x14ac:dyDescent="0.25">
      <c r="W9" s="77"/>
    </row>
    <row r="10" spans="2:25" x14ac:dyDescent="0.25">
      <c r="W10" s="77"/>
    </row>
    <row r="11" spans="2:25" x14ac:dyDescent="0.25">
      <c r="W11" s="77"/>
    </row>
    <row r="12" spans="2:25" x14ac:dyDescent="0.25">
      <c r="W12" s="77"/>
    </row>
    <row r="13" spans="2:25" x14ac:dyDescent="0.25">
      <c r="W13" s="77"/>
    </row>
    <row r="14" spans="2:25" x14ac:dyDescent="0.25">
      <c r="W14" s="77"/>
    </row>
    <row r="15" spans="2:25" x14ac:dyDescent="0.25">
      <c r="W15" s="77"/>
    </row>
    <row r="16" spans="2:25" x14ac:dyDescent="0.25">
      <c r="W16" s="77"/>
    </row>
    <row r="17" spans="23:23" x14ac:dyDescent="0.25">
      <c r="W17" s="77"/>
    </row>
    <row r="18" spans="23:23" x14ac:dyDescent="0.25">
      <c r="W18" s="77"/>
    </row>
    <row r="19" spans="23:23" x14ac:dyDescent="0.25">
      <c r="W19" s="77"/>
    </row>
    <row r="20" spans="23:23" x14ac:dyDescent="0.25">
      <c r="W20" s="77"/>
    </row>
    <row r="21" spans="23:23" x14ac:dyDescent="0.25">
      <c r="W21" s="77"/>
    </row>
    <row r="22" spans="23:23" x14ac:dyDescent="0.25">
      <c r="W22" s="77"/>
    </row>
    <row r="23" spans="23:23" x14ac:dyDescent="0.25">
      <c r="W23" s="77"/>
    </row>
    <row r="24" spans="23:23" x14ac:dyDescent="0.25">
      <c r="W24" s="77"/>
    </row>
    <row r="25" spans="23:23" x14ac:dyDescent="0.25">
      <c r="W25" s="77"/>
    </row>
    <row r="26" spans="23:23" x14ac:dyDescent="0.25">
      <c r="W26" s="77"/>
    </row>
    <row r="27" spans="23:23" x14ac:dyDescent="0.25">
      <c r="W27" s="77"/>
    </row>
    <row r="28" spans="23:23" x14ac:dyDescent="0.25">
      <c r="W28" s="77"/>
    </row>
    <row r="29" spans="23:23" x14ac:dyDescent="0.25">
      <c r="W29" s="77"/>
    </row>
    <row r="30" spans="23:23" x14ac:dyDescent="0.25">
      <c r="W30" s="77"/>
    </row>
    <row r="31" spans="23:23" x14ac:dyDescent="0.25">
      <c r="W31" s="77"/>
    </row>
    <row r="32" spans="23:23" x14ac:dyDescent="0.25">
      <c r="W32" s="77"/>
    </row>
    <row r="33" spans="23:23" x14ac:dyDescent="0.25">
      <c r="W33" s="77"/>
    </row>
    <row r="34" spans="23:23" x14ac:dyDescent="0.25">
      <c r="W34" s="77"/>
    </row>
    <row r="35" spans="23:23" x14ac:dyDescent="0.25">
      <c r="W35" s="77"/>
    </row>
    <row r="36" spans="23:23" x14ac:dyDescent="0.25">
      <c r="W36" s="77"/>
    </row>
    <row r="37" spans="23:23" x14ac:dyDescent="0.25">
      <c r="W37" s="77"/>
    </row>
    <row r="38" spans="23:23" x14ac:dyDescent="0.25">
      <c r="W38" s="77"/>
    </row>
    <row r="39" spans="23:23" x14ac:dyDescent="0.25">
      <c r="W39" s="77"/>
    </row>
    <row r="40" spans="23:23" x14ac:dyDescent="0.25">
      <c r="W40" s="77"/>
    </row>
    <row r="41" spans="23:23" x14ac:dyDescent="0.25">
      <c r="W41" s="77"/>
    </row>
    <row r="42" spans="23:23" x14ac:dyDescent="0.25">
      <c r="W42" s="77"/>
    </row>
    <row r="43" spans="23:23" x14ac:dyDescent="0.25">
      <c r="W43" s="77"/>
    </row>
    <row r="44" spans="23:23" x14ac:dyDescent="0.25">
      <c r="W44" s="77"/>
    </row>
    <row r="45" spans="23:23" x14ac:dyDescent="0.25">
      <c r="W45" s="77"/>
    </row>
    <row r="46" spans="23:23" x14ac:dyDescent="0.25">
      <c r="W46" s="77"/>
    </row>
    <row r="47" spans="23:23" x14ac:dyDescent="0.25">
      <c r="W47" s="77"/>
    </row>
    <row r="48" spans="23:23" x14ac:dyDescent="0.25">
      <c r="W48" s="77"/>
    </row>
    <row r="49" spans="23:23" x14ac:dyDescent="0.25">
      <c r="W49" s="77"/>
    </row>
    <row r="50" spans="23:23" x14ac:dyDescent="0.25">
      <c r="W50" s="77"/>
    </row>
    <row r="51" spans="23:23" x14ac:dyDescent="0.25">
      <c r="W51" s="77"/>
    </row>
    <row r="52" spans="23:23" x14ac:dyDescent="0.25">
      <c r="W52" s="77"/>
    </row>
    <row r="53" spans="23:23" x14ac:dyDescent="0.25">
      <c r="W53" s="77"/>
    </row>
    <row r="54" spans="23:23" x14ac:dyDescent="0.25">
      <c r="W54" s="77"/>
    </row>
    <row r="55" spans="23:23" x14ac:dyDescent="0.25">
      <c r="W55" s="77"/>
    </row>
    <row r="56" spans="23:23" x14ac:dyDescent="0.25">
      <c r="W56" s="77"/>
    </row>
    <row r="57" spans="23:23" x14ac:dyDescent="0.25">
      <c r="W57" s="77"/>
    </row>
    <row r="58" spans="23:23" x14ac:dyDescent="0.25">
      <c r="W58" s="77"/>
    </row>
    <row r="59" spans="23:23" x14ac:dyDescent="0.25">
      <c r="W59" s="77"/>
    </row>
    <row r="60" spans="23:23" x14ac:dyDescent="0.25">
      <c r="W60" s="77"/>
    </row>
    <row r="61" spans="23:23" x14ac:dyDescent="0.25">
      <c r="W61" s="77"/>
    </row>
    <row r="62" spans="23:23" x14ac:dyDescent="0.25">
      <c r="W62" s="77"/>
    </row>
    <row r="63" spans="23:23" x14ac:dyDescent="0.25">
      <c r="W63" s="77"/>
    </row>
    <row r="64" spans="23:23" x14ac:dyDescent="0.25">
      <c r="W64" s="77"/>
    </row>
    <row r="65" spans="23:23" x14ac:dyDescent="0.25">
      <c r="W65" s="77"/>
    </row>
    <row r="66" spans="23:23" x14ac:dyDescent="0.25">
      <c r="W66" s="77"/>
    </row>
    <row r="67" spans="23:23" x14ac:dyDescent="0.25">
      <c r="W67" s="77"/>
    </row>
    <row r="68" spans="23:23" x14ac:dyDescent="0.25">
      <c r="W68" s="77"/>
    </row>
    <row r="69" spans="23:23" x14ac:dyDescent="0.25">
      <c r="W69" s="77"/>
    </row>
    <row r="70" spans="23:23" x14ac:dyDescent="0.25">
      <c r="W70" s="77"/>
    </row>
    <row r="71" spans="23:23" x14ac:dyDescent="0.25">
      <c r="W71" s="77"/>
    </row>
    <row r="72" spans="23:23" x14ac:dyDescent="0.25">
      <c r="W72" s="77"/>
    </row>
    <row r="73" spans="23:23" x14ac:dyDescent="0.25">
      <c r="W73" s="77"/>
    </row>
    <row r="74" spans="23:23" x14ac:dyDescent="0.25">
      <c r="W74" s="77"/>
    </row>
    <row r="75" spans="23:23" x14ac:dyDescent="0.25">
      <c r="W75" s="77"/>
    </row>
    <row r="76" spans="23:23" x14ac:dyDescent="0.25">
      <c r="W76" s="77"/>
    </row>
    <row r="77" spans="23:23" x14ac:dyDescent="0.25">
      <c r="W77" s="77"/>
    </row>
    <row r="78" spans="23:23" x14ac:dyDescent="0.25">
      <c r="W78" s="77"/>
    </row>
    <row r="79" spans="23:23" x14ac:dyDescent="0.25">
      <c r="W79" s="77"/>
    </row>
    <row r="80" spans="23:23" x14ac:dyDescent="0.25">
      <c r="W80" s="77"/>
    </row>
    <row r="81" spans="23:23" x14ac:dyDescent="0.25">
      <c r="W81" s="77"/>
    </row>
    <row r="82" spans="23:23" x14ac:dyDescent="0.25">
      <c r="W82" s="77"/>
    </row>
    <row r="83" spans="23:23" x14ac:dyDescent="0.25">
      <c r="W83" s="77"/>
    </row>
    <row r="84" spans="23:23" x14ac:dyDescent="0.25">
      <c r="W84" s="77"/>
    </row>
    <row r="85" spans="23:23" x14ac:dyDescent="0.25">
      <c r="W85" s="77"/>
    </row>
    <row r="86" spans="23:23" x14ac:dyDescent="0.25">
      <c r="W86" s="77"/>
    </row>
    <row r="87" spans="23:23" ht="38.1" customHeight="1" x14ac:dyDescent="0.25">
      <c r="W87" s="77"/>
    </row>
    <row r="88" spans="23:23" s="77" customFormat="1" ht="2.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010"/>
  <sheetViews>
    <sheetView tabSelected="1" topLeftCell="A972" zoomScale="70" zoomScaleNormal="70" zoomScalePageLayoutView="70" workbookViewId="0">
      <pane xSplit="1" topLeftCell="B1" activePane="topRight" state="frozen"/>
      <selection activeCell="A844" sqref="A844"/>
      <selection pane="topRight" activeCell="L989" sqref="L989"/>
    </sheetView>
  </sheetViews>
  <sheetFormatPr defaultColWidth="10.875" defaultRowHeight="18" customHeight="1" x14ac:dyDescent="0.3"/>
  <cols>
    <col min="1" max="1" width="4.375" style="2" customWidth="1"/>
    <col min="2" max="2" width="13.125" style="2" customWidth="1"/>
    <col min="3" max="3" width="8" style="2" customWidth="1"/>
    <col min="4" max="4" width="3.625" style="2" customWidth="1"/>
    <col min="5" max="5" width="51.5" style="2" customWidth="1"/>
    <col min="6" max="6" width="14.875" style="45" customWidth="1"/>
    <col min="7" max="7" width="14.75" style="2" customWidth="1"/>
    <col min="8" max="8" width="14.625" style="79" customWidth="1"/>
    <col min="9" max="9" width="14.75" style="2" customWidth="1"/>
    <col min="10" max="10" width="7.375" style="2" customWidth="1"/>
    <col min="11" max="11" width="16.375" style="2" hidden="1" customWidth="1"/>
    <col min="12" max="12" width="16.625" customWidth="1"/>
    <col min="13" max="13" width="15.125" hidden="1" customWidth="1"/>
    <col min="14" max="14" width="12.75" customWidth="1"/>
    <col min="15" max="15" width="11.25" customWidth="1"/>
    <col min="16" max="16" width="15.5" hidden="1" customWidth="1"/>
    <col min="17" max="17" width="13.875" style="2" customWidth="1"/>
    <col min="18" max="18" width="15.125" style="6" customWidth="1"/>
    <col min="19" max="19" width="16.375" style="2" bestFit="1" customWidth="1"/>
    <col min="20" max="20" width="14.875" style="68" bestFit="1" customWidth="1"/>
    <col min="21" max="21" width="17.5" style="68" bestFit="1" customWidth="1"/>
    <col min="22" max="22" width="23.375" style="2" customWidth="1"/>
    <col min="23" max="25" width="10.875" style="2"/>
    <col min="26" max="26" width="12.375" style="2" bestFit="1" customWidth="1"/>
    <col min="27" max="16384" width="10.875" style="2"/>
  </cols>
  <sheetData>
    <row r="1" spans="1:24" ht="18" customHeight="1" x14ac:dyDescent="0.3">
      <c r="L1" s="2"/>
      <c r="M1" s="2"/>
      <c r="N1" s="2"/>
      <c r="O1" s="2"/>
      <c r="P1" s="2"/>
    </row>
    <row r="2" spans="1:24" ht="18" customHeight="1" x14ac:dyDescent="0.3">
      <c r="B2" s="1" t="s">
        <v>0</v>
      </c>
      <c r="L2" s="2"/>
      <c r="M2" s="2"/>
      <c r="N2" s="2"/>
      <c r="O2" s="2"/>
      <c r="P2" s="2"/>
    </row>
    <row r="3" spans="1:24" ht="18" customHeight="1" x14ac:dyDescent="0.3">
      <c r="B3" s="24" t="s">
        <v>63</v>
      </c>
      <c r="L3" s="2"/>
      <c r="M3" s="2"/>
      <c r="N3" s="38"/>
      <c r="O3" s="2"/>
      <c r="P3" s="2"/>
    </row>
    <row r="4" spans="1:24" ht="18" customHeight="1" x14ac:dyDescent="0.3">
      <c r="B4" s="27" t="s">
        <v>68</v>
      </c>
      <c r="L4" s="2"/>
      <c r="M4" s="38"/>
      <c r="N4" s="37"/>
      <c r="O4" s="38"/>
      <c r="P4" s="89"/>
      <c r="Q4" s="37"/>
    </row>
    <row r="5" spans="1:24" ht="18" customHeight="1" x14ac:dyDescent="0.3">
      <c r="A5" s="1"/>
      <c r="L5" s="38"/>
      <c r="M5" s="38"/>
      <c r="N5" s="37"/>
      <c r="O5" s="37"/>
      <c r="P5" s="37"/>
      <c r="R5" s="94"/>
      <c r="T5" s="95"/>
    </row>
    <row r="6" spans="1:24" ht="18" customHeight="1" x14ac:dyDescent="0.3">
      <c r="B6" s="14" t="s">
        <v>17</v>
      </c>
      <c r="C6" s="15"/>
      <c r="E6" s="18"/>
      <c r="F6" s="39"/>
      <c r="L6" s="2"/>
      <c r="M6" s="38"/>
      <c r="N6" s="37"/>
      <c r="O6" s="37"/>
      <c r="P6" s="37"/>
      <c r="Q6" s="37"/>
      <c r="R6" s="64"/>
      <c r="S6" s="38"/>
    </row>
    <row r="7" spans="1:24" ht="18" customHeight="1" x14ac:dyDescent="0.3">
      <c r="B7" s="8" t="s">
        <v>10</v>
      </c>
      <c r="C7" s="9" t="s">
        <v>16</v>
      </c>
      <c r="E7" s="18"/>
      <c r="F7" s="39"/>
      <c r="G7" s="6"/>
      <c r="H7" s="48"/>
      <c r="I7" s="6"/>
      <c r="L7" s="2"/>
      <c r="M7" s="2"/>
      <c r="N7" s="37"/>
      <c r="O7" s="38"/>
      <c r="P7" s="37"/>
      <c r="Q7" s="38"/>
      <c r="R7" s="64"/>
      <c r="S7" s="88"/>
    </row>
    <row r="8" spans="1:24" ht="18" customHeight="1" x14ac:dyDescent="0.3">
      <c r="B8" s="10" t="s">
        <v>12</v>
      </c>
      <c r="C8" s="30">
        <v>1</v>
      </c>
      <c r="E8" s="18"/>
      <c r="F8" s="65"/>
      <c r="G8" s="6"/>
      <c r="H8" s="48"/>
      <c r="I8" s="6"/>
      <c r="K8" s="31"/>
      <c r="L8" s="2"/>
      <c r="M8" s="37"/>
      <c r="N8" s="38"/>
      <c r="O8" s="38"/>
      <c r="P8" s="37"/>
      <c r="R8" s="64"/>
      <c r="S8" s="37"/>
      <c r="U8" s="43"/>
    </row>
    <row r="9" spans="1:24" ht="18" customHeight="1" x14ac:dyDescent="0.3">
      <c r="B9" s="10" t="s">
        <v>14</v>
      </c>
      <c r="C9" s="30">
        <v>64</v>
      </c>
      <c r="E9" s="28"/>
      <c r="F9" s="39"/>
      <c r="G9" s="6"/>
      <c r="H9" s="48"/>
      <c r="I9" s="6"/>
      <c r="K9" s="31" t="s">
        <v>78</v>
      </c>
      <c r="L9" s="2"/>
      <c r="M9" s="2"/>
      <c r="N9" s="2"/>
      <c r="O9" s="38"/>
      <c r="P9" s="40"/>
      <c r="Q9" s="37"/>
      <c r="R9" s="64"/>
    </row>
    <row r="10" spans="1:24" ht="18" customHeight="1" x14ac:dyDescent="0.3">
      <c r="B10" s="10" t="s">
        <v>13</v>
      </c>
      <c r="C10" s="30">
        <v>74</v>
      </c>
      <c r="E10" s="6"/>
      <c r="F10" s="39"/>
      <c r="K10" s="31" t="s">
        <v>79</v>
      </c>
      <c r="L10" s="2"/>
      <c r="M10" s="2"/>
      <c r="N10" s="2"/>
      <c r="O10" s="2"/>
      <c r="P10" s="37"/>
      <c r="S10" s="37"/>
    </row>
    <row r="11" spans="1:24" ht="18" customHeight="1" x14ac:dyDescent="0.3">
      <c r="B11" s="29" t="s">
        <v>11</v>
      </c>
      <c r="C11" s="32">
        <v>58</v>
      </c>
      <c r="K11" s="31" t="s">
        <v>80</v>
      </c>
      <c r="L11" s="2"/>
      <c r="M11" s="2"/>
      <c r="N11" s="2"/>
      <c r="O11" s="2"/>
      <c r="P11" s="2"/>
      <c r="S11" s="37"/>
      <c r="T11" s="43"/>
    </row>
    <row r="12" spans="1:24" ht="18" customHeight="1" thickBot="1" x14ac:dyDescent="0.35">
      <c r="B12" s="26"/>
      <c r="C12" s="26"/>
      <c r="L12" s="2"/>
      <c r="M12" s="2"/>
      <c r="N12" s="2"/>
      <c r="O12" s="2"/>
      <c r="P12" s="2"/>
    </row>
    <row r="13" spans="1:24" ht="18" customHeight="1" x14ac:dyDescent="0.3">
      <c r="B13" s="16" t="s">
        <v>8</v>
      </c>
      <c r="C13" s="17"/>
      <c r="D13" s="17"/>
      <c r="E13" s="17"/>
      <c r="F13" s="84"/>
      <c r="G13" s="17"/>
      <c r="H13" s="80"/>
      <c r="I13" s="17"/>
      <c r="J13" s="25"/>
      <c r="K13" s="25"/>
      <c r="L13" s="374" t="s">
        <v>61</v>
      </c>
      <c r="M13" s="375"/>
      <c r="N13" s="375"/>
      <c r="O13" s="375"/>
      <c r="P13" s="375"/>
      <c r="Q13" s="375"/>
      <c r="R13" s="375"/>
      <c r="S13" s="67"/>
      <c r="T13" s="69"/>
      <c r="U13" s="69"/>
      <c r="V13" s="17"/>
    </row>
    <row r="14" spans="1:24" s="6" customFormat="1" ht="18" customHeight="1" x14ac:dyDescent="0.3">
      <c r="B14" s="5" t="s">
        <v>3</v>
      </c>
      <c r="C14" s="5" t="s">
        <v>44</v>
      </c>
      <c r="D14" s="5" t="s">
        <v>43</v>
      </c>
      <c r="E14" s="5" t="s">
        <v>1</v>
      </c>
      <c r="F14" s="70" t="s">
        <v>26</v>
      </c>
      <c r="G14" s="5" t="s">
        <v>38</v>
      </c>
      <c r="H14" s="81" t="s">
        <v>115</v>
      </c>
      <c r="I14" s="5" t="s">
        <v>121</v>
      </c>
      <c r="J14" s="49" t="s">
        <v>116</v>
      </c>
      <c r="K14" s="5" t="s">
        <v>77</v>
      </c>
      <c r="L14" s="41" t="s">
        <v>4</v>
      </c>
      <c r="M14" s="5" t="s">
        <v>5</v>
      </c>
      <c r="N14" s="5" t="s">
        <v>6</v>
      </c>
      <c r="O14" s="5" t="s">
        <v>141</v>
      </c>
      <c r="P14" s="5" t="s">
        <v>96</v>
      </c>
      <c r="Q14" s="5" t="s">
        <v>62</v>
      </c>
      <c r="R14" s="5" t="s">
        <v>583</v>
      </c>
      <c r="S14" s="42" t="s">
        <v>128</v>
      </c>
      <c r="T14" s="70" t="s">
        <v>15</v>
      </c>
      <c r="U14" s="70" t="s">
        <v>132</v>
      </c>
      <c r="V14" s="5" t="s">
        <v>58</v>
      </c>
      <c r="W14" s="22" t="s">
        <v>586</v>
      </c>
      <c r="X14" s="22" t="s">
        <v>587</v>
      </c>
    </row>
    <row r="15" spans="1:24" ht="18" customHeight="1" x14ac:dyDescent="0.3">
      <c r="B15" s="105">
        <v>45658</v>
      </c>
      <c r="C15" s="106">
        <f>YEAR(Finance[[#This Row],[Date]])</f>
        <v>2025</v>
      </c>
      <c r="D15" s="107">
        <f>MONTH(Finance[[#This Row],[Date]])</f>
        <v>1</v>
      </c>
      <c r="E15" s="39" t="s">
        <v>178</v>
      </c>
      <c r="F15" s="39" t="s">
        <v>30</v>
      </c>
      <c r="G15" s="39" t="s">
        <v>127</v>
      </c>
      <c r="H15" s="130" t="s">
        <v>176</v>
      </c>
      <c r="I15" s="114" t="s">
        <v>177</v>
      </c>
      <c r="J15" s="131">
        <v>1</v>
      </c>
      <c r="K15" s="31"/>
      <c r="L15" s="132">
        <f>57*51.78*1.25</f>
        <v>3689.3249999999998</v>
      </c>
      <c r="M15" s="110"/>
      <c r="N15" s="110"/>
      <c r="O15" s="111"/>
      <c r="P15" s="111"/>
      <c r="Q15" s="110"/>
      <c r="R15" s="110"/>
      <c r="S15" s="112"/>
      <c r="T15" s="102">
        <f>SUM(Finance[[#This Row],[Samer]:[Margins]])</f>
        <v>3689.3249999999998</v>
      </c>
      <c r="U15" s="103">
        <f>ABS(Finance[[#This Row],[Total (EGP)]])</f>
        <v>3689.3249999999998</v>
      </c>
      <c r="V15" s="116"/>
    </row>
    <row r="16" spans="1:24" ht="18" customHeight="1" x14ac:dyDescent="0.3">
      <c r="B16" s="168">
        <v>45658</v>
      </c>
      <c r="C16" s="169">
        <f>YEAR(Finance[[#This Row],[Date]])</f>
        <v>2025</v>
      </c>
      <c r="D16" s="170">
        <f>MONTH(Finance[[#This Row],[Date]])</f>
        <v>1</v>
      </c>
      <c r="E16" s="39" t="s">
        <v>395</v>
      </c>
      <c r="F16" s="39" t="s">
        <v>30</v>
      </c>
      <c r="G16" s="39" t="s">
        <v>109</v>
      </c>
      <c r="H16" s="130" t="s">
        <v>176</v>
      </c>
      <c r="I16" s="114" t="s">
        <v>177</v>
      </c>
      <c r="J16" s="131">
        <v>1</v>
      </c>
      <c r="K16" s="175"/>
      <c r="L16" s="176">
        <f>17.66*2*50.5*1.05</f>
        <v>1872.8430000000001</v>
      </c>
      <c r="M16" s="177"/>
      <c r="N16" s="177"/>
      <c r="O16" s="178"/>
      <c r="P16" s="178"/>
      <c r="Q16" s="177"/>
      <c r="R16" s="177"/>
      <c r="S16" s="179"/>
      <c r="T16" s="102">
        <f>SUM(Finance[[#This Row],[Samer]:[Margins]])</f>
        <v>1872.8430000000001</v>
      </c>
      <c r="U16" s="103">
        <f>ABS(Finance[[#This Row],[Total (EGP)]])</f>
        <v>1872.8430000000001</v>
      </c>
      <c r="V16" s="180"/>
    </row>
    <row r="17" spans="2:22" ht="18" customHeight="1" x14ac:dyDescent="0.3">
      <c r="B17" s="139">
        <v>45659</v>
      </c>
      <c r="C17" s="140">
        <f>YEAR(Finance[[#This Row],[Date]])</f>
        <v>2025</v>
      </c>
      <c r="D17" s="141">
        <f>MONTH(Finance[[#This Row],[Date]])</f>
        <v>1</v>
      </c>
      <c r="E17" s="6" t="s">
        <v>241</v>
      </c>
      <c r="F17" s="6" t="s">
        <v>29</v>
      </c>
      <c r="G17" s="6" t="s">
        <v>95</v>
      </c>
      <c r="H17" s="134" t="s">
        <v>194</v>
      </c>
      <c r="I17" s="135" t="s">
        <v>175</v>
      </c>
      <c r="J17" s="136">
        <v>3</v>
      </c>
      <c r="K17" s="31"/>
      <c r="L17" s="132"/>
      <c r="M17" s="96"/>
      <c r="N17" s="96"/>
      <c r="O17" s="75"/>
      <c r="P17" s="75"/>
      <c r="Q17" s="96"/>
      <c r="R17" s="96">
        <v>100.02</v>
      </c>
      <c r="S17" s="147"/>
      <c r="T17" s="102">
        <f>SUM(Finance[[#This Row],[Samer]:[Margins]])</f>
        <v>100.02</v>
      </c>
      <c r="U17" s="103">
        <f>ABS(Finance[[#This Row],[Total (EGP)]])</f>
        <v>100.02</v>
      </c>
      <c r="V17" s="148"/>
    </row>
    <row r="18" spans="2:22" ht="18" customHeight="1" x14ac:dyDescent="0.3">
      <c r="B18" s="139">
        <v>45662</v>
      </c>
      <c r="C18" s="140">
        <f>YEAR(Finance[[#This Row],[Date]])</f>
        <v>2025</v>
      </c>
      <c r="D18" s="141">
        <f>MONTH(Finance[[#This Row],[Date]])</f>
        <v>1</v>
      </c>
      <c r="E18" s="39" t="s">
        <v>256</v>
      </c>
      <c r="F18" s="6" t="s">
        <v>29</v>
      </c>
      <c r="G18" s="6" t="s">
        <v>111</v>
      </c>
      <c r="H18" s="134" t="s">
        <v>259</v>
      </c>
      <c r="I18" s="135" t="s">
        <v>175</v>
      </c>
      <c r="J18" s="136">
        <v>3</v>
      </c>
      <c r="K18" s="143"/>
      <c r="L18" s="144"/>
      <c r="M18" s="145"/>
      <c r="N18" s="145"/>
      <c r="O18" s="146"/>
      <c r="P18" s="146"/>
      <c r="Q18" s="145"/>
      <c r="R18" s="145"/>
      <c r="S18" s="147">
        <v>20</v>
      </c>
      <c r="T18" s="102">
        <f>SUM(Finance[[#This Row],[Samer]:[Margins]])</f>
        <v>20</v>
      </c>
      <c r="U18" s="103">
        <f>ABS(Finance[[#This Row],[Total (EGP)]])</f>
        <v>20</v>
      </c>
      <c r="V18" s="148"/>
    </row>
    <row r="19" spans="2:22" ht="18" customHeight="1" x14ac:dyDescent="0.3">
      <c r="B19" s="139">
        <v>45663</v>
      </c>
      <c r="C19" s="140">
        <f>YEAR(Finance[[#This Row],[Date]])</f>
        <v>2025</v>
      </c>
      <c r="D19" s="141">
        <f>MONTH(Finance[[#This Row],[Date]])</f>
        <v>1</v>
      </c>
      <c r="E19" s="6" t="s">
        <v>167</v>
      </c>
      <c r="F19" s="6" t="s">
        <v>29</v>
      </c>
      <c r="G19" s="6" t="s">
        <v>55</v>
      </c>
      <c r="H19" s="134" t="s">
        <v>258</v>
      </c>
      <c r="I19" s="135" t="s">
        <v>175</v>
      </c>
      <c r="J19" s="136">
        <v>3</v>
      </c>
      <c r="K19" s="143"/>
      <c r="L19" s="144"/>
      <c r="M19" s="145"/>
      <c r="N19" s="145"/>
      <c r="O19" s="146"/>
      <c r="P19" s="146"/>
      <c r="Q19" s="145"/>
      <c r="R19" s="145"/>
      <c r="S19" s="147">
        <v>115</v>
      </c>
      <c r="T19" s="102">
        <f>SUM(Finance[[#This Row],[Samer]:[Margins]])</f>
        <v>115</v>
      </c>
      <c r="U19" s="103">
        <f>ABS(Finance[[#This Row],[Total (EGP)]])</f>
        <v>115</v>
      </c>
      <c r="V19" s="148"/>
    </row>
    <row r="20" spans="2:22" ht="18" customHeight="1" x14ac:dyDescent="0.3">
      <c r="B20" s="105">
        <v>45665</v>
      </c>
      <c r="C20" s="106">
        <f>YEAR(Finance[[#This Row],[Date]])</f>
        <v>2025</v>
      </c>
      <c r="D20" s="107">
        <f>MONTH(Finance[[#This Row],[Date]])</f>
        <v>1</v>
      </c>
      <c r="E20" s="6" t="s">
        <v>183</v>
      </c>
      <c r="F20" s="6" t="s">
        <v>29</v>
      </c>
      <c r="G20" s="6" t="s">
        <v>108</v>
      </c>
      <c r="H20" s="134" t="s">
        <v>182</v>
      </c>
      <c r="I20" s="135" t="s">
        <v>175</v>
      </c>
      <c r="J20" s="136">
        <v>1</v>
      </c>
      <c r="K20" s="31"/>
      <c r="L20" s="132">
        <v>599</v>
      </c>
      <c r="M20" s="110"/>
      <c r="N20" s="110"/>
      <c r="O20" s="111"/>
      <c r="P20" s="111"/>
      <c r="Q20" s="110"/>
      <c r="R20" s="110"/>
      <c r="S20" s="112"/>
      <c r="T20" s="102">
        <f>SUM(Finance[[#This Row],[Samer]:[Margins]])</f>
        <v>599</v>
      </c>
      <c r="U20" s="103">
        <f>ABS(Finance[[#This Row],[Total (EGP)]])</f>
        <v>599</v>
      </c>
      <c r="V20" s="116"/>
    </row>
    <row r="21" spans="2:22" ht="18" customHeight="1" x14ac:dyDescent="0.3">
      <c r="B21" s="105">
        <v>45667</v>
      </c>
      <c r="C21" s="106">
        <f>YEAR(Finance[[#This Row],[Date]])</f>
        <v>2025</v>
      </c>
      <c r="D21" s="107">
        <f>MONTH(Finance[[#This Row],[Date]])</f>
        <v>1</v>
      </c>
      <c r="E21" s="39" t="s">
        <v>186</v>
      </c>
      <c r="F21" s="39" t="s">
        <v>30</v>
      </c>
      <c r="G21" s="6" t="s">
        <v>127</v>
      </c>
      <c r="H21" s="48" t="s">
        <v>176</v>
      </c>
      <c r="I21" s="135" t="s">
        <v>184</v>
      </c>
      <c r="J21" s="136">
        <v>4</v>
      </c>
      <c r="K21" s="136"/>
      <c r="L21" s="132">
        <f>78.28*50.5*1.25</f>
        <v>4941.4250000000002</v>
      </c>
      <c r="M21" s="110"/>
      <c r="N21" s="110"/>
      <c r="O21" s="111"/>
      <c r="P21" s="111"/>
      <c r="Q21" s="110"/>
      <c r="R21" s="110"/>
      <c r="S21" s="112"/>
      <c r="T21" s="102">
        <f>SUM(Finance[[#This Row],[Samer]:[Margins]])</f>
        <v>4941.4250000000002</v>
      </c>
      <c r="U21" s="103">
        <f>ABS(Finance[[#This Row],[Total (EGP)]])</f>
        <v>4941.4250000000002</v>
      </c>
      <c r="V21" s="116"/>
    </row>
    <row r="22" spans="2:22" ht="18" customHeight="1" x14ac:dyDescent="0.3">
      <c r="B22" s="105">
        <v>45667</v>
      </c>
      <c r="C22" s="106">
        <f>YEAR(Finance[[#This Row],[Date]])</f>
        <v>2025</v>
      </c>
      <c r="D22" s="107">
        <f>MONTH(Finance[[#This Row],[Date]])</f>
        <v>1</v>
      </c>
      <c r="E22" s="6" t="s">
        <v>187</v>
      </c>
      <c r="F22" s="39" t="s">
        <v>30</v>
      </c>
      <c r="G22" s="39" t="s">
        <v>127</v>
      </c>
      <c r="H22" s="48" t="s">
        <v>176</v>
      </c>
      <c r="I22" s="135" t="s">
        <v>185</v>
      </c>
      <c r="J22" s="136">
        <v>4</v>
      </c>
      <c r="K22" s="31"/>
      <c r="L22" s="132">
        <f>153*50.5*1.25</f>
        <v>9658.125</v>
      </c>
      <c r="M22" s="110"/>
      <c r="N22" s="110"/>
      <c r="O22" s="111"/>
      <c r="P22" s="111"/>
      <c r="Q22" s="110"/>
      <c r="R22" s="110"/>
      <c r="S22" s="112"/>
      <c r="T22" s="102">
        <f>SUM(Finance[[#This Row],[Samer]:[Margins]])</f>
        <v>9658.125</v>
      </c>
      <c r="U22" s="103">
        <f>ABS(Finance[[#This Row],[Total (EGP)]])</f>
        <v>9658.125</v>
      </c>
      <c r="V22" s="116"/>
    </row>
    <row r="23" spans="2:22" ht="18" customHeight="1" x14ac:dyDescent="0.3">
      <c r="B23" s="105">
        <v>45668</v>
      </c>
      <c r="C23" s="106">
        <f>YEAR(Finance[[#This Row],[Date]])</f>
        <v>2025</v>
      </c>
      <c r="D23" s="107">
        <f>MONTH(Finance[[#This Row],[Date]])</f>
        <v>1</v>
      </c>
      <c r="E23" s="6" t="s">
        <v>198</v>
      </c>
      <c r="F23" s="6" t="s">
        <v>29</v>
      </c>
      <c r="G23" s="6" t="s">
        <v>108</v>
      </c>
      <c r="H23" s="134" t="s">
        <v>182</v>
      </c>
      <c r="I23" s="114" t="s">
        <v>175</v>
      </c>
      <c r="J23" s="136">
        <v>4</v>
      </c>
      <c r="K23" s="31"/>
      <c r="L23" s="132">
        <v>1761.0810000000001</v>
      </c>
      <c r="M23" s="110"/>
      <c r="N23" s="110"/>
      <c r="O23" s="111"/>
      <c r="P23" s="111"/>
      <c r="Q23" s="110"/>
      <c r="R23" s="110"/>
      <c r="S23" s="112"/>
      <c r="T23" s="102">
        <f>SUM(Finance[[#This Row],[Samer]:[Margins]])</f>
        <v>1761.0810000000001</v>
      </c>
      <c r="U23" s="103">
        <f>ABS(Finance[[#This Row],[Total (EGP)]])</f>
        <v>1761.0810000000001</v>
      </c>
      <c r="V23" s="116"/>
    </row>
    <row r="24" spans="2:22" ht="18" customHeight="1" x14ac:dyDescent="0.3">
      <c r="B24" s="105">
        <v>45668</v>
      </c>
      <c r="C24" s="106">
        <f>YEAR(Finance[[#This Row],[Date]])</f>
        <v>2025</v>
      </c>
      <c r="D24" s="107">
        <f>MONTH(Finance[[#This Row],[Date]])</f>
        <v>1</v>
      </c>
      <c r="E24" s="39" t="s">
        <v>197</v>
      </c>
      <c r="F24" s="39" t="s">
        <v>29</v>
      </c>
      <c r="G24" s="39" t="s">
        <v>108</v>
      </c>
      <c r="H24" s="130" t="s">
        <v>182</v>
      </c>
      <c r="I24" s="114" t="s">
        <v>175</v>
      </c>
      <c r="J24" s="131">
        <v>4</v>
      </c>
      <c r="K24" s="137"/>
      <c r="L24" s="138">
        <v>699.98689999999999</v>
      </c>
      <c r="M24" s="110"/>
      <c r="N24" s="110"/>
      <c r="O24" s="111"/>
      <c r="P24" s="111"/>
      <c r="Q24" s="110"/>
      <c r="R24" s="110"/>
      <c r="S24" s="112"/>
      <c r="T24" s="102">
        <f>SUM(Finance[[#This Row],[Samer]:[Margins]])</f>
        <v>699.98689999999999</v>
      </c>
      <c r="U24" s="103">
        <f>ABS(Finance[[#This Row],[Total (EGP)]])</f>
        <v>699.98689999999999</v>
      </c>
      <c r="V24" s="116"/>
    </row>
    <row r="25" spans="2:22" ht="18" customHeight="1" x14ac:dyDescent="0.3">
      <c r="B25" s="105">
        <v>45669</v>
      </c>
      <c r="C25" s="106">
        <f>YEAR(Finance[[#This Row],[Date]])</f>
        <v>2025</v>
      </c>
      <c r="D25" s="107">
        <f>MONTH(Finance[[#This Row],[Date]])</f>
        <v>1</v>
      </c>
      <c r="E25" s="19" t="s">
        <v>188</v>
      </c>
      <c r="F25" s="6" t="s">
        <v>29</v>
      </c>
      <c r="G25" s="6" t="s">
        <v>108</v>
      </c>
      <c r="H25" s="134" t="s">
        <v>182</v>
      </c>
      <c r="I25" s="114" t="s">
        <v>175</v>
      </c>
      <c r="J25" s="136">
        <v>1</v>
      </c>
      <c r="K25" s="31"/>
      <c r="L25" s="132">
        <f>324.9*50.5*1.05</f>
        <v>17227.822499999998</v>
      </c>
      <c r="M25" s="110"/>
      <c r="N25" s="110"/>
      <c r="O25" s="111"/>
      <c r="P25" s="111"/>
      <c r="Q25" s="110"/>
      <c r="R25" s="110"/>
      <c r="S25" s="112"/>
      <c r="T25" s="102">
        <f>SUM(Finance[[#This Row],[Samer]:[Margins]])</f>
        <v>17227.822499999998</v>
      </c>
      <c r="U25" s="103">
        <f>ABS(Finance[[#This Row],[Total (EGP)]])</f>
        <v>17227.822499999998</v>
      </c>
      <c r="V25" s="113"/>
    </row>
    <row r="26" spans="2:22" ht="18" customHeight="1" x14ac:dyDescent="0.3">
      <c r="B26" s="139">
        <v>45669</v>
      </c>
      <c r="C26" s="140">
        <f>YEAR(Finance[[#This Row],[Date]])</f>
        <v>2025</v>
      </c>
      <c r="D26" s="141">
        <f>MONTH(Finance[[#This Row],[Date]])</f>
        <v>1</v>
      </c>
      <c r="E26" s="6" t="s">
        <v>193</v>
      </c>
      <c r="F26" s="6" t="s">
        <v>29</v>
      </c>
      <c r="G26" s="6" t="s">
        <v>95</v>
      </c>
      <c r="H26" s="134" t="s">
        <v>194</v>
      </c>
      <c r="I26" s="135" t="s">
        <v>175</v>
      </c>
      <c r="J26" s="136">
        <v>3</v>
      </c>
      <c r="K26" s="31"/>
      <c r="L26" s="132"/>
      <c r="M26" s="96"/>
      <c r="N26" s="96"/>
      <c r="O26" s="75"/>
      <c r="P26" s="75"/>
      <c r="Q26" s="96"/>
      <c r="R26" s="96">
        <v>150</v>
      </c>
      <c r="S26" s="147"/>
      <c r="T26" s="102">
        <f>SUM(Finance[[#This Row],[Samer]:[Margins]])</f>
        <v>150</v>
      </c>
      <c r="U26" s="103">
        <f>ABS(Finance[[#This Row],[Total (EGP)]])</f>
        <v>150</v>
      </c>
      <c r="V26" s="148"/>
    </row>
    <row r="27" spans="2:22" ht="18" customHeight="1" x14ac:dyDescent="0.3">
      <c r="B27" s="105">
        <v>45671</v>
      </c>
      <c r="C27" s="106">
        <f>YEAR(Finance[[#This Row],[Date]])</f>
        <v>2025</v>
      </c>
      <c r="D27" s="107">
        <f>MONTH(Finance[[#This Row],[Date]])</f>
        <v>1</v>
      </c>
      <c r="E27" s="133" t="s">
        <v>179</v>
      </c>
      <c r="F27" s="126" t="s">
        <v>37</v>
      </c>
      <c r="G27" s="126" t="s">
        <v>36</v>
      </c>
      <c r="H27" s="127" t="s">
        <v>181</v>
      </c>
      <c r="I27" s="128" t="s">
        <v>175</v>
      </c>
      <c r="J27" s="129">
        <v>0</v>
      </c>
      <c r="K27" s="108"/>
      <c r="L27" s="109">
        <v>-132000</v>
      </c>
      <c r="M27" s="110"/>
      <c r="N27" s="110"/>
      <c r="O27" s="111"/>
      <c r="P27" s="111"/>
      <c r="Q27" s="110"/>
      <c r="R27" s="110">
        <v>132000</v>
      </c>
      <c r="S27" s="112"/>
      <c r="T27" s="102">
        <f>SUM(Finance[[#This Row],[Samer]:[Margins]])</f>
        <v>0</v>
      </c>
      <c r="U27" s="103">
        <f>ABS(Finance[[#This Row],[Total (EGP)]])</f>
        <v>0</v>
      </c>
      <c r="V27" s="116"/>
    </row>
    <row r="28" spans="2:22" ht="18" customHeight="1" x14ac:dyDescent="0.3">
      <c r="B28" s="105">
        <v>45671</v>
      </c>
      <c r="C28" s="106">
        <f>YEAR(Finance[[#This Row],[Date]])</f>
        <v>2025</v>
      </c>
      <c r="D28" s="107">
        <f>MONTH(Finance[[#This Row],[Date]])</f>
        <v>1</v>
      </c>
      <c r="E28" s="133" t="s">
        <v>180</v>
      </c>
      <c r="F28" s="126" t="s">
        <v>37</v>
      </c>
      <c r="G28" s="126" t="s">
        <v>36</v>
      </c>
      <c r="H28" s="127" t="s">
        <v>181</v>
      </c>
      <c r="I28" s="128" t="s">
        <v>175</v>
      </c>
      <c r="J28" s="129">
        <v>0</v>
      </c>
      <c r="K28" s="108"/>
      <c r="L28" s="109">
        <v>132000</v>
      </c>
      <c r="M28" s="110"/>
      <c r="N28" s="110">
        <v>-132000</v>
      </c>
      <c r="O28" s="111"/>
      <c r="P28" s="111"/>
      <c r="Q28" s="110"/>
      <c r="R28" s="110"/>
      <c r="S28" s="112"/>
      <c r="T28" s="102">
        <f>SUM(Finance[[#This Row],[Samer]:[Margins]])</f>
        <v>0</v>
      </c>
      <c r="U28" s="103">
        <f>ABS(Finance[[#This Row],[Total (EGP)]])</f>
        <v>0</v>
      </c>
      <c r="V28" s="116"/>
    </row>
    <row r="29" spans="2:22" ht="18" customHeight="1" x14ac:dyDescent="0.3">
      <c r="B29" s="139">
        <v>45671</v>
      </c>
      <c r="C29" s="140">
        <f>YEAR(Finance[[#This Row],[Date]])</f>
        <v>2025</v>
      </c>
      <c r="D29" s="141">
        <f>MONTH(Finance[[#This Row],[Date]])</f>
        <v>1</v>
      </c>
      <c r="E29" s="6" t="s">
        <v>191</v>
      </c>
      <c r="F29" s="6" t="s">
        <v>30</v>
      </c>
      <c r="G29" s="6" t="s">
        <v>127</v>
      </c>
      <c r="H29" s="134" t="s">
        <v>190</v>
      </c>
      <c r="I29" s="135" t="s">
        <v>175</v>
      </c>
      <c r="J29" s="131">
        <v>4</v>
      </c>
      <c r="K29" s="31"/>
      <c r="L29" s="132">
        <f>18.4*51.98*1.25</f>
        <v>1195.54</v>
      </c>
      <c r="M29" s="145"/>
      <c r="N29" s="145"/>
      <c r="O29" s="146"/>
      <c r="P29" s="146"/>
      <c r="Q29" s="145"/>
      <c r="R29" s="145"/>
      <c r="S29" s="147"/>
      <c r="T29" s="102">
        <f>SUM(Finance[[#This Row],[Samer]:[Margins]])</f>
        <v>1195.54</v>
      </c>
      <c r="U29" s="103">
        <f>ABS(Finance[[#This Row],[Total (EGP)]])</f>
        <v>1195.54</v>
      </c>
      <c r="V29" s="148"/>
    </row>
    <row r="30" spans="2:22" ht="18" customHeight="1" x14ac:dyDescent="0.3">
      <c r="B30" s="139">
        <v>45671</v>
      </c>
      <c r="C30" s="140">
        <f>YEAR(Finance[[#This Row],[Date]])</f>
        <v>2025</v>
      </c>
      <c r="D30" s="141">
        <f>MONTH(Finance[[#This Row],[Date]])</f>
        <v>1</v>
      </c>
      <c r="E30" s="39" t="s">
        <v>192</v>
      </c>
      <c r="F30" s="39" t="s">
        <v>30</v>
      </c>
      <c r="G30" s="39" t="s">
        <v>127</v>
      </c>
      <c r="H30" s="130" t="s">
        <v>176</v>
      </c>
      <c r="I30" s="114" t="s">
        <v>177</v>
      </c>
      <c r="J30" s="131">
        <v>1</v>
      </c>
      <c r="K30" s="31"/>
      <c r="L30" s="132">
        <f>94.06*51.98*1.25</f>
        <v>6111.5484999999999</v>
      </c>
      <c r="M30" s="145"/>
      <c r="N30" s="145"/>
      <c r="O30" s="146"/>
      <c r="P30" s="146"/>
      <c r="Q30" s="145"/>
      <c r="R30" s="145"/>
      <c r="S30" s="147"/>
      <c r="T30" s="102">
        <f>SUM(Finance[[#This Row],[Samer]:[Margins]])</f>
        <v>6111.5484999999999</v>
      </c>
      <c r="U30" s="103">
        <f>ABS(Finance[[#This Row],[Total (EGP)]])</f>
        <v>6111.5484999999999</v>
      </c>
      <c r="V30" s="148"/>
    </row>
    <row r="31" spans="2:22" ht="18" customHeight="1" x14ac:dyDescent="0.3">
      <c r="B31" s="139">
        <v>45673</v>
      </c>
      <c r="C31" s="140">
        <f>YEAR(Finance[[#This Row],[Date]])</f>
        <v>2025</v>
      </c>
      <c r="D31" s="141">
        <f>MONTH(Finance[[#This Row],[Date]])</f>
        <v>1</v>
      </c>
      <c r="E31" s="6" t="s">
        <v>203</v>
      </c>
      <c r="F31" s="6" t="s">
        <v>73</v>
      </c>
      <c r="G31" s="6" t="s">
        <v>93</v>
      </c>
      <c r="H31" s="134" t="s">
        <v>199</v>
      </c>
      <c r="I31" s="135" t="s">
        <v>200</v>
      </c>
      <c r="J31" s="136">
        <v>4</v>
      </c>
      <c r="K31" s="31"/>
      <c r="L31" s="132"/>
      <c r="M31" s="96"/>
      <c r="N31" s="96"/>
      <c r="O31" s="75"/>
      <c r="P31" s="75"/>
      <c r="Q31" s="96"/>
      <c r="R31" s="96">
        <v>-10350</v>
      </c>
      <c r="S31" s="147"/>
      <c r="T31" s="102">
        <f>SUM(Finance[[#This Row],[Samer]:[Margins]])</f>
        <v>-10350</v>
      </c>
      <c r="U31" s="103">
        <f>ABS(Finance[[#This Row],[Total (EGP)]])</f>
        <v>10350</v>
      </c>
      <c r="V31" s="148"/>
    </row>
    <row r="32" spans="2:22" ht="18" customHeight="1" x14ac:dyDescent="0.3">
      <c r="B32" s="139">
        <v>45673</v>
      </c>
      <c r="C32" s="140">
        <f>YEAR(Finance[[#This Row],[Date]])</f>
        <v>2025</v>
      </c>
      <c r="D32" s="141">
        <f>MONTH(Finance[[#This Row],[Date]])</f>
        <v>1</v>
      </c>
      <c r="E32" s="6" t="s">
        <v>202</v>
      </c>
      <c r="F32" s="6" t="s">
        <v>73</v>
      </c>
      <c r="G32" s="6" t="s">
        <v>93</v>
      </c>
      <c r="H32" s="134" t="s">
        <v>90</v>
      </c>
      <c r="I32" s="135" t="s">
        <v>200</v>
      </c>
      <c r="J32" s="136">
        <v>4</v>
      </c>
      <c r="K32" s="31"/>
      <c r="L32" s="132"/>
      <c r="M32" s="96"/>
      <c r="N32" s="96"/>
      <c r="O32" s="75"/>
      <c r="P32" s="75"/>
      <c r="Q32" s="96"/>
      <c r="R32" s="96">
        <f>-10350*0.14</f>
        <v>-1449.0000000000002</v>
      </c>
      <c r="S32" s="147"/>
      <c r="T32" s="102">
        <f>SUM(Finance[[#This Row],[Samer]:[Margins]])</f>
        <v>-1449.0000000000002</v>
      </c>
      <c r="U32" s="103">
        <f>ABS(Finance[[#This Row],[Total (EGP)]])</f>
        <v>1449.0000000000002</v>
      </c>
      <c r="V32" s="148"/>
    </row>
    <row r="33" spans="2:22" ht="18" customHeight="1" x14ac:dyDescent="0.3">
      <c r="B33" s="139">
        <v>45673</v>
      </c>
      <c r="C33" s="140">
        <f>YEAR(Finance[[#This Row],[Date]])</f>
        <v>2025</v>
      </c>
      <c r="D33" s="141">
        <f>MONTH(Finance[[#This Row],[Date]])</f>
        <v>1</v>
      </c>
      <c r="E33" s="6" t="s">
        <v>201</v>
      </c>
      <c r="F33" s="6" t="s">
        <v>84</v>
      </c>
      <c r="G33" s="6" t="s">
        <v>86</v>
      </c>
      <c r="H33" s="134" t="s">
        <v>199</v>
      </c>
      <c r="I33" s="135" t="s">
        <v>200</v>
      </c>
      <c r="J33" s="136">
        <v>4</v>
      </c>
      <c r="K33" s="31"/>
      <c r="L33" s="132"/>
      <c r="M33" s="96"/>
      <c r="N33" s="96"/>
      <c r="O33" s="75"/>
      <c r="P33" s="75"/>
      <c r="Q33" s="96"/>
      <c r="R33" s="96">
        <f>10350*0.03</f>
        <v>310.5</v>
      </c>
      <c r="S33" s="147"/>
      <c r="T33" s="102">
        <f>SUM(Finance[[#This Row],[Samer]:[Margins]])</f>
        <v>310.5</v>
      </c>
      <c r="U33" s="103">
        <f>ABS(Finance[[#This Row],[Total (EGP)]])</f>
        <v>310.5</v>
      </c>
      <c r="V33" s="148"/>
    </row>
    <row r="34" spans="2:22" ht="18" customHeight="1" x14ac:dyDescent="0.3">
      <c r="B34" s="139">
        <v>45673</v>
      </c>
      <c r="C34" s="140">
        <f>YEAR(Finance[[#This Row],[Date]])</f>
        <v>2025</v>
      </c>
      <c r="D34" s="141">
        <f>MONTH(Finance[[#This Row],[Date]])</f>
        <v>1</v>
      </c>
      <c r="E34" s="6" t="s">
        <v>244</v>
      </c>
      <c r="F34" s="6" t="s">
        <v>29</v>
      </c>
      <c r="G34" s="6" t="s">
        <v>95</v>
      </c>
      <c r="H34" s="134" t="s">
        <v>194</v>
      </c>
      <c r="I34" s="135" t="s">
        <v>200</v>
      </c>
      <c r="J34" s="136">
        <v>3</v>
      </c>
      <c r="K34" s="143"/>
      <c r="L34" s="144"/>
      <c r="M34" s="145"/>
      <c r="N34" s="145"/>
      <c r="O34" s="146"/>
      <c r="P34" s="146"/>
      <c r="Q34" s="145"/>
      <c r="R34" s="145">
        <v>10</v>
      </c>
      <c r="S34" s="147"/>
      <c r="T34" s="102">
        <f>SUM(Finance[[#This Row],[Samer]:[Margins]])</f>
        <v>10</v>
      </c>
      <c r="U34" s="103">
        <f>ABS(Finance[[#This Row],[Total (EGP)]])</f>
        <v>10</v>
      </c>
      <c r="V34" s="148"/>
    </row>
    <row r="35" spans="2:22" ht="18" customHeight="1" x14ac:dyDescent="0.3">
      <c r="B35" s="139">
        <v>45674</v>
      </c>
      <c r="C35" s="140">
        <f>YEAR(Finance[[#This Row],[Date]])</f>
        <v>2025</v>
      </c>
      <c r="D35" s="141">
        <f>MONTH(Finance[[#This Row],[Date]])</f>
        <v>1</v>
      </c>
      <c r="E35" s="6" t="s">
        <v>195</v>
      </c>
      <c r="F35" s="39" t="s">
        <v>29</v>
      </c>
      <c r="G35" s="6" t="s">
        <v>108</v>
      </c>
      <c r="H35" s="48" t="s">
        <v>182</v>
      </c>
      <c r="I35" s="135" t="s">
        <v>175</v>
      </c>
      <c r="J35" s="136">
        <v>1</v>
      </c>
      <c r="K35" s="31"/>
      <c r="L35" s="132">
        <f>27*50.4*1.05</f>
        <v>1428.84</v>
      </c>
      <c r="M35" s="145"/>
      <c r="N35" s="145"/>
      <c r="O35" s="146"/>
      <c r="P35" s="146"/>
      <c r="Q35" s="145"/>
      <c r="R35" s="145"/>
      <c r="S35" s="147"/>
      <c r="T35" s="102">
        <f>SUM(Finance[[#This Row],[Samer]:[Margins]])</f>
        <v>1428.84</v>
      </c>
      <c r="U35" s="103">
        <f>ABS(Finance[[#This Row],[Total (EGP)]])</f>
        <v>1428.84</v>
      </c>
      <c r="V35" s="148"/>
    </row>
    <row r="36" spans="2:22" ht="18" customHeight="1" x14ac:dyDescent="0.3">
      <c r="B36" s="139">
        <v>45676</v>
      </c>
      <c r="C36" s="140">
        <f>YEAR(Finance[[#This Row],[Date]])</f>
        <v>2025</v>
      </c>
      <c r="D36" s="141">
        <f>MONTH(Finance[[#This Row],[Date]])</f>
        <v>1</v>
      </c>
      <c r="E36" s="126" t="s">
        <v>242</v>
      </c>
      <c r="F36" s="39" t="s">
        <v>29</v>
      </c>
      <c r="G36" s="39" t="s">
        <v>112</v>
      </c>
      <c r="H36" s="48" t="s">
        <v>243</v>
      </c>
      <c r="I36" s="114" t="s">
        <v>175</v>
      </c>
      <c r="J36" s="131">
        <v>3</v>
      </c>
      <c r="K36" s="143"/>
      <c r="L36" s="144"/>
      <c r="M36" s="145"/>
      <c r="N36" s="145"/>
      <c r="O36" s="146"/>
      <c r="P36" s="146"/>
      <c r="Q36" s="145"/>
      <c r="R36" s="145">
        <v>500</v>
      </c>
      <c r="S36" s="147"/>
      <c r="T36" s="102">
        <f>SUM(Finance[[#This Row],[Samer]:[Margins]])</f>
        <v>500</v>
      </c>
      <c r="U36" s="103">
        <f>ABS(Finance[[#This Row],[Total (EGP)]])</f>
        <v>500</v>
      </c>
      <c r="V36" s="148"/>
    </row>
    <row r="37" spans="2:22" ht="18" customHeight="1" x14ac:dyDescent="0.3">
      <c r="B37" s="139">
        <v>45676</v>
      </c>
      <c r="C37" s="140">
        <f>YEAR(Finance[[#This Row],[Date]])</f>
        <v>2025</v>
      </c>
      <c r="D37" s="141">
        <f>MONTH(Finance[[#This Row],[Date]])</f>
        <v>1</v>
      </c>
      <c r="E37" s="126" t="s">
        <v>242</v>
      </c>
      <c r="F37" s="39" t="s">
        <v>29</v>
      </c>
      <c r="G37" s="39" t="s">
        <v>112</v>
      </c>
      <c r="H37" s="48" t="s">
        <v>243</v>
      </c>
      <c r="I37" s="114" t="s">
        <v>175</v>
      </c>
      <c r="J37" s="131">
        <v>3</v>
      </c>
      <c r="K37" s="143"/>
      <c r="L37" s="144"/>
      <c r="M37" s="145"/>
      <c r="N37" s="145"/>
      <c r="O37" s="146"/>
      <c r="P37" s="146"/>
      <c r="Q37" s="145"/>
      <c r="R37" s="145">
        <v>150</v>
      </c>
      <c r="S37" s="147"/>
      <c r="T37" s="102">
        <f>SUM(Finance[[#This Row],[Samer]:[Margins]])</f>
        <v>150</v>
      </c>
      <c r="U37" s="103">
        <f>ABS(Finance[[#This Row],[Total (EGP)]])</f>
        <v>150</v>
      </c>
      <c r="V37" s="148"/>
    </row>
    <row r="38" spans="2:22" ht="18" customHeight="1" x14ac:dyDescent="0.3">
      <c r="B38" s="139">
        <v>45677</v>
      </c>
      <c r="C38" s="140">
        <f>YEAR(Finance[[#This Row],[Date]])</f>
        <v>2025</v>
      </c>
      <c r="D38" s="141">
        <f>MONTH(Finance[[#This Row],[Date]])</f>
        <v>1</v>
      </c>
      <c r="E38" s="6" t="s">
        <v>470</v>
      </c>
      <c r="F38" s="6" t="s">
        <v>30</v>
      </c>
      <c r="G38" s="6" t="s">
        <v>145</v>
      </c>
      <c r="H38" s="134" t="s">
        <v>190</v>
      </c>
      <c r="I38" s="135" t="s">
        <v>175</v>
      </c>
      <c r="J38" s="136">
        <v>4</v>
      </c>
      <c r="K38" s="31"/>
      <c r="L38" s="132">
        <f>39.16*50.4*1.05</f>
        <v>2072.3471999999997</v>
      </c>
      <c r="M38" s="145"/>
      <c r="N38" s="145"/>
      <c r="O38" s="146"/>
      <c r="P38" s="146"/>
      <c r="Q38" s="145"/>
      <c r="R38" s="145"/>
      <c r="S38" s="147"/>
      <c r="T38" s="102">
        <f>SUM(Finance[[#This Row],[Samer]:[Margins]])</f>
        <v>2072.3471999999997</v>
      </c>
      <c r="U38" s="103">
        <f>ABS(Finance[[#This Row],[Total (EGP)]])</f>
        <v>2072.3471999999997</v>
      </c>
      <c r="V38" s="148"/>
    </row>
    <row r="39" spans="2:22" ht="18" customHeight="1" x14ac:dyDescent="0.3">
      <c r="B39" s="139">
        <v>45678</v>
      </c>
      <c r="C39" s="140">
        <f>YEAR(Finance[[#This Row],[Date]])</f>
        <v>2025</v>
      </c>
      <c r="D39" s="141">
        <f>MONTH(Finance[[#This Row],[Date]])</f>
        <v>1</v>
      </c>
      <c r="E39" s="142" t="s">
        <v>262</v>
      </c>
      <c r="F39" s="126" t="s">
        <v>37</v>
      </c>
      <c r="G39" s="126" t="s">
        <v>36</v>
      </c>
      <c r="H39" s="127" t="s">
        <v>206</v>
      </c>
      <c r="I39" s="128" t="s">
        <v>175</v>
      </c>
      <c r="J39" s="129">
        <v>0</v>
      </c>
      <c r="K39" s="143"/>
      <c r="L39" s="144">
        <v>2652.35</v>
      </c>
      <c r="M39" s="145"/>
      <c r="N39" s="145"/>
      <c r="O39" s="146"/>
      <c r="P39" s="146"/>
      <c r="Q39" s="145"/>
      <c r="R39" s="145"/>
      <c r="S39" s="147">
        <v>-2652.35</v>
      </c>
      <c r="T39" s="102">
        <f>SUM(Finance[[#This Row],[Samer]:[Margins]])</f>
        <v>0</v>
      </c>
      <c r="U39" s="103">
        <f>ABS(Finance[[#This Row],[Total (EGP)]])</f>
        <v>0</v>
      </c>
      <c r="V39" s="148"/>
    </row>
    <row r="40" spans="2:22" ht="18" customHeight="1" x14ac:dyDescent="0.3">
      <c r="B40" s="139">
        <v>45679</v>
      </c>
      <c r="C40" s="140">
        <f>YEAR(Finance[[#This Row],[Date]])</f>
        <v>2025</v>
      </c>
      <c r="D40" s="141">
        <f>MONTH(Finance[[#This Row],[Date]])</f>
        <v>1</v>
      </c>
      <c r="E40" s="19" t="s">
        <v>196</v>
      </c>
      <c r="F40" s="6" t="s">
        <v>29</v>
      </c>
      <c r="G40" s="6" t="s">
        <v>108</v>
      </c>
      <c r="H40" s="134" t="s">
        <v>182</v>
      </c>
      <c r="I40" s="135" t="s">
        <v>175</v>
      </c>
      <c r="J40" s="136">
        <v>3</v>
      </c>
      <c r="K40" s="31"/>
      <c r="L40" s="132">
        <f>15.99*50.4*1.05</f>
        <v>846.19079999999997</v>
      </c>
      <c r="M40" s="145"/>
      <c r="N40" s="145"/>
      <c r="O40" s="146"/>
      <c r="P40" s="146"/>
      <c r="Q40" s="145"/>
      <c r="R40" s="145"/>
      <c r="S40" s="147"/>
      <c r="T40" s="102">
        <f>SUM(Finance[[#This Row],[Samer]:[Margins]])</f>
        <v>846.19079999999997</v>
      </c>
      <c r="U40" s="103">
        <f>ABS(Finance[[#This Row],[Total (EGP)]])</f>
        <v>846.19079999999997</v>
      </c>
      <c r="V40" s="148"/>
    </row>
    <row r="41" spans="2:22" ht="18" customHeight="1" x14ac:dyDescent="0.3">
      <c r="B41" s="139">
        <v>45680</v>
      </c>
      <c r="C41" s="140">
        <f>YEAR(Finance[[#This Row],[Date]])</f>
        <v>2025</v>
      </c>
      <c r="D41" s="141">
        <f>MONTH(Finance[[#This Row],[Date]])</f>
        <v>1</v>
      </c>
      <c r="E41" s="39" t="s">
        <v>250</v>
      </c>
      <c r="F41" s="39" t="s">
        <v>245</v>
      </c>
      <c r="G41" s="39" t="s">
        <v>103</v>
      </c>
      <c r="H41" s="48" t="s">
        <v>199</v>
      </c>
      <c r="I41" s="114" t="s">
        <v>246</v>
      </c>
      <c r="J41" s="131">
        <v>1</v>
      </c>
      <c r="K41" s="143"/>
      <c r="L41" s="144"/>
      <c r="M41" s="145"/>
      <c r="N41" s="145"/>
      <c r="O41" s="146"/>
      <c r="P41" s="146"/>
      <c r="Q41" s="145"/>
      <c r="R41" s="145">
        <v>-38869.78</v>
      </c>
      <c r="S41" s="147"/>
      <c r="T41" s="102">
        <f>SUM(Finance[[#This Row],[Samer]:[Margins]])</f>
        <v>-38869.78</v>
      </c>
      <c r="U41" s="103">
        <f>ABS(Finance[[#This Row],[Total (EGP)]])</f>
        <v>38869.78</v>
      </c>
      <c r="V41" s="148"/>
    </row>
    <row r="42" spans="2:22" ht="18" customHeight="1" x14ac:dyDescent="0.3">
      <c r="B42" s="139">
        <v>45680</v>
      </c>
      <c r="C42" s="140">
        <f>YEAR(Finance[[#This Row],[Date]])</f>
        <v>2025</v>
      </c>
      <c r="D42" s="141">
        <f>MONTH(Finance[[#This Row],[Date]])</f>
        <v>1</v>
      </c>
      <c r="E42" s="39" t="s">
        <v>247</v>
      </c>
      <c r="F42" s="6" t="s">
        <v>73</v>
      </c>
      <c r="G42" s="6" t="s">
        <v>103</v>
      </c>
      <c r="H42" s="134" t="s">
        <v>90</v>
      </c>
      <c r="I42" s="135" t="s">
        <v>246</v>
      </c>
      <c r="J42" s="136">
        <v>1</v>
      </c>
      <c r="K42" s="143"/>
      <c r="L42" s="144"/>
      <c r="M42" s="145"/>
      <c r="N42" s="145"/>
      <c r="O42" s="146"/>
      <c r="P42" s="146"/>
      <c r="Q42" s="145"/>
      <c r="R42" s="145">
        <f>-38869.78*0.14</f>
        <v>-5441.7692000000006</v>
      </c>
      <c r="S42" s="147"/>
      <c r="T42" s="102">
        <f>SUM(Finance[[#This Row],[Samer]:[Margins]])</f>
        <v>-5441.7692000000006</v>
      </c>
      <c r="U42" s="103">
        <f>ABS(Finance[[#This Row],[Total (EGP)]])</f>
        <v>5441.7692000000006</v>
      </c>
      <c r="V42" s="148"/>
    </row>
    <row r="43" spans="2:22" ht="18" customHeight="1" x14ac:dyDescent="0.3">
      <c r="B43" s="139">
        <v>45680</v>
      </c>
      <c r="C43" s="140">
        <f>YEAR(Finance[[#This Row],[Date]])</f>
        <v>2025</v>
      </c>
      <c r="D43" s="141">
        <f>MONTH(Finance[[#This Row],[Date]])</f>
        <v>1</v>
      </c>
      <c r="E43" s="39" t="s">
        <v>248</v>
      </c>
      <c r="F43" s="6" t="s">
        <v>84</v>
      </c>
      <c r="G43" s="6" t="s">
        <v>86</v>
      </c>
      <c r="H43" s="134" t="s">
        <v>199</v>
      </c>
      <c r="I43" s="135" t="s">
        <v>246</v>
      </c>
      <c r="J43" s="136">
        <v>1</v>
      </c>
      <c r="K43" s="143"/>
      <c r="L43" s="144"/>
      <c r="M43" s="145"/>
      <c r="N43" s="145"/>
      <c r="O43" s="146"/>
      <c r="P43" s="146"/>
      <c r="Q43" s="145"/>
      <c r="R43" s="151">
        <f>38869.78*0.03</f>
        <v>1166.0934</v>
      </c>
      <c r="S43" s="147"/>
      <c r="T43" s="102">
        <f>SUM(Finance[[#This Row],[Samer]:[Margins]])</f>
        <v>1166.0934</v>
      </c>
      <c r="U43" s="103">
        <f>ABS(Finance[[#This Row],[Total (EGP)]])</f>
        <v>1166.0934</v>
      </c>
      <c r="V43" s="148"/>
    </row>
    <row r="44" spans="2:22" ht="18" customHeight="1" x14ac:dyDescent="0.3">
      <c r="B44" s="139">
        <v>45680</v>
      </c>
      <c r="C44" s="140">
        <f>YEAR(Finance[[#This Row],[Date]])</f>
        <v>2025</v>
      </c>
      <c r="D44" s="141">
        <f>MONTH(Finance[[#This Row],[Date]])</f>
        <v>1</v>
      </c>
      <c r="E44" s="6" t="s">
        <v>249</v>
      </c>
      <c r="F44" s="6" t="s">
        <v>29</v>
      </c>
      <c r="G44" s="6" t="s">
        <v>95</v>
      </c>
      <c r="H44" s="134" t="s">
        <v>199</v>
      </c>
      <c r="I44" s="114" t="s">
        <v>246</v>
      </c>
      <c r="J44" s="136">
        <v>3</v>
      </c>
      <c r="K44" s="143"/>
      <c r="L44" s="144"/>
      <c r="M44" s="145"/>
      <c r="N44" s="145"/>
      <c r="O44" s="146"/>
      <c r="P44" s="146"/>
      <c r="Q44" s="145"/>
      <c r="R44" s="151">
        <v>10</v>
      </c>
      <c r="S44" s="147"/>
      <c r="T44" s="102">
        <f>SUM(Finance[[#This Row],[Samer]:[Margins]])</f>
        <v>10</v>
      </c>
      <c r="U44" s="103">
        <f>ABS(Finance[[#This Row],[Total (EGP)]])</f>
        <v>10</v>
      </c>
      <c r="V44" s="148"/>
    </row>
    <row r="45" spans="2:22" ht="18" customHeight="1" x14ac:dyDescent="0.3">
      <c r="B45" s="139">
        <v>45685</v>
      </c>
      <c r="C45" s="140">
        <f>YEAR(Finance[[#This Row],[Date]])</f>
        <v>2025</v>
      </c>
      <c r="D45" s="141">
        <f>MONTH(Finance[[#This Row],[Date]])</f>
        <v>1</v>
      </c>
      <c r="E45" s="6" t="s">
        <v>239</v>
      </c>
      <c r="F45" s="6" t="s">
        <v>73</v>
      </c>
      <c r="G45" s="6" t="s">
        <v>75</v>
      </c>
      <c r="H45" s="134" t="s">
        <v>234</v>
      </c>
      <c r="I45" s="135" t="s">
        <v>177</v>
      </c>
      <c r="J45" s="136">
        <v>4</v>
      </c>
      <c r="K45" s="143"/>
      <c r="L45" s="144"/>
      <c r="M45" s="145"/>
      <c r="N45" s="145"/>
      <c r="O45" s="146"/>
      <c r="P45" s="146"/>
      <c r="Q45" s="145">
        <v>-10360.15</v>
      </c>
      <c r="R45" s="151"/>
      <c r="S45" s="147"/>
      <c r="T45" s="102">
        <f>SUM(Finance[[#This Row],[Samer]:[Margins]])</f>
        <v>-10360.15</v>
      </c>
      <c r="U45" s="103">
        <f>ABS(Finance[[#This Row],[Total (EGP)]])</f>
        <v>10360.15</v>
      </c>
      <c r="V45" s="148"/>
    </row>
    <row r="46" spans="2:22" ht="18" customHeight="1" x14ac:dyDescent="0.3">
      <c r="B46" s="139">
        <v>45685</v>
      </c>
      <c r="C46" s="140">
        <f>YEAR(Finance[[#This Row],[Date]])</f>
        <v>2025</v>
      </c>
      <c r="D46" s="141">
        <f>MONTH(Finance[[#This Row],[Date]])</f>
        <v>1</v>
      </c>
      <c r="E46" s="6" t="s">
        <v>237</v>
      </c>
      <c r="F46" s="6" t="s">
        <v>73</v>
      </c>
      <c r="G46" s="6" t="s">
        <v>75</v>
      </c>
      <c r="H46" s="134" t="s">
        <v>90</v>
      </c>
      <c r="I46" s="135" t="s">
        <v>177</v>
      </c>
      <c r="J46" s="136">
        <v>4</v>
      </c>
      <c r="K46" s="143"/>
      <c r="L46" s="144"/>
      <c r="M46" s="145"/>
      <c r="N46" s="145"/>
      <c r="O46" s="146"/>
      <c r="P46" s="146"/>
      <c r="Q46" s="145">
        <f>-10360.15*0.14</f>
        <v>-1450.421</v>
      </c>
      <c r="R46" s="151"/>
      <c r="S46" s="147"/>
      <c r="T46" s="102">
        <f>SUM(Finance[[#This Row],[Samer]:[Margins]])</f>
        <v>-1450.421</v>
      </c>
      <c r="U46" s="103">
        <f>ABS(Finance[[#This Row],[Total (EGP)]])</f>
        <v>1450.421</v>
      </c>
      <c r="V46" s="148"/>
    </row>
    <row r="47" spans="2:22" ht="18" customHeight="1" x14ac:dyDescent="0.3">
      <c r="B47" s="139">
        <v>45685</v>
      </c>
      <c r="C47" s="140">
        <f>YEAR(Finance[[#This Row],[Date]])</f>
        <v>2025</v>
      </c>
      <c r="D47" s="141">
        <f>MONTH(Finance[[#This Row],[Date]])</f>
        <v>1</v>
      </c>
      <c r="E47" s="6" t="s">
        <v>238</v>
      </c>
      <c r="F47" s="6" t="s">
        <v>84</v>
      </c>
      <c r="G47" s="6" t="s">
        <v>86</v>
      </c>
      <c r="H47" s="134" t="s">
        <v>234</v>
      </c>
      <c r="I47" s="135" t="s">
        <v>177</v>
      </c>
      <c r="J47" s="136">
        <v>4</v>
      </c>
      <c r="K47" s="143"/>
      <c r="L47" s="144"/>
      <c r="M47" s="145"/>
      <c r="N47" s="145"/>
      <c r="O47" s="146"/>
      <c r="P47" s="146"/>
      <c r="Q47" s="145">
        <f>10360.15*0.03</f>
        <v>310.80449999999996</v>
      </c>
      <c r="R47" s="145"/>
      <c r="S47" s="147"/>
      <c r="T47" s="102">
        <f>SUM(Finance[[#This Row],[Samer]:[Margins]])</f>
        <v>310.80449999999996</v>
      </c>
      <c r="U47" s="103">
        <f>ABS(Finance[[#This Row],[Total (EGP)]])</f>
        <v>310.80449999999996</v>
      </c>
      <c r="V47" s="148"/>
    </row>
    <row r="48" spans="2:22" ht="18" customHeight="1" x14ac:dyDescent="0.3">
      <c r="B48" s="139">
        <v>45685</v>
      </c>
      <c r="C48" s="140">
        <f>YEAR(Finance[[#This Row],[Date]])</f>
        <v>2025</v>
      </c>
      <c r="D48" s="141">
        <f>MONTH(Finance[[#This Row],[Date]])</f>
        <v>1</v>
      </c>
      <c r="E48" s="6" t="s">
        <v>236</v>
      </c>
      <c r="F48" s="6" t="s">
        <v>73</v>
      </c>
      <c r="G48" s="6" t="s">
        <v>233</v>
      </c>
      <c r="H48" s="134" t="s">
        <v>234</v>
      </c>
      <c r="I48" s="135" t="s">
        <v>235</v>
      </c>
      <c r="J48" s="136">
        <v>1</v>
      </c>
      <c r="K48" s="143"/>
      <c r="L48" s="144"/>
      <c r="M48" s="145"/>
      <c r="N48" s="145"/>
      <c r="O48" s="146"/>
      <c r="P48" s="146"/>
      <c r="Q48" s="145">
        <v>-238500.23</v>
      </c>
      <c r="R48" s="145"/>
      <c r="S48" s="147"/>
      <c r="T48" s="102">
        <f>SUM(Finance[[#This Row],[Samer]:[Margins]])</f>
        <v>-238500.23</v>
      </c>
      <c r="U48" s="103">
        <f>ABS(Finance[[#This Row],[Total (EGP)]])</f>
        <v>238500.23</v>
      </c>
      <c r="V48" s="148"/>
    </row>
    <row r="49" spans="2:22" ht="18" customHeight="1" x14ac:dyDescent="0.3">
      <c r="B49" s="139">
        <v>45685</v>
      </c>
      <c r="C49" s="140">
        <f>YEAR(Finance[[#This Row],[Date]])</f>
        <v>2025</v>
      </c>
      <c r="D49" s="141">
        <f>MONTH(Finance[[#This Row],[Date]])</f>
        <v>1</v>
      </c>
      <c r="E49" s="6" t="s">
        <v>240</v>
      </c>
      <c r="F49" s="6" t="s">
        <v>37</v>
      </c>
      <c r="G49" s="6" t="s">
        <v>36</v>
      </c>
      <c r="H49" s="134" t="s">
        <v>181</v>
      </c>
      <c r="I49" s="135" t="s">
        <v>175</v>
      </c>
      <c r="J49" s="136">
        <v>0</v>
      </c>
      <c r="K49" s="31"/>
      <c r="L49" s="132"/>
      <c r="M49" s="145"/>
      <c r="N49" s="145"/>
      <c r="O49" s="146"/>
      <c r="P49" s="146"/>
      <c r="Q49" s="145">
        <v>250000</v>
      </c>
      <c r="R49" s="145">
        <v>-250000</v>
      </c>
      <c r="S49" s="147"/>
      <c r="T49" s="102">
        <f>SUM(Finance[[#This Row],[Samer]:[Margins]])</f>
        <v>0</v>
      </c>
      <c r="U49" s="103">
        <f>ABS(Finance[[#This Row],[Total (EGP)]])</f>
        <v>0</v>
      </c>
      <c r="V49" s="148"/>
    </row>
    <row r="50" spans="2:22" ht="18" customHeight="1" x14ac:dyDescent="0.3">
      <c r="B50" s="139">
        <v>45685</v>
      </c>
      <c r="C50" s="140">
        <f>YEAR(Finance[[#This Row],[Date]])</f>
        <v>2025</v>
      </c>
      <c r="D50" s="141">
        <f>MONTH(Finance[[#This Row],[Date]])</f>
        <v>1</v>
      </c>
      <c r="E50" s="6" t="s">
        <v>251</v>
      </c>
      <c r="F50" s="6" t="s">
        <v>30</v>
      </c>
      <c r="G50" s="6" t="s">
        <v>88</v>
      </c>
      <c r="H50" s="134" t="s">
        <v>210</v>
      </c>
      <c r="I50" s="135" t="s">
        <v>177</v>
      </c>
      <c r="J50" s="136">
        <v>4</v>
      </c>
      <c r="K50" s="31"/>
      <c r="L50" s="132">
        <f>5*975</f>
        <v>4875</v>
      </c>
      <c r="M50" s="145"/>
      <c r="N50" s="145"/>
      <c r="O50" s="146"/>
      <c r="P50" s="146"/>
      <c r="Q50" s="145"/>
      <c r="R50" s="145"/>
      <c r="S50" s="147"/>
      <c r="T50" s="102">
        <f>SUM(Finance[[#This Row],[Samer]:[Margins]])</f>
        <v>4875</v>
      </c>
      <c r="U50" s="103">
        <f>ABS(Finance[[#This Row],[Total (EGP)]])</f>
        <v>4875</v>
      </c>
      <c r="V50" s="148"/>
    </row>
    <row r="51" spans="2:22" ht="18" customHeight="1" x14ac:dyDescent="0.3">
      <c r="B51" s="139">
        <v>45685</v>
      </c>
      <c r="C51" s="140">
        <f>YEAR(Finance[[#This Row],[Date]])</f>
        <v>2025</v>
      </c>
      <c r="D51" s="141">
        <f>MONTH(Finance[[#This Row],[Date]])</f>
        <v>1</v>
      </c>
      <c r="E51" s="126" t="s">
        <v>242</v>
      </c>
      <c r="F51" s="39" t="s">
        <v>29</v>
      </c>
      <c r="G51" s="39" t="s">
        <v>112</v>
      </c>
      <c r="H51" s="48" t="s">
        <v>243</v>
      </c>
      <c r="I51" s="114" t="s">
        <v>175</v>
      </c>
      <c r="J51" s="131">
        <v>3</v>
      </c>
      <c r="K51" s="143"/>
      <c r="L51" s="144"/>
      <c r="M51" s="145"/>
      <c r="N51" s="145"/>
      <c r="O51" s="146"/>
      <c r="P51" s="146"/>
      <c r="Q51" s="145"/>
      <c r="R51" s="145">
        <v>1402.2</v>
      </c>
      <c r="S51" s="147"/>
      <c r="T51" s="102">
        <f>SUM(Finance[[#This Row],[Samer]:[Margins]])</f>
        <v>1402.2</v>
      </c>
      <c r="U51" s="103">
        <f>ABS(Finance[[#This Row],[Total (EGP)]])</f>
        <v>1402.2</v>
      </c>
      <c r="V51" s="148"/>
    </row>
    <row r="52" spans="2:22" ht="18" customHeight="1" x14ac:dyDescent="0.3">
      <c r="B52" s="139">
        <v>45685</v>
      </c>
      <c r="C52" s="140">
        <f>YEAR(Finance[[#This Row],[Date]])</f>
        <v>2025</v>
      </c>
      <c r="D52" s="141">
        <f>MONTH(Finance[[#This Row],[Date]])</f>
        <v>1</v>
      </c>
      <c r="E52" s="126" t="s">
        <v>242</v>
      </c>
      <c r="F52" s="39" t="s">
        <v>29</v>
      </c>
      <c r="G52" s="39" t="s">
        <v>112</v>
      </c>
      <c r="H52" s="48" t="s">
        <v>243</v>
      </c>
      <c r="I52" s="114" t="s">
        <v>175</v>
      </c>
      <c r="J52" s="131">
        <v>3</v>
      </c>
      <c r="K52" s="143"/>
      <c r="L52" s="144"/>
      <c r="M52" s="145"/>
      <c r="N52" s="145"/>
      <c r="O52" s="146"/>
      <c r="P52" s="146"/>
      <c r="Q52" s="145"/>
      <c r="R52" s="145">
        <v>14</v>
      </c>
      <c r="S52" s="147"/>
      <c r="T52" s="102">
        <f>SUM(Finance[[#This Row],[Samer]:[Margins]])</f>
        <v>14</v>
      </c>
      <c r="U52" s="103">
        <f>ABS(Finance[[#This Row],[Total (EGP)]])</f>
        <v>14</v>
      </c>
      <c r="V52" s="148"/>
    </row>
    <row r="53" spans="2:22" ht="18" customHeight="1" x14ac:dyDescent="0.3">
      <c r="B53" s="139">
        <v>45686</v>
      </c>
      <c r="C53" s="140">
        <f>YEAR(Finance[[#This Row],[Date]])</f>
        <v>2025</v>
      </c>
      <c r="D53" s="141">
        <f>MONTH(Finance[[#This Row],[Date]])</f>
        <v>1</v>
      </c>
      <c r="E53" s="6" t="s">
        <v>252</v>
      </c>
      <c r="F53" s="6" t="s">
        <v>30</v>
      </c>
      <c r="G53" s="6" t="s">
        <v>145</v>
      </c>
      <c r="H53" s="134" t="s">
        <v>176</v>
      </c>
      <c r="I53" s="135" t="s">
        <v>189</v>
      </c>
      <c r="J53" s="136">
        <v>4</v>
      </c>
      <c r="K53" s="143"/>
      <c r="L53" s="144">
        <v>1207.6400000000001</v>
      </c>
      <c r="M53" s="145"/>
      <c r="N53" s="145"/>
      <c r="O53" s="146"/>
      <c r="P53" s="146"/>
      <c r="Q53" s="145"/>
      <c r="R53" s="145"/>
      <c r="S53" s="147"/>
      <c r="T53" s="102">
        <f>SUM(Finance[[#This Row],[Samer]:[Margins]])</f>
        <v>1207.6400000000001</v>
      </c>
      <c r="U53" s="103">
        <f>ABS(Finance[[#This Row],[Total (EGP)]])</f>
        <v>1207.6400000000001</v>
      </c>
      <c r="V53" s="148"/>
    </row>
    <row r="54" spans="2:22" ht="18" customHeight="1" x14ac:dyDescent="0.3">
      <c r="B54" s="139">
        <v>45686</v>
      </c>
      <c r="C54" s="140">
        <f>YEAR(Finance[[#This Row],[Date]])</f>
        <v>2025</v>
      </c>
      <c r="D54" s="141">
        <f>MONTH(Finance[[#This Row],[Date]])</f>
        <v>1</v>
      </c>
      <c r="E54" s="6" t="s">
        <v>224</v>
      </c>
      <c r="F54" s="39" t="s">
        <v>84</v>
      </c>
      <c r="G54" s="39" t="s">
        <v>90</v>
      </c>
      <c r="H54" s="48" t="s">
        <v>143</v>
      </c>
      <c r="I54" s="149" t="s">
        <v>175</v>
      </c>
      <c r="J54" s="131">
        <v>1</v>
      </c>
      <c r="K54" s="143"/>
      <c r="L54" s="144"/>
      <c r="M54" s="145"/>
      <c r="N54" s="145"/>
      <c r="O54" s="146"/>
      <c r="P54" s="146"/>
      <c r="Q54" s="145"/>
      <c r="R54" s="44">
        <f>5441.77+0.51</f>
        <v>5442.2800000000007</v>
      </c>
      <c r="S54" s="147"/>
      <c r="T54" s="102">
        <f>SUM(Finance[[#This Row],[Samer]:[Margins]])</f>
        <v>5442.2800000000007</v>
      </c>
      <c r="U54" s="103">
        <f>ABS(Finance[[#This Row],[Total (EGP)]])</f>
        <v>5442.2800000000007</v>
      </c>
      <c r="V54" s="148"/>
    </row>
    <row r="55" spans="2:22" ht="18" customHeight="1" x14ac:dyDescent="0.3">
      <c r="B55" s="139">
        <v>45686</v>
      </c>
      <c r="C55" s="140">
        <f>YEAR(Finance[[#This Row],[Date]])</f>
        <v>2025</v>
      </c>
      <c r="D55" s="141">
        <f>MONTH(Finance[[#This Row],[Date]])</f>
        <v>1</v>
      </c>
      <c r="E55" s="6" t="s">
        <v>225</v>
      </c>
      <c r="F55" s="39" t="s">
        <v>84</v>
      </c>
      <c r="G55" s="39" t="s">
        <v>90</v>
      </c>
      <c r="H55" s="48" t="s">
        <v>143</v>
      </c>
      <c r="I55" s="149" t="s">
        <v>175</v>
      </c>
      <c r="J55" s="131">
        <v>4</v>
      </c>
      <c r="K55" s="143"/>
      <c r="L55" s="144"/>
      <c r="M55" s="145"/>
      <c r="N55" s="145"/>
      <c r="O55" s="146"/>
      <c r="P55" s="146"/>
      <c r="Q55" s="145"/>
      <c r="R55" s="44">
        <v>28296.47</v>
      </c>
      <c r="S55" s="147"/>
      <c r="T55" s="102">
        <f>SUM(Finance[[#This Row],[Samer]:[Margins]])</f>
        <v>28296.47</v>
      </c>
      <c r="U55" s="103">
        <f>ABS(Finance[[#This Row],[Total (EGP)]])</f>
        <v>28296.47</v>
      </c>
      <c r="V55" s="148"/>
    </row>
    <row r="56" spans="2:22" ht="18" customHeight="1" x14ac:dyDescent="0.3">
      <c r="B56" s="139">
        <v>45686</v>
      </c>
      <c r="C56" s="140">
        <f>YEAR(Finance[[#This Row],[Date]])</f>
        <v>2025</v>
      </c>
      <c r="D56" s="141">
        <f>MONTH(Finance[[#This Row],[Date]])</f>
        <v>1</v>
      </c>
      <c r="E56" s="6" t="s">
        <v>226</v>
      </c>
      <c r="F56" s="39" t="s">
        <v>84</v>
      </c>
      <c r="G56" s="39" t="s">
        <v>90</v>
      </c>
      <c r="H56" s="48" t="s">
        <v>143</v>
      </c>
      <c r="I56" s="149" t="s">
        <v>175</v>
      </c>
      <c r="J56" s="131">
        <v>5</v>
      </c>
      <c r="K56" s="143"/>
      <c r="L56" s="144"/>
      <c r="M56" s="145"/>
      <c r="N56" s="145"/>
      <c r="O56" s="146"/>
      <c r="P56" s="146"/>
      <c r="Q56" s="145"/>
      <c r="R56" s="44">
        <v>2248.96</v>
      </c>
      <c r="S56" s="147"/>
      <c r="T56" s="102">
        <f>SUM(Finance[[#This Row],[Samer]:[Margins]])</f>
        <v>2248.96</v>
      </c>
      <c r="U56" s="103">
        <f>ABS(Finance[[#This Row],[Total (EGP)]])</f>
        <v>2248.96</v>
      </c>
      <c r="V56" s="148"/>
    </row>
    <row r="57" spans="2:22" ht="18" customHeight="1" x14ac:dyDescent="0.3">
      <c r="B57" s="139">
        <v>45686</v>
      </c>
      <c r="C57" s="140">
        <f>YEAR(Finance[[#This Row],[Date]])</f>
        <v>2025</v>
      </c>
      <c r="D57" s="141">
        <f>MONTH(Finance[[#This Row],[Date]])</f>
        <v>1</v>
      </c>
      <c r="E57" s="6" t="s">
        <v>227</v>
      </c>
      <c r="F57" s="39" t="s">
        <v>84</v>
      </c>
      <c r="G57" s="39" t="s">
        <v>90</v>
      </c>
      <c r="H57" s="48" t="s">
        <v>143</v>
      </c>
      <c r="I57" s="149" t="s">
        <v>175</v>
      </c>
      <c r="J57" s="131">
        <v>2</v>
      </c>
      <c r="K57" s="143"/>
      <c r="L57" s="144"/>
      <c r="M57" s="145"/>
      <c r="N57" s="145"/>
      <c r="O57" s="146"/>
      <c r="P57" s="146"/>
      <c r="Q57" s="145"/>
      <c r="R57" s="44">
        <v>67019.289999999994</v>
      </c>
      <c r="S57" s="147"/>
      <c r="T57" s="102">
        <f>SUM(Finance[[#This Row],[Samer]:[Margins]])</f>
        <v>67019.289999999994</v>
      </c>
      <c r="U57" s="103">
        <f>ABS(Finance[[#This Row],[Total (EGP)]])</f>
        <v>67019.289999999994</v>
      </c>
      <c r="V57" s="148"/>
    </row>
    <row r="58" spans="2:22" ht="18" customHeight="1" x14ac:dyDescent="0.3">
      <c r="B58" s="139">
        <v>45686</v>
      </c>
      <c r="C58" s="140">
        <f>YEAR(Finance[[#This Row],[Date]])</f>
        <v>2025</v>
      </c>
      <c r="D58" s="141">
        <f>MONTH(Finance[[#This Row],[Date]])</f>
        <v>1</v>
      </c>
      <c r="E58" s="6" t="s">
        <v>221</v>
      </c>
      <c r="F58" s="39" t="s">
        <v>29</v>
      </c>
      <c r="G58" s="6" t="s">
        <v>95</v>
      </c>
      <c r="H58" s="48" t="s">
        <v>194</v>
      </c>
      <c r="I58" s="135" t="s">
        <v>175</v>
      </c>
      <c r="J58" s="136">
        <v>3</v>
      </c>
      <c r="K58" s="143"/>
      <c r="L58" s="144"/>
      <c r="M58" s="145"/>
      <c r="N58" s="145"/>
      <c r="O58" s="146"/>
      <c r="P58" s="146"/>
      <c r="Q58" s="145"/>
      <c r="R58" s="145">
        <f>103007*0.0107001</f>
        <v>1102.1852007</v>
      </c>
      <c r="S58" s="147"/>
      <c r="T58" s="102">
        <f>SUM(Finance[[#This Row],[Samer]:[Margins]])</f>
        <v>1102.1852007</v>
      </c>
      <c r="U58" s="103">
        <f>ABS(Finance[[#This Row],[Total (EGP)]])</f>
        <v>1102.1852007</v>
      </c>
      <c r="V58" s="148"/>
    </row>
    <row r="59" spans="2:22" ht="18" customHeight="1" x14ac:dyDescent="0.3">
      <c r="B59" s="139">
        <v>45686</v>
      </c>
      <c r="C59" s="140">
        <f>YEAR(Finance[[#This Row],[Date]])</f>
        <v>2025</v>
      </c>
      <c r="D59" s="141">
        <f>MONTH(Finance[[#This Row],[Date]])</f>
        <v>1</v>
      </c>
      <c r="E59" s="6" t="s">
        <v>228</v>
      </c>
      <c r="F59" s="39" t="s">
        <v>84</v>
      </c>
      <c r="G59" s="6" t="s">
        <v>85</v>
      </c>
      <c r="H59" s="48" t="s">
        <v>222</v>
      </c>
      <c r="I59" s="135" t="s">
        <v>175</v>
      </c>
      <c r="J59" s="136">
        <v>3</v>
      </c>
      <c r="K59" s="143"/>
      <c r="L59" s="144"/>
      <c r="M59" s="145"/>
      <c r="N59" s="145"/>
      <c r="O59" s="146"/>
      <c r="P59" s="146"/>
      <c r="Q59" s="145"/>
      <c r="R59" s="145">
        <v>7300</v>
      </c>
      <c r="S59" s="147"/>
      <c r="T59" s="102">
        <f>SUM(Finance[[#This Row],[Samer]:[Margins]])</f>
        <v>7300</v>
      </c>
      <c r="U59" s="103">
        <f>ABS(Finance[[#This Row],[Total (EGP)]])</f>
        <v>7300</v>
      </c>
      <c r="V59" s="148"/>
    </row>
    <row r="60" spans="2:22" ht="18" customHeight="1" x14ac:dyDescent="0.3">
      <c r="B60" s="139">
        <v>45686</v>
      </c>
      <c r="C60" s="140">
        <f>YEAR(Finance[[#This Row],[Date]])</f>
        <v>2025</v>
      </c>
      <c r="D60" s="141">
        <f>MONTH(Finance[[#This Row],[Date]])</f>
        <v>1</v>
      </c>
      <c r="E60" s="6" t="s">
        <v>223</v>
      </c>
      <c r="F60" s="39" t="s">
        <v>29</v>
      </c>
      <c r="G60" s="6" t="s">
        <v>95</v>
      </c>
      <c r="H60" s="48" t="s">
        <v>194</v>
      </c>
      <c r="I60" s="135" t="s">
        <v>175</v>
      </c>
      <c r="J60" s="136">
        <v>3</v>
      </c>
      <c r="K60" s="143"/>
      <c r="L60" s="144"/>
      <c r="M60" s="145"/>
      <c r="N60" s="145"/>
      <c r="O60" s="146"/>
      <c r="P60" s="146"/>
      <c r="Q60" s="145"/>
      <c r="R60" s="145">
        <f>7300*0.0107002</f>
        <v>78.111459999999994</v>
      </c>
      <c r="S60" s="147"/>
      <c r="T60" s="102">
        <f>SUM(Finance[[#This Row],[Samer]:[Margins]])</f>
        <v>78.111459999999994</v>
      </c>
      <c r="U60" s="103">
        <f>ABS(Finance[[#This Row],[Total (EGP)]])</f>
        <v>78.111459999999994</v>
      </c>
      <c r="V60" s="148"/>
    </row>
    <row r="61" spans="2:22" ht="18" customHeight="1" x14ac:dyDescent="0.3">
      <c r="B61" s="139">
        <v>45686</v>
      </c>
      <c r="C61" s="140">
        <f>YEAR(Finance[[#This Row],[Date]])</f>
        <v>2025</v>
      </c>
      <c r="D61" s="141">
        <f>MONTH(Finance[[#This Row],[Date]])</f>
        <v>1</v>
      </c>
      <c r="E61" s="39" t="s">
        <v>232</v>
      </c>
      <c r="F61" s="39" t="s">
        <v>84</v>
      </c>
      <c r="G61" s="39" t="s">
        <v>230</v>
      </c>
      <c r="H61" s="48" t="s">
        <v>199</v>
      </c>
      <c r="I61" s="114" t="s">
        <v>175</v>
      </c>
      <c r="J61" s="131">
        <v>3</v>
      </c>
      <c r="K61" s="31"/>
      <c r="L61" s="132"/>
      <c r="M61" s="96"/>
      <c r="N61" s="96"/>
      <c r="O61" s="75"/>
      <c r="P61" s="75"/>
      <c r="Q61" s="96"/>
      <c r="R61" s="96">
        <f>645.82+0.18</f>
        <v>646</v>
      </c>
      <c r="S61" s="147"/>
      <c r="T61" s="102">
        <f>SUM(Finance[[#This Row],[Samer]:[Margins]])</f>
        <v>646</v>
      </c>
      <c r="U61" s="103">
        <f>ABS(Finance[[#This Row],[Total (EGP)]])</f>
        <v>646</v>
      </c>
      <c r="V61" s="148"/>
    </row>
    <row r="62" spans="2:22" ht="18" customHeight="1" x14ac:dyDescent="0.3">
      <c r="B62" s="139">
        <v>45686</v>
      </c>
      <c r="C62" s="140">
        <f>YEAR(Finance[[#This Row],[Date]])</f>
        <v>2025</v>
      </c>
      <c r="D62" s="141">
        <f>MONTH(Finance[[#This Row],[Date]])</f>
        <v>1</v>
      </c>
      <c r="E62" s="150" t="s">
        <v>231</v>
      </c>
      <c r="F62" s="39" t="s">
        <v>29</v>
      </c>
      <c r="G62" s="39" t="s">
        <v>95</v>
      </c>
      <c r="H62" s="48" t="s">
        <v>194</v>
      </c>
      <c r="I62" s="114" t="s">
        <v>175</v>
      </c>
      <c r="J62" s="131">
        <v>3</v>
      </c>
      <c r="K62" s="31"/>
      <c r="L62" s="132"/>
      <c r="M62" s="96"/>
      <c r="N62" s="96"/>
      <c r="O62" s="75"/>
      <c r="P62" s="75"/>
      <c r="Q62" s="96"/>
      <c r="R62" s="66">
        <f>646*0.02665634</f>
        <v>17.21999564</v>
      </c>
      <c r="S62" s="147"/>
      <c r="T62" s="102">
        <f>SUM(Finance[[#This Row],[Samer]:[Margins]])</f>
        <v>17.21999564</v>
      </c>
      <c r="U62" s="103">
        <f>ABS(Finance[[#This Row],[Total (EGP)]])</f>
        <v>17.21999564</v>
      </c>
      <c r="V62" s="148"/>
    </row>
    <row r="63" spans="2:22" ht="18" customHeight="1" x14ac:dyDescent="0.3">
      <c r="B63" s="139">
        <v>45687</v>
      </c>
      <c r="C63" s="140">
        <f>YEAR(Finance[[#This Row],[Date]])</f>
        <v>2025</v>
      </c>
      <c r="D63" s="141">
        <f>MONTH(Finance[[#This Row],[Date]])</f>
        <v>1</v>
      </c>
      <c r="E63" s="39" t="s">
        <v>208</v>
      </c>
      <c r="F63" s="6" t="s">
        <v>30</v>
      </c>
      <c r="G63" s="6" t="s">
        <v>88</v>
      </c>
      <c r="H63" s="134" t="s">
        <v>209</v>
      </c>
      <c r="I63" s="135" t="s">
        <v>175</v>
      </c>
      <c r="J63" s="136">
        <v>2</v>
      </c>
      <c r="K63" s="143"/>
      <c r="L63" s="144">
        <f>137*325</f>
        <v>44525</v>
      </c>
      <c r="M63" s="145"/>
      <c r="N63" s="145"/>
      <c r="O63" s="146"/>
      <c r="P63" s="146"/>
      <c r="Q63" s="145"/>
      <c r="R63" s="152"/>
      <c r="S63" s="147"/>
      <c r="T63" s="102">
        <f>SUM(Finance[[#This Row],[Samer]:[Margins]])</f>
        <v>44525</v>
      </c>
      <c r="U63" s="103">
        <f>ABS(Finance[[#This Row],[Total (EGP)]])</f>
        <v>44525</v>
      </c>
      <c r="V63" s="148"/>
    </row>
    <row r="64" spans="2:22" ht="18" customHeight="1" x14ac:dyDescent="0.3">
      <c r="B64" s="139">
        <v>45687</v>
      </c>
      <c r="C64" s="140">
        <f>YEAR(Finance[[#This Row],[Date]])</f>
        <v>2025</v>
      </c>
      <c r="D64" s="141">
        <f>MONTH(Finance[[#This Row],[Date]])</f>
        <v>1</v>
      </c>
      <c r="E64" s="126" t="s">
        <v>179</v>
      </c>
      <c r="F64" s="126" t="s">
        <v>37</v>
      </c>
      <c r="G64" s="126" t="s">
        <v>36</v>
      </c>
      <c r="H64" s="127" t="s">
        <v>181</v>
      </c>
      <c r="I64" s="128" t="s">
        <v>175</v>
      </c>
      <c r="J64" s="129">
        <v>0</v>
      </c>
      <c r="K64" s="143"/>
      <c r="L64" s="144">
        <v>-103879.6</v>
      </c>
      <c r="M64" s="145"/>
      <c r="N64" s="145"/>
      <c r="O64" s="146"/>
      <c r="P64" s="146"/>
      <c r="Q64" s="145"/>
      <c r="R64" s="152">
        <v>103879.6</v>
      </c>
      <c r="S64" s="147"/>
      <c r="T64" s="102">
        <f>SUM(Finance[[#This Row],[Samer]:[Margins]])</f>
        <v>0</v>
      </c>
      <c r="U64" s="103">
        <f>ABS(Finance[[#This Row],[Total (EGP)]])</f>
        <v>0</v>
      </c>
      <c r="V64" s="148"/>
    </row>
    <row r="65" spans="2:22" ht="18" customHeight="1" x14ac:dyDescent="0.3">
      <c r="B65" s="139">
        <v>45687</v>
      </c>
      <c r="C65" s="140">
        <f>YEAR(Finance[[#This Row],[Date]])</f>
        <v>2025</v>
      </c>
      <c r="D65" s="141">
        <f>MONTH(Finance[[#This Row],[Date]])</f>
        <v>1</v>
      </c>
      <c r="E65" s="39" t="s">
        <v>215</v>
      </c>
      <c r="F65" s="6" t="s">
        <v>34</v>
      </c>
      <c r="G65" s="6" t="s">
        <v>66</v>
      </c>
      <c r="H65" s="134" t="s">
        <v>210</v>
      </c>
      <c r="I65" s="135" t="s">
        <v>175</v>
      </c>
      <c r="J65" s="136">
        <v>1</v>
      </c>
      <c r="K65" s="31"/>
      <c r="L65" s="132">
        <f>90000*0.25</f>
        <v>22500</v>
      </c>
      <c r="M65" s="145"/>
      <c r="N65" s="145"/>
      <c r="O65" s="146"/>
      <c r="P65" s="146"/>
      <c r="Q65" s="145"/>
      <c r="R65" s="145">
        <f>37715+32327.2+29754*0.5+18093.7+25000</f>
        <v>128012.9</v>
      </c>
      <c r="S65" s="147"/>
      <c r="T65" s="102">
        <f>SUM(Finance[[#This Row],[Samer]:[Margins]])</f>
        <v>150512.9</v>
      </c>
      <c r="U65" s="103">
        <f>ABS(Finance[[#This Row],[Total (EGP)]])</f>
        <v>150512.9</v>
      </c>
      <c r="V65" s="148"/>
    </row>
    <row r="66" spans="2:22" ht="18" customHeight="1" x14ac:dyDescent="0.3">
      <c r="B66" s="139">
        <v>45687</v>
      </c>
      <c r="C66" s="140">
        <f>YEAR(Finance[[#This Row],[Date]])</f>
        <v>2025</v>
      </c>
      <c r="D66" s="141">
        <f>MONTH(Finance[[#This Row],[Date]])</f>
        <v>1</v>
      </c>
      <c r="E66" s="39" t="s">
        <v>216</v>
      </c>
      <c r="F66" s="6" t="s">
        <v>34</v>
      </c>
      <c r="G66" s="6" t="s">
        <v>66</v>
      </c>
      <c r="H66" s="134" t="s">
        <v>211</v>
      </c>
      <c r="I66" s="135" t="s">
        <v>175</v>
      </c>
      <c r="J66" s="136">
        <v>3</v>
      </c>
      <c r="K66" s="31"/>
      <c r="L66" s="132">
        <f>90000*0.3</f>
        <v>27000</v>
      </c>
      <c r="M66" s="145"/>
      <c r="N66" s="145"/>
      <c r="O66" s="146"/>
      <c r="P66" s="146"/>
      <c r="Q66" s="145"/>
      <c r="R66" s="145">
        <f>18525+19500+12500</f>
        <v>50525</v>
      </c>
      <c r="S66" s="147"/>
      <c r="T66" s="102">
        <f>SUM(Finance[[#This Row],[Samer]:[Margins]])</f>
        <v>77525</v>
      </c>
      <c r="U66" s="103">
        <f>ABS(Finance[[#This Row],[Total (EGP)]])</f>
        <v>77525</v>
      </c>
      <c r="V66" s="148"/>
    </row>
    <row r="67" spans="2:22" ht="18" customHeight="1" x14ac:dyDescent="0.3">
      <c r="B67" s="139">
        <v>45687</v>
      </c>
      <c r="C67" s="140">
        <f>YEAR(Finance[[#This Row],[Date]])</f>
        <v>2025</v>
      </c>
      <c r="D67" s="141">
        <f>MONTH(Finance[[#This Row],[Date]])</f>
        <v>1</v>
      </c>
      <c r="E67" s="39" t="s">
        <v>217</v>
      </c>
      <c r="F67" s="6" t="s">
        <v>34</v>
      </c>
      <c r="G67" s="6" t="s">
        <v>66</v>
      </c>
      <c r="H67" s="134" t="s">
        <v>212</v>
      </c>
      <c r="I67" s="135" t="s">
        <v>175</v>
      </c>
      <c r="J67" s="136">
        <v>4</v>
      </c>
      <c r="K67" s="31"/>
      <c r="L67" s="132">
        <f>90000*0.2</f>
        <v>18000</v>
      </c>
      <c r="M67" s="145"/>
      <c r="N67" s="145"/>
      <c r="O67" s="146"/>
      <c r="P67" s="146"/>
      <c r="Q67" s="145"/>
      <c r="R67" s="145">
        <f>22425+29754*0.5+19644</f>
        <v>56946</v>
      </c>
      <c r="S67" s="147"/>
      <c r="T67" s="102">
        <f>SUM(Finance[[#This Row],[Samer]:[Margins]])</f>
        <v>74946</v>
      </c>
      <c r="U67" s="103">
        <f>ABS(Finance[[#This Row],[Total (EGP)]])</f>
        <v>74946</v>
      </c>
      <c r="V67" s="148"/>
    </row>
    <row r="68" spans="2:22" ht="18" customHeight="1" x14ac:dyDescent="0.3">
      <c r="B68" s="139">
        <v>45687</v>
      </c>
      <c r="C68" s="140">
        <f>YEAR(Finance[[#This Row],[Date]])</f>
        <v>2025</v>
      </c>
      <c r="D68" s="141">
        <f>MONTH(Finance[[#This Row],[Date]])</f>
        <v>1</v>
      </c>
      <c r="E68" s="39" t="s">
        <v>218</v>
      </c>
      <c r="F68" s="6" t="s">
        <v>34</v>
      </c>
      <c r="G68" s="6" t="s">
        <v>66</v>
      </c>
      <c r="H68" s="134" t="s">
        <v>209</v>
      </c>
      <c r="I68" s="135" t="s">
        <v>175</v>
      </c>
      <c r="J68" s="136">
        <v>2</v>
      </c>
      <c r="K68" s="31"/>
      <c r="L68" s="132">
        <f>90000*0.25</f>
        <v>22500</v>
      </c>
      <c r="M68" s="145"/>
      <c r="N68" s="145"/>
      <c r="O68" s="146"/>
      <c r="P68" s="146"/>
      <c r="Q68" s="145"/>
      <c r="R68" s="145">
        <f>38000+17000+17000</f>
        <v>72000</v>
      </c>
      <c r="S68" s="147"/>
      <c r="T68" s="102">
        <f>SUM(Finance[[#This Row],[Samer]:[Margins]])</f>
        <v>94500</v>
      </c>
      <c r="U68" s="103">
        <f>ABS(Finance[[#This Row],[Total (EGP)]])</f>
        <v>94500</v>
      </c>
      <c r="V68" s="148"/>
    </row>
    <row r="69" spans="2:22" ht="18" customHeight="1" x14ac:dyDescent="0.3">
      <c r="B69" s="139">
        <v>45687</v>
      </c>
      <c r="C69" s="140">
        <f>YEAR(Finance[[#This Row],[Date]])</f>
        <v>2025</v>
      </c>
      <c r="D69" s="141">
        <f>MONTH(Finance[[#This Row],[Date]])</f>
        <v>1</v>
      </c>
      <c r="E69" s="39" t="s">
        <v>219</v>
      </c>
      <c r="F69" s="39" t="s">
        <v>29</v>
      </c>
      <c r="G69" s="39" t="s">
        <v>213</v>
      </c>
      <c r="H69" s="48" t="s">
        <v>214</v>
      </c>
      <c r="I69" s="114" t="s">
        <v>175</v>
      </c>
      <c r="J69" s="131">
        <v>3</v>
      </c>
      <c r="K69" s="31"/>
      <c r="L69" s="132">
        <v>-311</v>
      </c>
      <c r="M69" s="145"/>
      <c r="N69" s="145"/>
      <c r="O69" s="146"/>
      <c r="P69" s="146"/>
      <c r="Q69" s="145"/>
      <c r="R69" s="145">
        <f>-311*10-691</f>
        <v>-3801</v>
      </c>
      <c r="S69" s="147"/>
      <c r="T69" s="102">
        <f>SUM(Finance[[#This Row],[Samer]:[Margins]])</f>
        <v>-4112</v>
      </c>
      <c r="U69" s="103">
        <f>ABS(Finance[[#This Row],[Total (EGP)]])</f>
        <v>4112</v>
      </c>
      <c r="V69" s="148"/>
    </row>
    <row r="70" spans="2:22" ht="18" customHeight="1" x14ac:dyDescent="0.3">
      <c r="B70" s="139">
        <v>45687</v>
      </c>
      <c r="C70" s="140">
        <f>YEAR(Finance[[#This Row],[Date]])</f>
        <v>2025</v>
      </c>
      <c r="D70" s="141">
        <f>MONTH(Finance[[#This Row],[Date]])</f>
        <v>1</v>
      </c>
      <c r="E70" s="6" t="s">
        <v>220</v>
      </c>
      <c r="F70" s="6" t="s">
        <v>34</v>
      </c>
      <c r="G70" s="6" t="s">
        <v>66</v>
      </c>
      <c r="H70" s="134" t="s">
        <v>209</v>
      </c>
      <c r="I70" s="114" t="s">
        <v>175</v>
      </c>
      <c r="J70" s="136">
        <v>2</v>
      </c>
      <c r="K70" s="143"/>
      <c r="L70" s="144">
        <v>8000</v>
      </c>
      <c r="M70" s="145"/>
      <c r="N70" s="145"/>
      <c r="O70" s="146"/>
      <c r="P70" s="146"/>
      <c r="Q70" s="145"/>
      <c r="R70" s="145"/>
      <c r="S70" s="147"/>
      <c r="T70" s="102">
        <f>SUM(Finance[[#This Row],[Samer]:[Margins]])</f>
        <v>8000</v>
      </c>
      <c r="U70" s="103">
        <f>ABS(Finance[[#This Row],[Total (EGP)]])</f>
        <v>8000</v>
      </c>
      <c r="V70" s="148"/>
    </row>
    <row r="71" spans="2:22" ht="18" customHeight="1" x14ac:dyDescent="0.3">
      <c r="B71" s="139">
        <v>45687</v>
      </c>
      <c r="C71" s="140">
        <f>YEAR(Finance[[#This Row],[Date]])</f>
        <v>2025</v>
      </c>
      <c r="D71" s="141">
        <f>MONTH(Finance[[#This Row],[Date]])</f>
        <v>1</v>
      </c>
      <c r="E71" s="126" t="s">
        <v>229</v>
      </c>
      <c r="F71" s="6" t="s">
        <v>34</v>
      </c>
      <c r="G71" s="6" t="s">
        <v>66</v>
      </c>
      <c r="H71" s="134" t="s">
        <v>209</v>
      </c>
      <c r="I71" s="114" t="s">
        <v>175</v>
      </c>
      <c r="J71" s="136">
        <v>2</v>
      </c>
      <c r="K71" s="143"/>
      <c r="L71" s="144">
        <v>6190.6</v>
      </c>
      <c r="M71" s="145"/>
      <c r="N71" s="145"/>
      <c r="O71" s="146"/>
      <c r="P71" s="146"/>
      <c r="Q71" s="145"/>
      <c r="R71" s="145"/>
      <c r="S71" s="147"/>
      <c r="T71" s="102">
        <f>SUM(Finance[[#This Row],[Samer]:[Margins]])</f>
        <v>6190.6</v>
      </c>
      <c r="U71" s="103">
        <f>ABS(Finance[[#This Row],[Total (EGP)]])</f>
        <v>6190.6</v>
      </c>
      <c r="V71" s="148"/>
    </row>
    <row r="72" spans="2:22" ht="18" customHeight="1" x14ac:dyDescent="0.3">
      <c r="B72" s="139">
        <v>45687</v>
      </c>
      <c r="C72" s="140">
        <f>YEAR(Finance[[#This Row],[Date]])</f>
        <v>2025</v>
      </c>
      <c r="D72" s="141">
        <f>MONTH(Finance[[#This Row],[Date]])</f>
        <v>1</v>
      </c>
      <c r="E72" s="6" t="s">
        <v>254</v>
      </c>
      <c r="F72" s="39" t="s">
        <v>29</v>
      </c>
      <c r="G72" s="39" t="s">
        <v>55</v>
      </c>
      <c r="H72" s="48" t="s">
        <v>257</v>
      </c>
      <c r="I72" s="114" t="s">
        <v>175</v>
      </c>
      <c r="J72" s="131">
        <v>3</v>
      </c>
      <c r="K72" s="143"/>
      <c r="L72" s="144"/>
      <c r="M72" s="145"/>
      <c r="N72" s="145"/>
      <c r="O72" s="146"/>
      <c r="P72" s="146"/>
      <c r="Q72" s="145"/>
      <c r="R72" s="145"/>
      <c r="S72" s="147">
        <v>5255.35</v>
      </c>
      <c r="T72" s="102">
        <f>SUM(Finance[[#This Row],[Samer]:[Margins]])</f>
        <v>5255.35</v>
      </c>
      <c r="U72" s="103">
        <f>ABS(Finance[[#This Row],[Total (EGP)]])</f>
        <v>5255.35</v>
      </c>
      <c r="V72" s="148"/>
    </row>
    <row r="73" spans="2:22" ht="18" customHeight="1" x14ac:dyDescent="0.3">
      <c r="B73" s="139">
        <v>45687</v>
      </c>
      <c r="C73" s="140">
        <f>YEAR(Finance[[#This Row],[Date]])</f>
        <v>2025</v>
      </c>
      <c r="D73" s="141">
        <f>MONTH(Finance[[#This Row],[Date]])</f>
        <v>1</v>
      </c>
      <c r="E73" s="6" t="s">
        <v>101</v>
      </c>
      <c r="F73" s="39" t="s">
        <v>29</v>
      </c>
      <c r="G73" s="6" t="s">
        <v>101</v>
      </c>
      <c r="H73" s="134" t="s">
        <v>74</v>
      </c>
      <c r="I73" s="135" t="s">
        <v>175</v>
      </c>
      <c r="J73" s="136">
        <v>3</v>
      </c>
      <c r="K73" s="143"/>
      <c r="L73" s="144"/>
      <c r="M73" s="145"/>
      <c r="N73" s="145"/>
      <c r="O73" s="146"/>
      <c r="P73" s="146"/>
      <c r="Q73" s="145"/>
      <c r="R73" s="145"/>
      <c r="S73" s="147">
        <v>112</v>
      </c>
      <c r="T73" s="102">
        <f>SUM(Finance[[#This Row],[Samer]:[Margins]])</f>
        <v>112</v>
      </c>
      <c r="U73" s="103">
        <f>ABS(Finance[[#This Row],[Total (EGP)]])</f>
        <v>112</v>
      </c>
      <c r="V73" s="148"/>
    </row>
    <row r="74" spans="2:22" ht="18" customHeight="1" x14ac:dyDescent="0.3">
      <c r="B74" s="139">
        <v>45687</v>
      </c>
      <c r="C74" s="140">
        <f>YEAR(Finance[[#This Row],[Date]])</f>
        <v>2025</v>
      </c>
      <c r="D74" s="141">
        <f>MONTH(Finance[[#This Row],[Date]])</f>
        <v>1</v>
      </c>
      <c r="E74" s="6" t="s">
        <v>32</v>
      </c>
      <c r="F74" s="39" t="s">
        <v>29</v>
      </c>
      <c r="G74" s="6" t="s">
        <v>32</v>
      </c>
      <c r="H74" s="134" t="s">
        <v>142</v>
      </c>
      <c r="I74" s="135" t="s">
        <v>175</v>
      </c>
      <c r="J74" s="136">
        <v>3</v>
      </c>
      <c r="K74" s="143"/>
      <c r="L74" s="144"/>
      <c r="M74" s="145"/>
      <c r="N74" s="145"/>
      <c r="O74" s="146"/>
      <c r="P74" s="146"/>
      <c r="Q74" s="145"/>
      <c r="R74" s="145"/>
      <c r="S74" s="147">
        <v>147</v>
      </c>
      <c r="T74" s="102">
        <f>SUM(Finance[[#This Row],[Samer]:[Margins]])</f>
        <v>147</v>
      </c>
      <c r="U74" s="103">
        <f>ABS(Finance[[#This Row],[Total (EGP)]])</f>
        <v>147</v>
      </c>
      <c r="V74" s="148"/>
    </row>
    <row r="75" spans="2:22" ht="18" customHeight="1" x14ac:dyDescent="0.3">
      <c r="B75" s="139">
        <v>45689</v>
      </c>
      <c r="C75" s="140">
        <f>YEAR(Finance[[#This Row],[Date]])</f>
        <v>2025</v>
      </c>
      <c r="D75" s="141">
        <f>MONTH(Finance[[#This Row],[Date]])</f>
        <v>2</v>
      </c>
      <c r="E75" s="39" t="s">
        <v>282</v>
      </c>
      <c r="F75" s="39" t="s">
        <v>30</v>
      </c>
      <c r="G75" s="39" t="s">
        <v>127</v>
      </c>
      <c r="H75" s="130" t="s">
        <v>176</v>
      </c>
      <c r="I75" s="114" t="s">
        <v>177</v>
      </c>
      <c r="J75" s="131">
        <v>1</v>
      </c>
      <c r="K75" s="31"/>
      <c r="L75" s="132">
        <f>57*51.36*1.25</f>
        <v>3659.4</v>
      </c>
      <c r="M75" s="145"/>
      <c r="N75" s="145"/>
      <c r="O75" s="146"/>
      <c r="P75" s="146"/>
      <c r="Q75" s="145"/>
      <c r="R75" s="145"/>
      <c r="S75" s="147"/>
      <c r="T75" s="102">
        <f>SUM(Finance[[#This Row],[Samer]:[Margins]])</f>
        <v>3659.4</v>
      </c>
      <c r="U75" s="103">
        <f>ABS(Finance[[#This Row],[Total (EGP)]])</f>
        <v>3659.4</v>
      </c>
      <c r="V75" s="148"/>
    </row>
    <row r="76" spans="2:22" ht="18" customHeight="1" x14ac:dyDescent="0.3">
      <c r="B76" s="168">
        <v>45689</v>
      </c>
      <c r="C76" s="169">
        <f>YEAR(Finance[[#This Row],[Date]])</f>
        <v>2025</v>
      </c>
      <c r="D76" s="170">
        <f>MONTH(Finance[[#This Row],[Date]])</f>
        <v>2</v>
      </c>
      <c r="E76" s="39" t="s">
        <v>396</v>
      </c>
      <c r="F76" s="39" t="s">
        <v>30</v>
      </c>
      <c r="G76" s="39" t="s">
        <v>109</v>
      </c>
      <c r="H76" s="130" t="s">
        <v>176</v>
      </c>
      <c r="I76" s="114" t="s">
        <v>177</v>
      </c>
      <c r="J76" s="131">
        <v>1</v>
      </c>
      <c r="K76" s="175"/>
      <c r="L76" s="176">
        <f>17.66*2*50.36*1.05</f>
        <v>1867.6509600000002</v>
      </c>
      <c r="M76" s="177"/>
      <c r="N76" s="177"/>
      <c r="O76" s="178"/>
      <c r="P76" s="178"/>
      <c r="Q76" s="177"/>
      <c r="R76" s="177"/>
      <c r="S76" s="179"/>
      <c r="T76" s="102">
        <f>SUM(Finance[[#This Row],[Samer]:[Margins]])</f>
        <v>1867.6509600000002</v>
      </c>
      <c r="U76" s="103">
        <f>ABS(Finance[[#This Row],[Total (EGP)]])</f>
        <v>1867.6509600000002</v>
      </c>
      <c r="V76" s="180"/>
    </row>
    <row r="77" spans="2:22" ht="18" customHeight="1" x14ac:dyDescent="0.3">
      <c r="B77" s="139">
        <v>45690</v>
      </c>
      <c r="C77" s="140">
        <f>YEAR(Finance[[#This Row],[Date]])</f>
        <v>2025</v>
      </c>
      <c r="D77" s="141">
        <f>MONTH(Finance[[#This Row],[Date]])</f>
        <v>2</v>
      </c>
      <c r="E77" s="126" t="s">
        <v>262</v>
      </c>
      <c r="F77" s="126" t="s">
        <v>37</v>
      </c>
      <c r="G77" s="126" t="s">
        <v>36</v>
      </c>
      <c r="H77" s="127" t="s">
        <v>206</v>
      </c>
      <c r="I77" s="128" t="s">
        <v>175</v>
      </c>
      <c r="J77" s="129">
        <v>0</v>
      </c>
      <c r="K77" s="143"/>
      <c r="L77" s="144">
        <v>4000</v>
      </c>
      <c r="M77" s="145"/>
      <c r="N77" s="145"/>
      <c r="O77" s="146"/>
      <c r="P77" s="146"/>
      <c r="Q77" s="145"/>
      <c r="R77" s="145"/>
      <c r="S77" s="147">
        <v>-4000</v>
      </c>
      <c r="T77" s="102">
        <f>SUM(Finance[[#This Row],[Samer]:[Margins]])</f>
        <v>0</v>
      </c>
      <c r="U77" s="103">
        <f>ABS(Finance[[#This Row],[Total (EGP)]])</f>
        <v>0</v>
      </c>
      <c r="V77" s="148"/>
    </row>
    <row r="78" spans="2:22" ht="18" customHeight="1" x14ac:dyDescent="0.3">
      <c r="B78" s="154">
        <v>45690</v>
      </c>
      <c r="C78" s="155">
        <f>YEAR(Finance[[#This Row],[Date]])</f>
        <v>2025</v>
      </c>
      <c r="D78" s="156">
        <f>MONTH(Finance[[#This Row],[Date]])</f>
        <v>2</v>
      </c>
      <c r="E78" s="39" t="s">
        <v>261</v>
      </c>
      <c r="F78" s="6" t="s">
        <v>29</v>
      </c>
      <c r="G78" s="6" t="s">
        <v>111</v>
      </c>
      <c r="H78" s="134" t="s">
        <v>259</v>
      </c>
      <c r="I78" s="135" t="s">
        <v>175</v>
      </c>
      <c r="J78" s="136">
        <v>3</v>
      </c>
      <c r="K78" s="162"/>
      <c r="L78" s="163"/>
      <c r="M78" s="164"/>
      <c r="N78" s="164"/>
      <c r="O78" s="165"/>
      <c r="P78" s="165"/>
      <c r="Q78" s="145"/>
      <c r="R78" s="164"/>
      <c r="S78" s="166">
        <v>17</v>
      </c>
      <c r="T78" s="102">
        <f>SUM(Finance[[#This Row],[Samer]:[Margins]])</f>
        <v>17</v>
      </c>
      <c r="U78" s="103">
        <f>ABS(Finance[[#This Row],[Total (EGP)]])</f>
        <v>17</v>
      </c>
      <c r="V78" s="167"/>
    </row>
    <row r="79" spans="2:22" ht="18" customHeight="1" x14ac:dyDescent="0.3">
      <c r="B79" s="168">
        <v>45690</v>
      </c>
      <c r="C79" s="169">
        <f>YEAR(Finance[[#This Row],[Date]])</f>
        <v>2025</v>
      </c>
      <c r="D79" s="170">
        <f>MONTH(Finance[[#This Row],[Date]])</f>
        <v>2</v>
      </c>
      <c r="E79" s="171" t="s">
        <v>262</v>
      </c>
      <c r="F79" s="172" t="s">
        <v>37</v>
      </c>
      <c r="G79" s="172" t="s">
        <v>36</v>
      </c>
      <c r="H79" s="173" t="s">
        <v>206</v>
      </c>
      <c r="I79" s="181" t="s">
        <v>175</v>
      </c>
      <c r="J79" s="174">
        <v>0</v>
      </c>
      <c r="K79" s="175"/>
      <c r="L79" s="176">
        <v>1000</v>
      </c>
      <c r="M79" s="177"/>
      <c r="N79" s="177"/>
      <c r="O79" s="178"/>
      <c r="P79" s="178"/>
      <c r="Q79" s="177"/>
      <c r="R79" s="177"/>
      <c r="S79" s="179">
        <v>-1000</v>
      </c>
      <c r="T79" s="102">
        <f>SUM(Finance[[#This Row],[Samer]:[Margins]])</f>
        <v>0</v>
      </c>
      <c r="U79" s="103">
        <f>ABS(Finance[[#This Row],[Total (EGP)]])</f>
        <v>0</v>
      </c>
      <c r="V79" s="180"/>
    </row>
    <row r="80" spans="2:22" ht="18" customHeight="1" x14ac:dyDescent="0.3">
      <c r="B80" s="168">
        <v>45690</v>
      </c>
      <c r="C80" s="169">
        <f>YEAR(Finance[[#This Row],[Date]])</f>
        <v>2025</v>
      </c>
      <c r="D80" s="170">
        <f>MONTH(Finance[[#This Row],[Date]])</f>
        <v>2</v>
      </c>
      <c r="E80" s="6" t="s">
        <v>389</v>
      </c>
      <c r="F80" s="39" t="s">
        <v>29</v>
      </c>
      <c r="G80" s="6" t="s">
        <v>56</v>
      </c>
      <c r="H80" s="48" t="s">
        <v>142</v>
      </c>
      <c r="I80" s="135" t="s">
        <v>175</v>
      </c>
      <c r="J80" s="131">
        <v>3</v>
      </c>
      <c r="K80" s="175"/>
      <c r="L80" s="176"/>
      <c r="M80" s="177"/>
      <c r="N80" s="177"/>
      <c r="O80" s="178"/>
      <c r="P80" s="178"/>
      <c r="Q80" s="177"/>
      <c r="R80" s="177"/>
      <c r="S80" s="179">
        <v>1000</v>
      </c>
      <c r="T80" s="102">
        <f>SUM(Finance[[#This Row],[Samer]:[Margins]])</f>
        <v>1000</v>
      </c>
      <c r="U80" s="103">
        <f>ABS(Finance[[#This Row],[Total (EGP)]])</f>
        <v>1000</v>
      </c>
      <c r="V80" s="180"/>
    </row>
    <row r="81" spans="2:22" ht="18" customHeight="1" x14ac:dyDescent="0.3">
      <c r="B81" s="154">
        <v>45691</v>
      </c>
      <c r="C81" s="155">
        <f>YEAR(Finance[[#This Row],[Date]])</f>
        <v>2025</v>
      </c>
      <c r="D81" s="156">
        <f>MONTH(Finance[[#This Row],[Date]])</f>
        <v>2</v>
      </c>
      <c r="E81" s="6" t="s">
        <v>167</v>
      </c>
      <c r="F81" s="6" t="s">
        <v>29</v>
      </c>
      <c r="G81" s="6" t="s">
        <v>55</v>
      </c>
      <c r="H81" s="134" t="s">
        <v>258</v>
      </c>
      <c r="I81" s="135" t="s">
        <v>175</v>
      </c>
      <c r="J81" s="136">
        <v>3</v>
      </c>
      <c r="K81" s="162"/>
      <c r="L81" s="163"/>
      <c r="M81" s="164"/>
      <c r="N81" s="164"/>
      <c r="O81" s="165"/>
      <c r="P81" s="165"/>
      <c r="Q81" s="145"/>
      <c r="R81" s="164"/>
      <c r="S81" s="166">
        <v>115</v>
      </c>
      <c r="T81" s="102">
        <f>SUM(Finance[[#This Row],[Samer]:[Margins]])</f>
        <v>115</v>
      </c>
      <c r="U81" s="103">
        <f>ABS(Finance[[#This Row],[Total (EGP)]])</f>
        <v>115</v>
      </c>
      <c r="V81" s="167"/>
    </row>
    <row r="82" spans="2:22" ht="18" customHeight="1" x14ac:dyDescent="0.3">
      <c r="B82" s="139">
        <v>45692</v>
      </c>
      <c r="C82" s="140">
        <f>YEAR(Finance[[#This Row],[Date]])</f>
        <v>2025</v>
      </c>
      <c r="D82" s="141">
        <f>MONTH(Finance[[#This Row],[Date]])</f>
        <v>2</v>
      </c>
      <c r="E82" s="6" t="s">
        <v>263</v>
      </c>
      <c r="F82" s="6" t="s">
        <v>73</v>
      </c>
      <c r="G82" s="6" t="s">
        <v>75</v>
      </c>
      <c r="H82" s="134" t="s">
        <v>234</v>
      </c>
      <c r="I82" s="135" t="s">
        <v>177</v>
      </c>
      <c r="J82" s="136">
        <v>4</v>
      </c>
      <c r="K82" s="143"/>
      <c r="L82" s="144"/>
      <c r="M82" s="145"/>
      <c r="N82" s="145"/>
      <c r="O82" s="146"/>
      <c r="P82" s="146"/>
      <c r="Q82" s="145">
        <v>-12067.69</v>
      </c>
      <c r="R82" s="145"/>
      <c r="S82" s="147"/>
      <c r="T82" s="102">
        <f>SUM(Finance[[#This Row],[Samer]:[Margins]])</f>
        <v>-12067.69</v>
      </c>
      <c r="U82" s="103">
        <f>ABS(Finance[[#This Row],[Total (EGP)]])</f>
        <v>12067.69</v>
      </c>
      <c r="V82" s="148"/>
    </row>
    <row r="83" spans="2:22" ht="18" customHeight="1" x14ac:dyDescent="0.3">
      <c r="B83" s="139">
        <v>45692</v>
      </c>
      <c r="C83" s="140">
        <f>YEAR(Finance[[#This Row],[Date]])</f>
        <v>2025</v>
      </c>
      <c r="D83" s="141">
        <f>MONTH(Finance[[#This Row],[Date]])</f>
        <v>2</v>
      </c>
      <c r="E83" s="6" t="s">
        <v>237</v>
      </c>
      <c r="F83" s="6" t="s">
        <v>73</v>
      </c>
      <c r="G83" s="6" t="s">
        <v>75</v>
      </c>
      <c r="H83" s="134" t="s">
        <v>90</v>
      </c>
      <c r="I83" s="135" t="s">
        <v>177</v>
      </c>
      <c r="J83" s="136">
        <v>4</v>
      </c>
      <c r="K83" s="143"/>
      <c r="L83" s="144"/>
      <c r="M83" s="145"/>
      <c r="N83" s="145"/>
      <c r="O83" s="146"/>
      <c r="P83" s="146"/>
      <c r="Q83" s="145">
        <f>-12067.69*0.14</f>
        <v>-1689.4766000000002</v>
      </c>
      <c r="R83" s="145"/>
      <c r="S83" s="147"/>
      <c r="T83" s="102">
        <f>SUM(Finance[[#This Row],[Samer]:[Margins]])</f>
        <v>-1689.4766000000002</v>
      </c>
      <c r="U83" s="103">
        <f>ABS(Finance[[#This Row],[Total (EGP)]])</f>
        <v>1689.4766000000002</v>
      </c>
      <c r="V83" s="148"/>
    </row>
    <row r="84" spans="2:22" ht="18" customHeight="1" x14ac:dyDescent="0.3">
      <c r="B84" s="139">
        <v>45692</v>
      </c>
      <c r="C84" s="140">
        <f>YEAR(Finance[[#This Row],[Date]])</f>
        <v>2025</v>
      </c>
      <c r="D84" s="141">
        <f>MONTH(Finance[[#This Row],[Date]])</f>
        <v>2</v>
      </c>
      <c r="E84" s="6" t="s">
        <v>238</v>
      </c>
      <c r="F84" s="6" t="s">
        <v>84</v>
      </c>
      <c r="G84" s="6" t="s">
        <v>86</v>
      </c>
      <c r="H84" s="134" t="s">
        <v>234</v>
      </c>
      <c r="I84" s="135" t="s">
        <v>177</v>
      </c>
      <c r="J84" s="136">
        <v>4</v>
      </c>
      <c r="K84" s="143"/>
      <c r="L84" s="144"/>
      <c r="M84" s="145"/>
      <c r="N84" s="145"/>
      <c r="O84" s="146"/>
      <c r="P84" s="146"/>
      <c r="Q84" s="145">
        <f>12067.69*0.03</f>
        <v>362.03070000000002</v>
      </c>
      <c r="R84" s="145"/>
      <c r="S84" s="147"/>
      <c r="T84" s="102">
        <f>SUM(Finance[[#This Row],[Samer]:[Margins]])</f>
        <v>362.03070000000002</v>
      </c>
      <c r="U84" s="103">
        <f>ABS(Finance[[#This Row],[Total (EGP)]])</f>
        <v>362.03070000000002</v>
      </c>
      <c r="V84" s="148"/>
    </row>
    <row r="85" spans="2:22" ht="18" customHeight="1" x14ac:dyDescent="0.3">
      <c r="B85" s="139">
        <v>45692</v>
      </c>
      <c r="C85" s="140">
        <f>YEAR(Finance[[#This Row],[Date]])</f>
        <v>2025</v>
      </c>
      <c r="D85" s="141">
        <f>MONTH(Finance[[#This Row],[Date]])</f>
        <v>2</v>
      </c>
      <c r="E85" s="6" t="s">
        <v>264</v>
      </c>
      <c r="F85" s="6" t="s">
        <v>73</v>
      </c>
      <c r="G85" s="6" t="s">
        <v>233</v>
      </c>
      <c r="H85" s="134" t="s">
        <v>234</v>
      </c>
      <c r="I85" s="135" t="s">
        <v>235</v>
      </c>
      <c r="J85" s="136">
        <v>1</v>
      </c>
      <c r="K85" s="143"/>
      <c r="L85" s="144"/>
      <c r="M85" s="145"/>
      <c r="N85" s="145"/>
      <c r="O85" s="146"/>
      <c r="P85" s="146"/>
      <c r="Q85" s="145">
        <v>-41713.230000000003</v>
      </c>
      <c r="R85" s="145"/>
      <c r="S85" s="147"/>
      <c r="T85" s="102">
        <f>SUM(Finance[[#This Row],[Samer]:[Margins]])</f>
        <v>-41713.230000000003</v>
      </c>
      <c r="U85" s="103">
        <f>ABS(Finance[[#This Row],[Total (EGP)]])</f>
        <v>41713.230000000003</v>
      </c>
      <c r="V85" s="148"/>
    </row>
    <row r="86" spans="2:22" ht="18" customHeight="1" x14ac:dyDescent="0.3">
      <c r="B86" s="139">
        <v>45692</v>
      </c>
      <c r="C86" s="140">
        <f>YEAR(Finance[[#This Row],[Date]])</f>
        <v>2025</v>
      </c>
      <c r="D86" s="141">
        <f>MONTH(Finance[[#This Row],[Date]])</f>
        <v>2</v>
      </c>
      <c r="E86" s="6" t="s">
        <v>237</v>
      </c>
      <c r="F86" s="6" t="s">
        <v>73</v>
      </c>
      <c r="G86" s="126" t="s">
        <v>233</v>
      </c>
      <c r="H86" s="127" t="s">
        <v>90</v>
      </c>
      <c r="I86" s="135" t="s">
        <v>235</v>
      </c>
      <c r="J86" s="129">
        <v>1</v>
      </c>
      <c r="K86" s="143"/>
      <c r="L86" s="144"/>
      <c r="M86" s="145"/>
      <c r="N86" s="145"/>
      <c r="O86" s="146"/>
      <c r="P86" s="146"/>
      <c r="Q86" s="145">
        <f>-484663.46*0.14</f>
        <v>-67852.88440000001</v>
      </c>
      <c r="R86" s="145"/>
      <c r="S86" s="147"/>
      <c r="T86" s="102">
        <f>SUM(Finance[[#This Row],[Samer]:[Margins]])</f>
        <v>-67852.88440000001</v>
      </c>
      <c r="U86" s="103">
        <f>ABS(Finance[[#This Row],[Total (EGP)]])</f>
        <v>67852.88440000001</v>
      </c>
      <c r="V86" s="148"/>
    </row>
    <row r="87" spans="2:22" ht="18" customHeight="1" x14ac:dyDescent="0.3">
      <c r="B87" s="139">
        <v>45692</v>
      </c>
      <c r="C87" s="140">
        <f>YEAR(Finance[[#This Row],[Date]])</f>
        <v>2025</v>
      </c>
      <c r="D87" s="141">
        <f>MONTH(Finance[[#This Row],[Date]])</f>
        <v>2</v>
      </c>
      <c r="E87" s="6" t="s">
        <v>238</v>
      </c>
      <c r="F87" s="6" t="s">
        <v>84</v>
      </c>
      <c r="G87" s="6" t="s">
        <v>86</v>
      </c>
      <c r="H87" s="134" t="s">
        <v>234</v>
      </c>
      <c r="I87" s="135" t="s">
        <v>235</v>
      </c>
      <c r="J87" s="129">
        <v>1</v>
      </c>
      <c r="K87" s="143"/>
      <c r="L87" s="144"/>
      <c r="M87" s="145"/>
      <c r="N87" s="145"/>
      <c r="O87" s="146"/>
      <c r="P87" s="146"/>
      <c r="Q87" s="145">
        <f>484663.46*0.03</f>
        <v>14539.9038</v>
      </c>
      <c r="R87" s="145"/>
      <c r="S87" s="147"/>
      <c r="T87" s="102">
        <f>SUM(Finance[[#This Row],[Samer]:[Margins]])</f>
        <v>14539.9038</v>
      </c>
      <c r="U87" s="103">
        <f>ABS(Finance[[#This Row],[Total (EGP)]])</f>
        <v>14539.9038</v>
      </c>
      <c r="V87" s="148"/>
    </row>
    <row r="88" spans="2:22" ht="18" customHeight="1" x14ac:dyDescent="0.3">
      <c r="B88" s="139">
        <v>45692</v>
      </c>
      <c r="C88" s="140">
        <f>YEAR(Finance[[#This Row],[Date]])</f>
        <v>2025</v>
      </c>
      <c r="D88" s="141">
        <f>MONTH(Finance[[#This Row],[Date]])</f>
        <v>2</v>
      </c>
      <c r="E88" s="6" t="s">
        <v>265</v>
      </c>
      <c r="F88" s="6" t="s">
        <v>73</v>
      </c>
      <c r="G88" s="6" t="s">
        <v>233</v>
      </c>
      <c r="H88" s="134" t="s">
        <v>234</v>
      </c>
      <c r="I88" s="135" t="s">
        <v>235</v>
      </c>
      <c r="J88" s="136">
        <v>1</v>
      </c>
      <c r="K88" s="143"/>
      <c r="L88" s="144"/>
      <c r="M88" s="145"/>
      <c r="N88" s="145"/>
      <c r="O88" s="146"/>
      <c r="P88" s="146"/>
      <c r="Q88" s="145">
        <f>-141578.65</f>
        <v>-141578.65</v>
      </c>
      <c r="R88" s="145"/>
      <c r="S88" s="147"/>
      <c r="T88" s="102">
        <f>SUM(Finance[[#This Row],[Samer]:[Margins]])</f>
        <v>-141578.65</v>
      </c>
      <c r="U88" s="103">
        <f>ABS(Finance[[#This Row],[Total (EGP)]])</f>
        <v>141578.65</v>
      </c>
      <c r="V88" s="148"/>
    </row>
    <row r="89" spans="2:22" ht="18" customHeight="1" x14ac:dyDescent="0.3">
      <c r="B89" s="139">
        <v>45692</v>
      </c>
      <c r="C89" s="140">
        <f>YEAR(Finance[[#This Row],[Date]])</f>
        <v>2025</v>
      </c>
      <c r="D89" s="141">
        <f>MONTH(Finance[[#This Row],[Date]])</f>
        <v>2</v>
      </c>
      <c r="E89" s="126" t="s">
        <v>240</v>
      </c>
      <c r="F89" s="126" t="s">
        <v>37</v>
      </c>
      <c r="G89" s="126" t="s">
        <v>36</v>
      </c>
      <c r="H89" s="127" t="s">
        <v>181</v>
      </c>
      <c r="I89" s="128" t="s">
        <v>175</v>
      </c>
      <c r="J89" s="129">
        <v>0</v>
      </c>
      <c r="K89" s="143"/>
      <c r="L89" s="144"/>
      <c r="M89" s="145"/>
      <c r="N89" s="145"/>
      <c r="O89" s="146"/>
      <c r="P89" s="146"/>
      <c r="Q89" s="145">
        <v>250000</v>
      </c>
      <c r="R89" s="145">
        <v>-250000</v>
      </c>
      <c r="S89" s="147"/>
      <c r="T89" s="102">
        <f>SUM(Finance[[#This Row],[Samer]:[Margins]])</f>
        <v>0</v>
      </c>
      <c r="U89" s="103">
        <f>ABS(Finance[[#This Row],[Total (EGP)]])</f>
        <v>0</v>
      </c>
      <c r="V89" s="148"/>
    </row>
    <row r="90" spans="2:22" ht="18" customHeight="1" x14ac:dyDescent="0.3">
      <c r="B90" s="139">
        <v>45693</v>
      </c>
      <c r="C90" s="140">
        <f>YEAR(Finance[[#This Row],[Date]])</f>
        <v>2025</v>
      </c>
      <c r="D90" s="141">
        <f>MONTH(Finance[[#This Row],[Date]])</f>
        <v>2</v>
      </c>
      <c r="E90" s="19" t="s">
        <v>277</v>
      </c>
      <c r="F90" s="6" t="s">
        <v>73</v>
      </c>
      <c r="G90" s="6" t="s">
        <v>75</v>
      </c>
      <c r="H90" s="134" t="s">
        <v>234</v>
      </c>
      <c r="I90" s="135" t="s">
        <v>185</v>
      </c>
      <c r="J90" s="136">
        <v>4</v>
      </c>
      <c r="K90" s="143"/>
      <c r="L90" s="144"/>
      <c r="M90" s="145"/>
      <c r="N90" s="145"/>
      <c r="O90" s="146"/>
      <c r="P90" s="146"/>
      <c r="Q90" s="145"/>
      <c r="R90" s="145">
        <v>-15376.29</v>
      </c>
      <c r="S90" s="147"/>
      <c r="T90" s="102">
        <f>SUM(Finance[[#This Row],[Samer]:[Margins]])</f>
        <v>-15376.29</v>
      </c>
      <c r="U90" s="103">
        <f>ABS(Finance[[#This Row],[Total (EGP)]])</f>
        <v>15376.29</v>
      </c>
      <c r="V90" s="148"/>
    </row>
    <row r="91" spans="2:22" ht="18" customHeight="1" x14ac:dyDescent="0.3">
      <c r="B91" s="139">
        <v>45693</v>
      </c>
      <c r="C91" s="140">
        <f>YEAR(Finance[[#This Row],[Date]])</f>
        <v>2025</v>
      </c>
      <c r="D91" s="141">
        <f>MONTH(Finance[[#This Row],[Date]])</f>
        <v>2</v>
      </c>
      <c r="E91" s="19" t="s">
        <v>270</v>
      </c>
      <c r="F91" s="6" t="s">
        <v>73</v>
      </c>
      <c r="G91" s="6" t="s">
        <v>75</v>
      </c>
      <c r="H91" s="134" t="s">
        <v>90</v>
      </c>
      <c r="I91" s="135" t="s">
        <v>185</v>
      </c>
      <c r="J91" s="136">
        <v>4</v>
      </c>
      <c r="K91" s="143"/>
      <c r="L91" s="144"/>
      <c r="M91" s="145"/>
      <c r="N91" s="145"/>
      <c r="O91" s="146"/>
      <c r="P91" s="146"/>
      <c r="Q91" s="145"/>
      <c r="R91" s="145">
        <f>-15376.29*0.14</f>
        <v>-2152.6806000000001</v>
      </c>
      <c r="S91" s="147"/>
      <c r="T91" s="102">
        <f>SUM(Finance[[#This Row],[Samer]:[Margins]])</f>
        <v>-2152.6806000000001</v>
      </c>
      <c r="U91" s="103">
        <f>ABS(Finance[[#This Row],[Total (EGP)]])</f>
        <v>2152.6806000000001</v>
      </c>
      <c r="V91" s="148"/>
    </row>
    <row r="92" spans="2:22" ht="18" customHeight="1" x14ac:dyDescent="0.3">
      <c r="B92" s="139">
        <v>45693</v>
      </c>
      <c r="C92" s="140">
        <f>YEAR(Finance[[#This Row],[Date]])</f>
        <v>2025</v>
      </c>
      <c r="D92" s="141">
        <f>MONTH(Finance[[#This Row],[Date]])</f>
        <v>2</v>
      </c>
      <c r="E92" s="19" t="s">
        <v>271</v>
      </c>
      <c r="F92" s="6" t="s">
        <v>84</v>
      </c>
      <c r="G92" s="6" t="s">
        <v>86</v>
      </c>
      <c r="H92" s="134" t="s">
        <v>234</v>
      </c>
      <c r="I92" s="135" t="s">
        <v>185</v>
      </c>
      <c r="J92" s="136">
        <v>4</v>
      </c>
      <c r="K92" s="143"/>
      <c r="L92" s="144"/>
      <c r="M92" s="145"/>
      <c r="N92" s="145"/>
      <c r="O92" s="146"/>
      <c r="P92" s="146"/>
      <c r="Q92" s="145"/>
      <c r="R92" s="145">
        <f>15376.29*0.03</f>
        <v>461.28870000000001</v>
      </c>
      <c r="S92" s="147"/>
      <c r="T92" s="102">
        <f>SUM(Finance[[#This Row],[Samer]:[Margins]])</f>
        <v>461.28870000000001</v>
      </c>
      <c r="U92" s="103">
        <f>ABS(Finance[[#This Row],[Total (EGP)]])</f>
        <v>461.28870000000001</v>
      </c>
      <c r="V92" s="148"/>
    </row>
    <row r="93" spans="2:22" ht="18" customHeight="1" x14ac:dyDescent="0.3">
      <c r="B93" s="139">
        <v>45693</v>
      </c>
      <c r="C93" s="140">
        <f>YEAR(Finance[[#This Row],[Date]])</f>
        <v>2025</v>
      </c>
      <c r="D93" s="141">
        <f>MONTH(Finance[[#This Row],[Date]])</f>
        <v>2</v>
      </c>
      <c r="E93" s="19" t="s">
        <v>278</v>
      </c>
      <c r="F93" s="6" t="s">
        <v>73</v>
      </c>
      <c r="G93" s="6" t="s">
        <v>272</v>
      </c>
      <c r="H93" s="134" t="s">
        <v>234</v>
      </c>
      <c r="I93" s="135" t="s">
        <v>185</v>
      </c>
      <c r="J93" s="136">
        <v>5</v>
      </c>
      <c r="K93" s="143"/>
      <c r="L93" s="144"/>
      <c r="M93" s="145"/>
      <c r="N93" s="145"/>
      <c r="O93" s="146"/>
      <c r="P93" s="146"/>
      <c r="Q93" s="145"/>
      <c r="R93" s="145">
        <v>-4000</v>
      </c>
      <c r="S93" s="147"/>
      <c r="T93" s="102">
        <f>SUM(Finance[[#This Row],[Samer]:[Margins]])</f>
        <v>-4000</v>
      </c>
      <c r="U93" s="103">
        <f>ABS(Finance[[#This Row],[Total (EGP)]])</f>
        <v>4000</v>
      </c>
      <c r="V93" s="148"/>
    </row>
    <row r="94" spans="2:22" ht="18" customHeight="1" x14ac:dyDescent="0.3">
      <c r="B94" s="139">
        <v>45693</v>
      </c>
      <c r="C94" s="140">
        <f>YEAR(Finance[[#This Row],[Date]])</f>
        <v>2025</v>
      </c>
      <c r="D94" s="141">
        <f>MONTH(Finance[[#This Row],[Date]])</f>
        <v>2</v>
      </c>
      <c r="E94" s="19" t="s">
        <v>273</v>
      </c>
      <c r="F94" s="6" t="s">
        <v>73</v>
      </c>
      <c r="G94" s="6" t="s">
        <v>272</v>
      </c>
      <c r="H94" s="134" t="s">
        <v>90</v>
      </c>
      <c r="I94" s="135" t="s">
        <v>185</v>
      </c>
      <c r="J94" s="136">
        <v>5</v>
      </c>
      <c r="K94" s="143"/>
      <c r="L94" s="144"/>
      <c r="M94" s="145"/>
      <c r="N94" s="145"/>
      <c r="O94" s="146"/>
      <c r="P94" s="146"/>
      <c r="Q94" s="145"/>
      <c r="R94" s="145">
        <f>-4000*0.14</f>
        <v>-560</v>
      </c>
      <c r="S94" s="147"/>
      <c r="T94" s="102">
        <f>SUM(Finance[[#This Row],[Samer]:[Margins]])</f>
        <v>-560</v>
      </c>
      <c r="U94" s="103">
        <f>ABS(Finance[[#This Row],[Total (EGP)]])</f>
        <v>560</v>
      </c>
      <c r="V94" s="148"/>
    </row>
    <row r="95" spans="2:22" ht="18" customHeight="1" x14ac:dyDescent="0.3">
      <c r="B95" s="139">
        <v>45693</v>
      </c>
      <c r="C95" s="140">
        <f>YEAR(Finance[[#This Row],[Date]])</f>
        <v>2025</v>
      </c>
      <c r="D95" s="141">
        <f>MONTH(Finance[[#This Row],[Date]])</f>
        <v>2</v>
      </c>
      <c r="E95" s="19" t="s">
        <v>274</v>
      </c>
      <c r="F95" s="6" t="s">
        <v>84</v>
      </c>
      <c r="G95" s="6" t="s">
        <v>86</v>
      </c>
      <c r="H95" s="134" t="s">
        <v>234</v>
      </c>
      <c r="I95" s="135" t="s">
        <v>185</v>
      </c>
      <c r="J95" s="136">
        <v>5</v>
      </c>
      <c r="K95" s="143"/>
      <c r="L95" s="144"/>
      <c r="M95" s="145"/>
      <c r="N95" s="145"/>
      <c r="O95" s="146"/>
      <c r="P95" s="146"/>
      <c r="Q95" s="145"/>
      <c r="R95" s="145">
        <f>4000*0.03</f>
        <v>120</v>
      </c>
      <c r="S95" s="147"/>
      <c r="T95" s="102">
        <f>SUM(Finance[[#This Row],[Samer]:[Margins]])</f>
        <v>120</v>
      </c>
      <c r="U95" s="103">
        <f>ABS(Finance[[#This Row],[Total (EGP)]])</f>
        <v>120</v>
      </c>
      <c r="V95" s="148"/>
    </row>
    <row r="96" spans="2:22" ht="18" customHeight="1" x14ac:dyDescent="0.3">
      <c r="B96" s="139">
        <v>45693</v>
      </c>
      <c r="C96" s="140">
        <f>YEAR(Finance[[#This Row],[Date]])</f>
        <v>2025</v>
      </c>
      <c r="D96" s="141">
        <f>MONTH(Finance[[#This Row],[Date]])</f>
        <v>2</v>
      </c>
      <c r="E96" s="6" t="s">
        <v>275</v>
      </c>
      <c r="F96" s="6" t="s">
        <v>29</v>
      </c>
      <c r="G96" s="6" t="s">
        <v>95</v>
      </c>
      <c r="H96" s="48" t="s">
        <v>276</v>
      </c>
      <c r="I96" s="135" t="s">
        <v>185</v>
      </c>
      <c r="J96" s="136">
        <v>3</v>
      </c>
      <c r="K96" s="143"/>
      <c r="L96" s="144"/>
      <c r="M96" s="145"/>
      <c r="N96" s="145"/>
      <c r="O96" s="146"/>
      <c r="P96" s="146"/>
      <c r="Q96" s="145"/>
      <c r="R96" s="145">
        <v>25</v>
      </c>
      <c r="S96" s="147"/>
      <c r="T96" s="102">
        <f>SUM(Finance[[#This Row],[Samer]:[Margins]])</f>
        <v>25</v>
      </c>
      <c r="U96" s="103">
        <f>ABS(Finance[[#This Row],[Total (EGP)]])</f>
        <v>25</v>
      </c>
      <c r="V96" s="148"/>
    </row>
    <row r="97" spans="2:22" ht="18" customHeight="1" x14ac:dyDescent="0.3">
      <c r="B97" s="139">
        <v>45694</v>
      </c>
      <c r="C97" s="140">
        <f>YEAR(Finance[[#This Row],[Date]])</f>
        <v>2025</v>
      </c>
      <c r="D97" s="141">
        <f>MONTH(Finance[[#This Row],[Date]])</f>
        <v>2</v>
      </c>
      <c r="E97" s="126" t="s">
        <v>179</v>
      </c>
      <c r="F97" s="126" t="s">
        <v>37</v>
      </c>
      <c r="G97" s="126" t="s">
        <v>36</v>
      </c>
      <c r="H97" s="127" t="s">
        <v>181</v>
      </c>
      <c r="I97" s="128" t="s">
        <v>175</v>
      </c>
      <c r="J97" s="129">
        <v>0</v>
      </c>
      <c r="K97" s="143"/>
      <c r="L97" s="144">
        <v>-100000</v>
      </c>
      <c r="M97" s="145"/>
      <c r="N97" s="145"/>
      <c r="O97" s="146"/>
      <c r="P97" s="146"/>
      <c r="Q97" s="145"/>
      <c r="R97" s="145">
        <v>100000</v>
      </c>
      <c r="S97" s="147"/>
      <c r="T97" s="102">
        <f>SUM(Finance[[#This Row],[Samer]:[Margins]])</f>
        <v>0</v>
      </c>
      <c r="U97" s="103">
        <f>ABS(Finance[[#This Row],[Total (EGP)]])</f>
        <v>0</v>
      </c>
      <c r="V97" s="148"/>
    </row>
    <row r="98" spans="2:22" ht="18" customHeight="1" x14ac:dyDescent="0.3">
      <c r="B98" s="105">
        <v>45696</v>
      </c>
      <c r="C98" s="106">
        <f>YEAR(Finance[[#This Row],[Date]])</f>
        <v>2025</v>
      </c>
      <c r="D98" s="141">
        <f>MONTH(Finance[[#This Row],[Date]])</f>
        <v>2</v>
      </c>
      <c r="E98" s="6" t="s">
        <v>283</v>
      </c>
      <c r="F98" s="6" t="s">
        <v>29</v>
      </c>
      <c r="G98" s="6" t="s">
        <v>108</v>
      </c>
      <c r="H98" s="134" t="s">
        <v>182</v>
      </c>
      <c r="I98" s="135" t="s">
        <v>175</v>
      </c>
      <c r="J98" s="136">
        <v>1</v>
      </c>
      <c r="K98" s="31"/>
      <c r="L98" s="132">
        <v>599</v>
      </c>
      <c r="M98" s="145"/>
      <c r="N98" s="145"/>
      <c r="O98" s="146"/>
      <c r="P98" s="146"/>
      <c r="Q98" s="145"/>
      <c r="R98" s="145"/>
      <c r="S98" s="147"/>
      <c r="T98" s="102">
        <f>SUM(Finance[[#This Row],[Samer]:[Margins]])</f>
        <v>599</v>
      </c>
      <c r="U98" s="103">
        <f>ABS(Finance[[#This Row],[Total (EGP)]])</f>
        <v>599</v>
      </c>
      <c r="V98" s="148"/>
    </row>
    <row r="99" spans="2:22" ht="18" customHeight="1" x14ac:dyDescent="0.3">
      <c r="B99" s="105">
        <v>45698</v>
      </c>
      <c r="C99" s="106">
        <f>YEAR(Finance[[#This Row],[Date]])</f>
        <v>2025</v>
      </c>
      <c r="D99" s="141">
        <f>MONTH(Finance[[#This Row],[Date]])</f>
        <v>2</v>
      </c>
      <c r="E99" s="39" t="s">
        <v>285</v>
      </c>
      <c r="F99" s="39" t="s">
        <v>30</v>
      </c>
      <c r="G99" s="6" t="s">
        <v>127</v>
      </c>
      <c r="H99" s="48" t="s">
        <v>176</v>
      </c>
      <c r="I99" s="135" t="s">
        <v>184</v>
      </c>
      <c r="J99" s="136">
        <v>4</v>
      </c>
      <c r="K99" s="136"/>
      <c r="L99" s="132">
        <f>78.28*50.36*1.25</f>
        <v>4927.7260000000006</v>
      </c>
      <c r="M99" s="145"/>
      <c r="N99" s="145"/>
      <c r="O99" s="146"/>
      <c r="P99" s="146"/>
      <c r="Q99" s="145"/>
      <c r="R99" s="145"/>
      <c r="S99" s="147"/>
      <c r="T99" s="102">
        <f>SUM(Finance[[#This Row],[Samer]:[Margins]])</f>
        <v>4927.7260000000006</v>
      </c>
      <c r="U99" s="103">
        <f>ABS(Finance[[#This Row],[Total (EGP)]])</f>
        <v>4927.7260000000006</v>
      </c>
      <c r="V99" s="148"/>
    </row>
    <row r="100" spans="2:22" ht="18" customHeight="1" x14ac:dyDescent="0.3">
      <c r="B100" s="105">
        <v>45698</v>
      </c>
      <c r="C100" s="106">
        <f>YEAR(Finance[[#This Row],[Date]])</f>
        <v>2025</v>
      </c>
      <c r="D100" s="141">
        <f>MONTH(Finance[[#This Row],[Date]])</f>
        <v>2</v>
      </c>
      <c r="E100" s="6" t="s">
        <v>284</v>
      </c>
      <c r="F100" s="39" t="s">
        <v>30</v>
      </c>
      <c r="G100" s="39" t="s">
        <v>127</v>
      </c>
      <c r="H100" s="48" t="s">
        <v>176</v>
      </c>
      <c r="I100" s="135" t="s">
        <v>185</v>
      </c>
      <c r="J100" s="136">
        <v>4</v>
      </c>
      <c r="K100" s="31"/>
      <c r="L100" s="132">
        <f>153*50.36*1.25</f>
        <v>9631.35</v>
      </c>
      <c r="M100" s="145"/>
      <c r="N100" s="145"/>
      <c r="O100" s="146"/>
      <c r="P100" s="146"/>
      <c r="Q100" s="145"/>
      <c r="R100" s="145"/>
      <c r="S100" s="147"/>
      <c r="T100" s="102">
        <f>SUM(Finance[[#This Row],[Samer]:[Margins]])</f>
        <v>9631.35</v>
      </c>
      <c r="U100" s="103">
        <f>ABS(Finance[[#This Row],[Total (EGP)]])</f>
        <v>9631.35</v>
      </c>
      <c r="V100" s="148"/>
    </row>
    <row r="101" spans="2:22" ht="18" customHeight="1" x14ac:dyDescent="0.3">
      <c r="B101" s="139">
        <v>45699</v>
      </c>
      <c r="C101" s="140">
        <f>YEAR(Finance[[#This Row],[Date]])</f>
        <v>2025</v>
      </c>
      <c r="D101" s="141">
        <f>MONTH(Finance[[#This Row],[Date]])</f>
        <v>2</v>
      </c>
      <c r="E101" s="133" t="s">
        <v>262</v>
      </c>
      <c r="F101" s="126" t="s">
        <v>37</v>
      </c>
      <c r="G101" s="126" t="s">
        <v>36</v>
      </c>
      <c r="H101" s="134" t="s">
        <v>206</v>
      </c>
      <c r="I101" s="128" t="s">
        <v>175</v>
      </c>
      <c r="J101" s="129">
        <v>0</v>
      </c>
      <c r="K101" s="143"/>
      <c r="L101" s="144">
        <v>4000</v>
      </c>
      <c r="M101" s="145"/>
      <c r="N101" s="145"/>
      <c r="O101" s="146"/>
      <c r="P101" s="146"/>
      <c r="Q101" s="145"/>
      <c r="R101" s="145"/>
      <c r="S101" s="147">
        <v>-4000</v>
      </c>
      <c r="T101" s="102">
        <f>SUM(Finance[[#This Row],[Samer]:[Margins]])</f>
        <v>0</v>
      </c>
      <c r="U101" s="103">
        <f>ABS(Finance[[#This Row],[Total (EGP)]])</f>
        <v>0</v>
      </c>
      <c r="V101" s="148"/>
    </row>
    <row r="102" spans="2:22" ht="18" customHeight="1" x14ac:dyDescent="0.3">
      <c r="B102" s="105">
        <v>45699</v>
      </c>
      <c r="C102" s="106">
        <f>YEAR(Finance[[#This Row],[Date]])</f>
        <v>2025</v>
      </c>
      <c r="D102" s="141">
        <f>MONTH(Finance[[#This Row],[Date]])</f>
        <v>2</v>
      </c>
      <c r="E102" s="6" t="s">
        <v>286</v>
      </c>
      <c r="F102" s="6" t="s">
        <v>29</v>
      </c>
      <c r="G102" s="6" t="s">
        <v>108</v>
      </c>
      <c r="H102" s="134" t="s">
        <v>182</v>
      </c>
      <c r="I102" s="114" t="s">
        <v>175</v>
      </c>
      <c r="J102" s="136">
        <v>4</v>
      </c>
      <c r="K102" s="31"/>
      <c r="L102" s="132">
        <v>1761.0810000000001</v>
      </c>
      <c r="M102" s="145"/>
      <c r="N102" s="145"/>
      <c r="O102" s="146"/>
      <c r="P102" s="146"/>
      <c r="Q102" s="145"/>
      <c r="R102" s="145"/>
      <c r="S102" s="147"/>
      <c r="T102" s="102">
        <f>SUM(Finance[[#This Row],[Samer]:[Margins]])</f>
        <v>1761.0810000000001</v>
      </c>
      <c r="U102" s="103">
        <f>ABS(Finance[[#This Row],[Total (EGP)]])</f>
        <v>1761.0810000000001</v>
      </c>
      <c r="V102" s="148"/>
    </row>
    <row r="103" spans="2:22" ht="18" customHeight="1" x14ac:dyDescent="0.3">
      <c r="B103" s="105">
        <v>45699</v>
      </c>
      <c r="C103" s="106">
        <f>YEAR(Finance[[#This Row],[Date]])</f>
        <v>2025</v>
      </c>
      <c r="D103" s="141">
        <f>MONTH(Finance[[#This Row],[Date]])</f>
        <v>2</v>
      </c>
      <c r="E103" s="39" t="s">
        <v>287</v>
      </c>
      <c r="F103" s="39" t="s">
        <v>29</v>
      </c>
      <c r="G103" s="39" t="s">
        <v>108</v>
      </c>
      <c r="H103" s="130" t="s">
        <v>182</v>
      </c>
      <c r="I103" s="114" t="s">
        <v>175</v>
      </c>
      <c r="J103" s="131">
        <v>4</v>
      </c>
      <c r="K103" s="137"/>
      <c r="L103" s="138">
        <v>699.98689999999999</v>
      </c>
      <c r="M103" s="145"/>
      <c r="N103" s="145"/>
      <c r="O103" s="146"/>
      <c r="P103" s="146"/>
      <c r="Q103" s="145"/>
      <c r="R103" s="145"/>
      <c r="S103" s="147"/>
      <c r="T103" s="102">
        <f>SUM(Finance[[#This Row],[Samer]:[Margins]])</f>
        <v>699.98689999999999</v>
      </c>
      <c r="U103" s="103">
        <f>ABS(Finance[[#This Row],[Total (EGP)]])</f>
        <v>699.98689999999999</v>
      </c>
      <c r="V103" s="148"/>
    </row>
    <row r="104" spans="2:22" ht="18" customHeight="1" x14ac:dyDescent="0.3">
      <c r="B104" s="105">
        <v>45700</v>
      </c>
      <c r="C104" s="106">
        <f>YEAR(Finance[[#This Row],[Date]])</f>
        <v>2025</v>
      </c>
      <c r="D104" s="141">
        <f>MONTH(Finance[[#This Row],[Date]])</f>
        <v>2</v>
      </c>
      <c r="E104" s="19" t="s">
        <v>288</v>
      </c>
      <c r="F104" s="6" t="s">
        <v>29</v>
      </c>
      <c r="G104" s="6" t="s">
        <v>108</v>
      </c>
      <c r="H104" s="134" t="s">
        <v>182</v>
      </c>
      <c r="I104" s="114" t="s">
        <v>175</v>
      </c>
      <c r="J104" s="136">
        <v>1</v>
      </c>
      <c r="K104" s="31"/>
      <c r="L104" s="132">
        <f>324.9*50.36*1.05</f>
        <v>17180.0622</v>
      </c>
      <c r="M104" s="145"/>
      <c r="N104" s="145"/>
      <c r="O104" s="146"/>
      <c r="P104" s="146"/>
      <c r="Q104" s="145"/>
      <c r="R104" s="145"/>
      <c r="S104" s="147"/>
      <c r="T104" s="102">
        <f>SUM(Finance[[#This Row],[Samer]:[Margins]])</f>
        <v>17180.0622</v>
      </c>
      <c r="U104" s="103">
        <f>ABS(Finance[[#This Row],[Total (EGP)]])</f>
        <v>17180.0622</v>
      </c>
      <c r="V104" s="148"/>
    </row>
    <row r="105" spans="2:22" ht="18" customHeight="1" x14ac:dyDescent="0.3">
      <c r="B105" s="139">
        <v>45700</v>
      </c>
      <c r="C105" s="140">
        <f>YEAR(Finance[[#This Row],[Date]])</f>
        <v>2025</v>
      </c>
      <c r="D105" s="141">
        <f>MONTH(Finance[[#This Row],[Date]])</f>
        <v>2</v>
      </c>
      <c r="E105" s="6" t="s">
        <v>193</v>
      </c>
      <c r="F105" s="6" t="s">
        <v>29</v>
      </c>
      <c r="G105" s="6" t="s">
        <v>95</v>
      </c>
      <c r="H105" s="134" t="s">
        <v>194</v>
      </c>
      <c r="I105" s="135" t="s">
        <v>175</v>
      </c>
      <c r="J105" s="136">
        <v>3</v>
      </c>
      <c r="K105" s="31"/>
      <c r="L105" s="132"/>
      <c r="M105" s="145"/>
      <c r="N105" s="145"/>
      <c r="O105" s="146"/>
      <c r="P105" s="146"/>
      <c r="Q105" s="145"/>
      <c r="R105" s="145">
        <v>150</v>
      </c>
      <c r="S105" s="147"/>
      <c r="T105" s="102">
        <f>SUM(Finance[[#This Row],[Samer]:[Margins]])</f>
        <v>150</v>
      </c>
      <c r="U105" s="103">
        <f>ABS(Finance[[#This Row],[Total (EGP)]])</f>
        <v>150</v>
      </c>
      <c r="V105" s="148"/>
    </row>
    <row r="106" spans="2:22" ht="18" customHeight="1" x14ac:dyDescent="0.3">
      <c r="B106" s="154">
        <v>45701</v>
      </c>
      <c r="C106" s="155">
        <f>YEAR(Finance[[#This Row],[Date]])</f>
        <v>2025</v>
      </c>
      <c r="D106" s="156">
        <f>MONTH(Finance[[#This Row],[Date]])</f>
        <v>2</v>
      </c>
      <c r="E106" s="126" t="s">
        <v>242</v>
      </c>
      <c r="F106" s="39" t="s">
        <v>29</v>
      </c>
      <c r="G106" s="39" t="s">
        <v>112</v>
      </c>
      <c r="H106" s="48" t="s">
        <v>243</v>
      </c>
      <c r="I106" s="114" t="s">
        <v>175</v>
      </c>
      <c r="J106" s="131">
        <v>3</v>
      </c>
      <c r="K106" s="143"/>
      <c r="L106" s="144"/>
      <c r="M106" s="145"/>
      <c r="N106" s="145"/>
      <c r="O106" s="146"/>
      <c r="P106" s="146"/>
      <c r="Q106" s="145"/>
      <c r="R106" s="164">
        <v>214.29</v>
      </c>
      <c r="S106" s="166"/>
      <c r="T106" s="102">
        <f>SUM(Finance[[#This Row],[Samer]:[Margins]])</f>
        <v>214.29</v>
      </c>
      <c r="U106" s="103">
        <f>ABS(Finance[[#This Row],[Total (EGP)]])</f>
        <v>214.29</v>
      </c>
      <c r="V106" s="167"/>
    </row>
    <row r="107" spans="2:22" ht="18" customHeight="1" x14ac:dyDescent="0.3">
      <c r="B107" s="139">
        <v>45702</v>
      </c>
      <c r="C107" s="140">
        <f>YEAR(Finance[[#This Row],[Date]])</f>
        <v>2025</v>
      </c>
      <c r="D107" s="141">
        <f>MONTH(Finance[[#This Row],[Date]])</f>
        <v>2</v>
      </c>
      <c r="E107" s="6" t="s">
        <v>289</v>
      </c>
      <c r="F107" s="6" t="s">
        <v>30</v>
      </c>
      <c r="G107" s="6" t="s">
        <v>127</v>
      </c>
      <c r="H107" s="134" t="s">
        <v>190</v>
      </c>
      <c r="I107" s="135" t="s">
        <v>175</v>
      </c>
      <c r="J107" s="131">
        <v>4</v>
      </c>
      <c r="K107" s="31"/>
      <c r="L107" s="132">
        <f>18.4*52.82*1.25</f>
        <v>1214.8599999999999</v>
      </c>
      <c r="M107" s="145"/>
      <c r="N107" s="145"/>
      <c r="O107" s="146"/>
      <c r="P107" s="146"/>
      <c r="Q107" s="145"/>
      <c r="R107" s="145"/>
      <c r="S107" s="147"/>
      <c r="T107" s="102">
        <f>SUM(Finance[[#This Row],[Samer]:[Margins]])</f>
        <v>1214.8599999999999</v>
      </c>
      <c r="U107" s="103">
        <f>ABS(Finance[[#This Row],[Total (EGP)]])</f>
        <v>1214.8599999999999</v>
      </c>
      <c r="V107" s="148"/>
    </row>
    <row r="108" spans="2:22" ht="18" customHeight="1" x14ac:dyDescent="0.3">
      <c r="B108" s="139">
        <v>45702</v>
      </c>
      <c r="C108" s="140">
        <f>YEAR(Finance[[#This Row],[Date]])</f>
        <v>2025</v>
      </c>
      <c r="D108" s="141">
        <f>MONTH(Finance[[#This Row],[Date]])</f>
        <v>2</v>
      </c>
      <c r="E108" s="39" t="s">
        <v>290</v>
      </c>
      <c r="F108" s="39" t="s">
        <v>30</v>
      </c>
      <c r="G108" s="39" t="s">
        <v>127</v>
      </c>
      <c r="H108" s="130" t="s">
        <v>176</v>
      </c>
      <c r="I108" s="114" t="s">
        <v>177</v>
      </c>
      <c r="J108" s="131">
        <v>1</v>
      </c>
      <c r="K108" s="31"/>
      <c r="L108" s="132">
        <f>94.06*52.82*1.25</f>
        <v>6210.3114999999998</v>
      </c>
      <c r="M108" s="145"/>
      <c r="N108" s="145"/>
      <c r="O108" s="146"/>
      <c r="P108" s="146"/>
      <c r="Q108" s="145"/>
      <c r="R108" s="145"/>
      <c r="S108" s="147"/>
      <c r="T108" s="102">
        <f>SUM(Finance[[#This Row],[Samer]:[Margins]])</f>
        <v>6210.3114999999998</v>
      </c>
      <c r="U108" s="103">
        <f>ABS(Finance[[#This Row],[Total (EGP)]])</f>
        <v>6210.3114999999998</v>
      </c>
      <c r="V108" s="148"/>
    </row>
    <row r="109" spans="2:22" ht="18" customHeight="1" x14ac:dyDescent="0.3">
      <c r="B109" s="139">
        <v>45705</v>
      </c>
      <c r="C109" s="140">
        <f>YEAR(Finance[[#This Row],[Date]])</f>
        <v>2025</v>
      </c>
      <c r="D109" s="141">
        <f>MONTH(Finance[[#This Row],[Date]])</f>
        <v>2</v>
      </c>
      <c r="E109" s="6" t="s">
        <v>291</v>
      </c>
      <c r="F109" s="39" t="s">
        <v>29</v>
      </c>
      <c r="G109" s="6" t="s">
        <v>108</v>
      </c>
      <c r="H109" s="48" t="s">
        <v>182</v>
      </c>
      <c r="I109" s="135" t="s">
        <v>175</v>
      </c>
      <c r="J109" s="136">
        <v>1</v>
      </c>
      <c r="K109" s="31"/>
      <c r="L109" s="132">
        <f>27*50.67*1.05</f>
        <v>1436.4945000000002</v>
      </c>
      <c r="M109" s="145"/>
      <c r="N109" s="145"/>
      <c r="O109" s="146"/>
      <c r="P109" s="146"/>
      <c r="Q109" s="145"/>
      <c r="R109" s="145"/>
      <c r="S109" s="147"/>
      <c r="T109" s="102">
        <f>SUM(Finance[[#This Row],[Samer]:[Margins]])</f>
        <v>1436.4945000000002</v>
      </c>
      <c r="U109" s="103">
        <f>ABS(Finance[[#This Row],[Total (EGP)]])</f>
        <v>1436.4945000000002</v>
      </c>
      <c r="V109" s="148"/>
    </row>
    <row r="110" spans="2:22" ht="18" customHeight="1" x14ac:dyDescent="0.3">
      <c r="B110" s="154">
        <v>45705</v>
      </c>
      <c r="C110" s="155">
        <f>YEAR(Finance[[#This Row],[Date]])</f>
        <v>2025</v>
      </c>
      <c r="D110" s="156">
        <f>MONTH(Finance[[#This Row],[Date]])</f>
        <v>2</v>
      </c>
      <c r="E110" s="39" t="s">
        <v>366</v>
      </c>
      <c r="F110" s="39" t="s">
        <v>245</v>
      </c>
      <c r="G110" s="39" t="s">
        <v>93</v>
      </c>
      <c r="H110" s="48" t="s">
        <v>199</v>
      </c>
      <c r="I110" s="114" t="s">
        <v>364</v>
      </c>
      <c r="J110" s="131">
        <v>4</v>
      </c>
      <c r="K110" s="162"/>
      <c r="L110" s="163"/>
      <c r="M110" s="164"/>
      <c r="N110" s="164"/>
      <c r="O110" s="165"/>
      <c r="P110" s="165"/>
      <c r="Q110" s="164"/>
      <c r="R110" s="164">
        <v>-2040.08</v>
      </c>
      <c r="S110" s="166"/>
      <c r="T110" s="102">
        <f>SUM(Finance[[#This Row],[Samer]:[Margins]])</f>
        <v>-2040.08</v>
      </c>
      <c r="U110" s="103">
        <f>ABS(Finance[[#This Row],[Total (EGP)]])</f>
        <v>2040.08</v>
      </c>
      <c r="V110" s="167"/>
    </row>
    <row r="111" spans="2:22" ht="18" customHeight="1" x14ac:dyDescent="0.3">
      <c r="B111" s="154">
        <v>45705</v>
      </c>
      <c r="C111" s="155">
        <f>YEAR(Finance[[#This Row],[Date]])</f>
        <v>2025</v>
      </c>
      <c r="D111" s="156">
        <f>MONTH(Finance[[#This Row],[Date]])</f>
        <v>2</v>
      </c>
      <c r="E111" s="39" t="s">
        <v>367</v>
      </c>
      <c r="F111" s="6" t="s">
        <v>73</v>
      </c>
      <c r="G111" s="6" t="s">
        <v>93</v>
      </c>
      <c r="H111" s="134" t="s">
        <v>90</v>
      </c>
      <c r="I111" s="114" t="s">
        <v>364</v>
      </c>
      <c r="J111" s="136">
        <v>4</v>
      </c>
      <c r="K111" s="162"/>
      <c r="L111" s="163"/>
      <c r="M111" s="164"/>
      <c r="N111" s="164"/>
      <c r="O111" s="165"/>
      <c r="P111" s="165"/>
      <c r="Q111" s="164"/>
      <c r="R111" s="164">
        <f>-2040.08*0.14</f>
        <v>-285.6112</v>
      </c>
      <c r="S111" s="166"/>
      <c r="T111" s="102">
        <f>SUM(Finance[[#This Row],[Samer]:[Margins]])</f>
        <v>-285.6112</v>
      </c>
      <c r="U111" s="103">
        <f>ABS(Finance[[#This Row],[Total (EGP)]])</f>
        <v>285.6112</v>
      </c>
      <c r="V111" s="167"/>
    </row>
    <row r="112" spans="2:22" ht="18" customHeight="1" x14ac:dyDescent="0.3">
      <c r="B112" s="168">
        <v>45705</v>
      </c>
      <c r="C112" s="169">
        <f>YEAR(Finance[[#This Row],[Date]])</f>
        <v>2025</v>
      </c>
      <c r="D112" s="170">
        <f>MONTH(Finance[[#This Row],[Date]])</f>
        <v>2</v>
      </c>
      <c r="E112" s="39" t="s">
        <v>368</v>
      </c>
      <c r="F112" s="6" t="s">
        <v>84</v>
      </c>
      <c r="G112" s="39" t="s">
        <v>86</v>
      </c>
      <c r="H112" s="134" t="s">
        <v>199</v>
      </c>
      <c r="I112" s="114" t="s">
        <v>364</v>
      </c>
      <c r="J112" s="131">
        <v>4</v>
      </c>
      <c r="K112" s="175"/>
      <c r="L112" s="176"/>
      <c r="M112" s="177"/>
      <c r="N112" s="177"/>
      <c r="O112" s="178"/>
      <c r="P112" s="178"/>
      <c r="Q112" s="177"/>
      <c r="R112" s="177">
        <f>2040.08*0.03+0.01</f>
        <v>61.212399999999995</v>
      </c>
      <c r="S112" s="179"/>
      <c r="T112" s="102">
        <f>SUM(Finance[[#This Row],[Samer]:[Margins]])</f>
        <v>61.212399999999995</v>
      </c>
      <c r="U112" s="103">
        <f>ABS(Finance[[#This Row],[Total (EGP)]])</f>
        <v>61.212399999999995</v>
      </c>
      <c r="V112" s="180"/>
    </row>
    <row r="113" spans="2:22" ht="18" customHeight="1" x14ac:dyDescent="0.3">
      <c r="B113" s="168">
        <v>45705</v>
      </c>
      <c r="C113" s="169">
        <f>YEAR(Finance[[#This Row],[Date]])</f>
        <v>2025</v>
      </c>
      <c r="D113" s="170">
        <f>MONTH(Finance[[#This Row],[Date]])</f>
        <v>2</v>
      </c>
      <c r="E113" s="6" t="s">
        <v>365</v>
      </c>
      <c r="F113" s="6" t="s">
        <v>29</v>
      </c>
      <c r="G113" s="6" t="s">
        <v>95</v>
      </c>
      <c r="H113" s="134" t="s">
        <v>194</v>
      </c>
      <c r="I113" s="114" t="s">
        <v>364</v>
      </c>
      <c r="J113" s="136">
        <v>3</v>
      </c>
      <c r="K113" s="175"/>
      <c r="L113" s="176"/>
      <c r="M113" s="177"/>
      <c r="N113" s="177"/>
      <c r="O113" s="178"/>
      <c r="P113" s="178"/>
      <c r="Q113" s="177"/>
      <c r="R113" s="177">
        <v>10</v>
      </c>
      <c r="S113" s="179"/>
      <c r="T113" s="102">
        <f>SUM(Finance[[#This Row],[Samer]:[Margins]])</f>
        <v>10</v>
      </c>
      <c r="U113" s="103">
        <f>ABS(Finance[[#This Row],[Total (EGP)]])</f>
        <v>10</v>
      </c>
      <c r="V113" s="180"/>
    </row>
    <row r="114" spans="2:22" ht="18" customHeight="1" x14ac:dyDescent="0.3">
      <c r="B114" s="168">
        <v>45706</v>
      </c>
      <c r="C114" s="169">
        <f>YEAR(Finance[[#This Row],[Date]])</f>
        <v>2025</v>
      </c>
      <c r="D114" s="170">
        <f>MONTH(Finance[[#This Row],[Date]])</f>
        <v>2</v>
      </c>
      <c r="E114" s="126" t="s">
        <v>242</v>
      </c>
      <c r="F114" s="39" t="s">
        <v>29</v>
      </c>
      <c r="G114" s="39" t="s">
        <v>112</v>
      </c>
      <c r="H114" s="48" t="s">
        <v>243</v>
      </c>
      <c r="I114" s="114" t="s">
        <v>175</v>
      </c>
      <c r="J114" s="131">
        <v>3</v>
      </c>
      <c r="K114" s="175"/>
      <c r="L114" s="176"/>
      <c r="M114" s="177"/>
      <c r="N114" s="177"/>
      <c r="O114" s="178"/>
      <c r="P114" s="178"/>
      <c r="Q114" s="177"/>
      <c r="R114" s="177">
        <v>513</v>
      </c>
      <c r="S114" s="179"/>
      <c r="T114" s="102">
        <f>SUM(Finance[[#This Row],[Samer]:[Margins]])</f>
        <v>513</v>
      </c>
      <c r="U114" s="103">
        <f>ABS(Finance[[#This Row],[Total (EGP)]])</f>
        <v>513</v>
      </c>
      <c r="V114" s="180"/>
    </row>
    <row r="115" spans="2:22" ht="18" customHeight="1" x14ac:dyDescent="0.3">
      <c r="B115" s="168">
        <v>45707</v>
      </c>
      <c r="C115" s="169">
        <f>YEAR(Finance[[#This Row],[Date]])</f>
        <v>2025</v>
      </c>
      <c r="D115" s="170">
        <f>MONTH(Finance[[#This Row],[Date]])</f>
        <v>2</v>
      </c>
      <c r="E115" s="6" t="s">
        <v>371</v>
      </c>
      <c r="F115" s="6" t="s">
        <v>73</v>
      </c>
      <c r="G115" s="6" t="s">
        <v>93</v>
      </c>
      <c r="H115" s="134" t="s">
        <v>199</v>
      </c>
      <c r="I115" s="114" t="s">
        <v>369</v>
      </c>
      <c r="J115" s="136">
        <v>4</v>
      </c>
      <c r="K115" s="175"/>
      <c r="L115" s="176"/>
      <c r="M115" s="177"/>
      <c r="N115" s="177"/>
      <c r="O115" s="178"/>
      <c r="P115" s="178"/>
      <c r="Q115" s="177"/>
      <c r="R115" s="177">
        <v>-3937.5</v>
      </c>
      <c r="S115" s="179"/>
      <c r="T115" s="102">
        <f>SUM(Finance[[#This Row],[Samer]:[Margins]])</f>
        <v>-3937.5</v>
      </c>
      <c r="U115" s="103">
        <f>ABS(Finance[[#This Row],[Total (EGP)]])</f>
        <v>3937.5</v>
      </c>
      <c r="V115" s="180"/>
    </row>
    <row r="116" spans="2:22" ht="18" customHeight="1" x14ac:dyDescent="0.3">
      <c r="B116" s="168">
        <v>45707</v>
      </c>
      <c r="C116" s="169">
        <f>YEAR(Finance[[#This Row],[Date]])</f>
        <v>2025</v>
      </c>
      <c r="D116" s="170">
        <f>MONTH(Finance[[#This Row],[Date]])</f>
        <v>2</v>
      </c>
      <c r="E116" s="6" t="s">
        <v>372</v>
      </c>
      <c r="F116" s="6" t="s">
        <v>73</v>
      </c>
      <c r="G116" s="6" t="s">
        <v>93</v>
      </c>
      <c r="H116" s="134" t="s">
        <v>90</v>
      </c>
      <c r="I116" s="114" t="s">
        <v>369</v>
      </c>
      <c r="J116" s="136">
        <v>4</v>
      </c>
      <c r="K116" s="175"/>
      <c r="L116" s="176"/>
      <c r="M116" s="177"/>
      <c r="N116" s="177"/>
      <c r="O116" s="178"/>
      <c r="P116" s="178"/>
      <c r="Q116" s="177"/>
      <c r="R116" s="177">
        <f>-3937.5*0.14</f>
        <v>-551.25</v>
      </c>
      <c r="S116" s="179"/>
      <c r="T116" s="102">
        <f>SUM(Finance[[#This Row],[Samer]:[Margins]])</f>
        <v>-551.25</v>
      </c>
      <c r="U116" s="103">
        <f>ABS(Finance[[#This Row],[Total (EGP)]])</f>
        <v>551.25</v>
      </c>
      <c r="V116" s="180"/>
    </row>
    <row r="117" spans="2:22" ht="18" customHeight="1" x14ac:dyDescent="0.3">
      <c r="B117" s="168">
        <v>45707</v>
      </c>
      <c r="C117" s="169">
        <f>YEAR(Finance[[#This Row],[Date]])</f>
        <v>2025</v>
      </c>
      <c r="D117" s="170">
        <f>MONTH(Finance[[#This Row],[Date]])</f>
        <v>2</v>
      </c>
      <c r="E117" s="6" t="s">
        <v>373</v>
      </c>
      <c r="F117" s="6" t="s">
        <v>84</v>
      </c>
      <c r="G117" s="6" t="s">
        <v>86</v>
      </c>
      <c r="H117" s="134" t="s">
        <v>199</v>
      </c>
      <c r="I117" s="114" t="s">
        <v>369</v>
      </c>
      <c r="J117" s="136">
        <v>4</v>
      </c>
      <c r="K117" s="175"/>
      <c r="L117" s="176"/>
      <c r="M117" s="177"/>
      <c r="N117" s="177"/>
      <c r="O117" s="178"/>
      <c r="P117" s="178"/>
      <c r="Q117" s="177"/>
      <c r="R117" s="177">
        <f>3937.5*0.03+0.01</f>
        <v>118.13500000000001</v>
      </c>
      <c r="S117" s="179"/>
      <c r="T117" s="102">
        <f>SUM(Finance[[#This Row],[Samer]:[Margins]])</f>
        <v>118.13500000000001</v>
      </c>
      <c r="U117" s="103">
        <f>ABS(Finance[[#This Row],[Total (EGP)]])</f>
        <v>118.13500000000001</v>
      </c>
      <c r="V117" s="180"/>
    </row>
    <row r="118" spans="2:22" ht="18" customHeight="1" x14ac:dyDescent="0.3">
      <c r="B118" s="168">
        <v>45707</v>
      </c>
      <c r="C118" s="169">
        <f>YEAR(Finance[[#This Row],[Date]])</f>
        <v>2025</v>
      </c>
      <c r="D118" s="170">
        <f>MONTH(Finance[[#This Row],[Date]])</f>
        <v>2</v>
      </c>
      <c r="E118" s="6" t="s">
        <v>370</v>
      </c>
      <c r="F118" s="6" t="s">
        <v>29</v>
      </c>
      <c r="G118" s="6" t="s">
        <v>95</v>
      </c>
      <c r="H118" s="134" t="s">
        <v>194</v>
      </c>
      <c r="I118" s="114" t="s">
        <v>369</v>
      </c>
      <c r="J118" s="136">
        <v>3</v>
      </c>
      <c r="K118" s="175"/>
      <c r="L118" s="176"/>
      <c r="M118" s="177"/>
      <c r="N118" s="177"/>
      <c r="O118" s="178"/>
      <c r="P118" s="178"/>
      <c r="Q118" s="177"/>
      <c r="R118" s="177">
        <v>10</v>
      </c>
      <c r="S118" s="179"/>
      <c r="T118" s="102">
        <f>SUM(Finance[[#This Row],[Samer]:[Margins]])</f>
        <v>10</v>
      </c>
      <c r="U118" s="103">
        <f>ABS(Finance[[#This Row],[Total (EGP)]])</f>
        <v>10</v>
      </c>
      <c r="V118" s="180"/>
    </row>
    <row r="119" spans="2:22" ht="18" customHeight="1" x14ac:dyDescent="0.3">
      <c r="B119" s="139">
        <v>45710</v>
      </c>
      <c r="C119" s="140">
        <f>YEAR(Finance[[#This Row],[Date]])</f>
        <v>2025</v>
      </c>
      <c r="D119" s="141">
        <f>MONTH(Finance[[#This Row],[Date]])</f>
        <v>2</v>
      </c>
      <c r="E119" s="19" t="s">
        <v>292</v>
      </c>
      <c r="F119" s="6" t="s">
        <v>29</v>
      </c>
      <c r="G119" s="6" t="s">
        <v>108</v>
      </c>
      <c r="H119" s="134" t="s">
        <v>182</v>
      </c>
      <c r="I119" s="135" t="s">
        <v>175</v>
      </c>
      <c r="J119" s="136">
        <v>3</v>
      </c>
      <c r="K119" s="31"/>
      <c r="L119" s="132">
        <f>15.99*50.67*1.05</f>
        <v>850.72396500000002</v>
      </c>
      <c r="M119" s="145"/>
      <c r="N119" s="145"/>
      <c r="O119" s="146"/>
      <c r="P119" s="146"/>
      <c r="Q119" s="145"/>
      <c r="R119" s="145"/>
      <c r="S119" s="147"/>
      <c r="T119" s="102">
        <f>SUM(Finance[[#This Row],[Samer]:[Margins]])</f>
        <v>850.72396500000002</v>
      </c>
      <c r="U119" s="103">
        <f>ABS(Finance[[#This Row],[Total (EGP)]])</f>
        <v>850.72396500000002</v>
      </c>
      <c r="V119" s="148"/>
    </row>
    <row r="120" spans="2:22" ht="18" customHeight="1" x14ac:dyDescent="0.3">
      <c r="B120" s="168">
        <v>45711</v>
      </c>
      <c r="C120" s="169">
        <f>YEAR(Finance[[#This Row],[Date]])</f>
        <v>2025</v>
      </c>
      <c r="D120" s="170">
        <f>MONTH(Finance[[#This Row],[Date]])</f>
        <v>2</v>
      </c>
      <c r="E120" s="126" t="s">
        <v>242</v>
      </c>
      <c r="F120" s="39" t="s">
        <v>29</v>
      </c>
      <c r="G120" s="39" t="s">
        <v>112</v>
      </c>
      <c r="H120" s="48" t="s">
        <v>243</v>
      </c>
      <c r="I120" s="114" t="s">
        <v>175</v>
      </c>
      <c r="J120" s="131">
        <v>3</v>
      </c>
      <c r="K120" s="175"/>
      <c r="L120" s="176"/>
      <c r="M120" s="177"/>
      <c r="N120" s="177"/>
      <c r="O120" s="178"/>
      <c r="P120" s="178"/>
      <c r="Q120" s="177"/>
      <c r="R120" s="177">
        <v>1402.2</v>
      </c>
      <c r="S120" s="179"/>
      <c r="T120" s="102">
        <f>SUM(Finance[[#This Row],[Samer]:[Margins]])</f>
        <v>1402.2</v>
      </c>
      <c r="U120" s="103">
        <f>ABS(Finance[[#This Row],[Total (EGP)]])</f>
        <v>1402.2</v>
      </c>
      <c r="V120" s="180"/>
    </row>
    <row r="121" spans="2:22" ht="18" customHeight="1" x14ac:dyDescent="0.3">
      <c r="B121" s="139">
        <v>45712</v>
      </c>
      <c r="C121" s="140">
        <f>YEAR(Finance[[#This Row],[Date]])</f>
        <v>2025</v>
      </c>
      <c r="D121" s="141">
        <f>MONTH(Finance[[#This Row],[Date]])</f>
        <v>2</v>
      </c>
      <c r="E121" s="6" t="s">
        <v>294</v>
      </c>
      <c r="F121" s="6" t="s">
        <v>73</v>
      </c>
      <c r="G121" s="6" t="s">
        <v>233</v>
      </c>
      <c r="H121" s="134" t="s">
        <v>234</v>
      </c>
      <c r="I121" s="135" t="s">
        <v>235</v>
      </c>
      <c r="J121" s="136">
        <v>1</v>
      </c>
      <c r="K121" s="143"/>
      <c r="L121" s="144"/>
      <c r="M121" s="145"/>
      <c r="N121" s="145"/>
      <c r="O121" s="146"/>
      <c r="P121" s="146"/>
      <c r="Q121" s="145">
        <v>-200000</v>
      </c>
      <c r="R121" s="145"/>
      <c r="S121" s="147"/>
      <c r="T121" s="102">
        <f>SUM(Finance[[#This Row],[Samer]:[Margins]])</f>
        <v>-200000</v>
      </c>
      <c r="U121" s="103">
        <f>ABS(Finance[[#This Row],[Total (EGP)]])</f>
        <v>200000</v>
      </c>
      <c r="V121" s="148"/>
    </row>
    <row r="122" spans="2:22" ht="18" customHeight="1" x14ac:dyDescent="0.3">
      <c r="B122" s="139">
        <v>45712</v>
      </c>
      <c r="C122" s="140">
        <f>YEAR(Finance[[#This Row],[Date]])</f>
        <v>2025</v>
      </c>
      <c r="D122" s="141">
        <f>MONTH(Finance[[#This Row],[Date]])</f>
        <v>2</v>
      </c>
      <c r="E122" s="126" t="s">
        <v>240</v>
      </c>
      <c r="F122" s="126" t="s">
        <v>37</v>
      </c>
      <c r="G122" s="126" t="s">
        <v>36</v>
      </c>
      <c r="H122" s="127" t="s">
        <v>181</v>
      </c>
      <c r="I122" s="128" t="s">
        <v>175</v>
      </c>
      <c r="J122" s="129">
        <v>0</v>
      </c>
      <c r="K122" s="143"/>
      <c r="L122" s="144"/>
      <c r="M122" s="145"/>
      <c r="N122" s="145"/>
      <c r="O122" s="146"/>
      <c r="P122" s="146"/>
      <c r="Q122" s="145">
        <v>200000</v>
      </c>
      <c r="R122" s="145">
        <v>-200000</v>
      </c>
      <c r="S122" s="147"/>
      <c r="T122" s="102">
        <f>SUM(Finance[[#This Row],[Samer]:[Margins]])</f>
        <v>0</v>
      </c>
      <c r="U122" s="103">
        <f>ABS(Finance[[#This Row],[Total (EGP)]])</f>
        <v>0</v>
      </c>
      <c r="V122" s="148"/>
    </row>
    <row r="123" spans="2:22" ht="18" customHeight="1" x14ac:dyDescent="0.3">
      <c r="B123" s="7">
        <v>45713</v>
      </c>
      <c r="C123" s="140">
        <f>YEAR(Finance[[#This Row],[Date]])</f>
        <v>2025</v>
      </c>
      <c r="D123" s="141">
        <f>MONTH(Finance[[#This Row],[Date]])</f>
        <v>2</v>
      </c>
      <c r="E123" s="153" t="s">
        <v>295</v>
      </c>
      <c r="F123" s="6" t="s">
        <v>29</v>
      </c>
      <c r="G123" s="6" t="s">
        <v>111</v>
      </c>
      <c r="H123" s="134" t="s">
        <v>296</v>
      </c>
      <c r="I123" s="114" t="s">
        <v>175</v>
      </c>
      <c r="J123" s="136">
        <v>3</v>
      </c>
      <c r="K123" s="143"/>
      <c r="L123" s="144">
        <v>1030.78</v>
      </c>
      <c r="M123" s="145"/>
      <c r="N123" s="145"/>
      <c r="O123" s="146"/>
      <c r="P123" s="146"/>
      <c r="Q123" s="145"/>
      <c r="R123" s="145"/>
      <c r="S123" s="147"/>
      <c r="T123" s="102">
        <f>SUM(Finance[[#This Row],[Samer]:[Margins]])</f>
        <v>1030.78</v>
      </c>
      <c r="U123" s="103">
        <f>ABS(Finance[[#This Row],[Total (EGP)]])</f>
        <v>1030.78</v>
      </c>
      <c r="V123" s="148"/>
    </row>
    <row r="124" spans="2:22" ht="18" customHeight="1" x14ac:dyDescent="0.3">
      <c r="B124" s="168">
        <v>45714</v>
      </c>
      <c r="C124" s="169">
        <f>YEAR(Finance[[#This Row],[Date]])</f>
        <v>2025</v>
      </c>
      <c r="D124" s="170">
        <f>MONTH(Finance[[#This Row],[Date]])</f>
        <v>2</v>
      </c>
      <c r="E124" s="6" t="s">
        <v>552</v>
      </c>
      <c r="F124" s="6" t="s">
        <v>73</v>
      </c>
      <c r="G124" s="6" t="s">
        <v>103</v>
      </c>
      <c r="H124" s="134" t="s">
        <v>199</v>
      </c>
      <c r="I124" s="135" t="s">
        <v>200</v>
      </c>
      <c r="J124" s="136">
        <v>4</v>
      </c>
      <c r="K124" s="175"/>
      <c r="L124" s="176"/>
      <c r="M124" s="177"/>
      <c r="N124" s="177"/>
      <c r="O124" s="178"/>
      <c r="P124" s="178"/>
      <c r="Q124" s="177"/>
      <c r="R124" s="177">
        <v>-13125</v>
      </c>
      <c r="S124" s="179"/>
      <c r="T124" s="102">
        <f>SUM(Finance[[#This Row],[Samer]:[Margins]])</f>
        <v>-13125</v>
      </c>
      <c r="U124" s="103">
        <f>ABS(Finance[[#This Row],[Total (EGP)]])</f>
        <v>13125</v>
      </c>
      <c r="V124" s="180"/>
    </row>
    <row r="125" spans="2:22" ht="18" customHeight="1" x14ac:dyDescent="0.3">
      <c r="B125" s="168">
        <v>45714</v>
      </c>
      <c r="C125" s="169">
        <f>YEAR(Finance[[#This Row],[Date]])</f>
        <v>2025</v>
      </c>
      <c r="D125" s="170">
        <f>MONTH(Finance[[#This Row],[Date]])</f>
        <v>2</v>
      </c>
      <c r="E125" s="6" t="s">
        <v>374</v>
      </c>
      <c r="F125" s="6" t="s">
        <v>73</v>
      </c>
      <c r="G125" s="6" t="s">
        <v>103</v>
      </c>
      <c r="H125" s="134" t="s">
        <v>90</v>
      </c>
      <c r="I125" s="135" t="s">
        <v>200</v>
      </c>
      <c r="J125" s="136">
        <v>4</v>
      </c>
      <c r="K125" s="175"/>
      <c r="L125" s="176"/>
      <c r="M125" s="177"/>
      <c r="N125" s="177"/>
      <c r="O125" s="178"/>
      <c r="P125" s="178"/>
      <c r="Q125" s="177"/>
      <c r="R125" s="177">
        <f>-13125*0.14</f>
        <v>-1837.5000000000002</v>
      </c>
      <c r="S125" s="179"/>
      <c r="T125" s="102">
        <f>SUM(Finance[[#This Row],[Samer]:[Margins]])</f>
        <v>-1837.5000000000002</v>
      </c>
      <c r="U125" s="103">
        <f>ABS(Finance[[#This Row],[Total (EGP)]])</f>
        <v>1837.5000000000002</v>
      </c>
      <c r="V125" s="180"/>
    </row>
    <row r="126" spans="2:22" ht="18" customHeight="1" x14ac:dyDescent="0.3">
      <c r="B126" s="168">
        <v>45714</v>
      </c>
      <c r="C126" s="169">
        <f>YEAR(Finance[[#This Row],[Date]])</f>
        <v>2025</v>
      </c>
      <c r="D126" s="170">
        <f>MONTH(Finance[[#This Row],[Date]])</f>
        <v>2</v>
      </c>
      <c r="E126" s="6" t="s">
        <v>375</v>
      </c>
      <c r="F126" s="6" t="s">
        <v>84</v>
      </c>
      <c r="G126" s="6" t="s">
        <v>86</v>
      </c>
      <c r="H126" s="134" t="s">
        <v>199</v>
      </c>
      <c r="I126" s="135" t="s">
        <v>200</v>
      </c>
      <c r="J126" s="136">
        <v>4</v>
      </c>
      <c r="K126" s="175"/>
      <c r="L126" s="176"/>
      <c r="M126" s="177"/>
      <c r="N126" s="177"/>
      <c r="O126" s="178"/>
      <c r="P126" s="178"/>
      <c r="Q126" s="177"/>
      <c r="R126" s="177">
        <f>13125*0.03</f>
        <v>393.75</v>
      </c>
      <c r="S126" s="179"/>
      <c r="T126" s="102">
        <f>SUM(Finance[[#This Row],[Samer]:[Margins]])</f>
        <v>393.75</v>
      </c>
      <c r="U126" s="103">
        <f>ABS(Finance[[#This Row],[Total (EGP)]])</f>
        <v>393.75</v>
      </c>
      <c r="V126" s="180"/>
    </row>
    <row r="127" spans="2:22" ht="18" customHeight="1" x14ac:dyDescent="0.3">
      <c r="B127" s="168">
        <v>45714</v>
      </c>
      <c r="C127" s="169">
        <f>YEAR(Finance[[#This Row],[Date]])</f>
        <v>2025</v>
      </c>
      <c r="D127" s="170">
        <f>MONTH(Finance[[#This Row],[Date]])</f>
        <v>2</v>
      </c>
      <c r="E127" s="6" t="s">
        <v>244</v>
      </c>
      <c r="F127" s="6" t="s">
        <v>29</v>
      </c>
      <c r="G127" s="6" t="s">
        <v>95</v>
      </c>
      <c r="H127" s="134" t="s">
        <v>194</v>
      </c>
      <c r="I127" s="135" t="s">
        <v>200</v>
      </c>
      <c r="J127" s="136">
        <v>3</v>
      </c>
      <c r="K127" s="175"/>
      <c r="L127" s="176"/>
      <c r="M127" s="177"/>
      <c r="N127" s="177"/>
      <c r="O127" s="178"/>
      <c r="P127" s="178"/>
      <c r="Q127" s="177"/>
      <c r="R127" s="177">
        <v>10</v>
      </c>
      <c r="S127" s="179"/>
      <c r="T127" s="102">
        <f>SUM(Finance[[#This Row],[Samer]:[Margins]])</f>
        <v>10</v>
      </c>
      <c r="U127" s="103">
        <f>ABS(Finance[[#This Row],[Total (EGP)]])</f>
        <v>10</v>
      </c>
      <c r="V127" s="180"/>
    </row>
    <row r="128" spans="2:22" ht="18" customHeight="1" x14ac:dyDescent="0.3">
      <c r="B128" s="139">
        <v>45715</v>
      </c>
      <c r="C128" s="140">
        <f>YEAR(Finance[[#This Row],[Date]])</f>
        <v>2025</v>
      </c>
      <c r="D128" s="141">
        <f>MONTH(Finance[[#This Row],[Date]])</f>
        <v>2</v>
      </c>
      <c r="E128" s="6" t="s">
        <v>300</v>
      </c>
      <c r="F128" s="6" t="s">
        <v>73</v>
      </c>
      <c r="G128" s="6" t="s">
        <v>75</v>
      </c>
      <c r="H128" s="134" t="s">
        <v>234</v>
      </c>
      <c r="I128" s="135" t="s">
        <v>177</v>
      </c>
      <c r="J128" s="136">
        <v>4</v>
      </c>
      <c r="K128" s="143"/>
      <c r="L128" s="144"/>
      <c r="M128" s="145"/>
      <c r="N128" s="145"/>
      <c r="O128" s="146"/>
      <c r="P128" s="146"/>
      <c r="Q128" s="145">
        <v>-12147.48</v>
      </c>
      <c r="R128" s="145"/>
      <c r="S128" s="147"/>
      <c r="T128" s="102">
        <f>SUM(Finance[[#This Row],[Samer]:[Margins]])</f>
        <v>-12147.48</v>
      </c>
      <c r="U128" s="103">
        <f>ABS(Finance[[#This Row],[Total (EGP)]])</f>
        <v>12147.48</v>
      </c>
      <c r="V128" s="148"/>
    </row>
    <row r="129" spans="2:22" ht="18" customHeight="1" x14ac:dyDescent="0.3">
      <c r="B129" s="139">
        <v>45715</v>
      </c>
      <c r="C129" s="140">
        <f>YEAR(Finance[[#This Row],[Date]])</f>
        <v>2025</v>
      </c>
      <c r="D129" s="141">
        <f>MONTH(Finance[[#This Row],[Date]])</f>
        <v>2</v>
      </c>
      <c r="E129" s="6" t="s">
        <v>237</v>
      </c>
      <c r="F129" s="6" t="s">
        <v>73</v>
      </c>
      <c r="G129" s="6" t="s">
        <v>75</v>
      </c>
      <c r="H129" s="134" t="s">
        <v>90</v>
      </c>
      <c r="I129" s="135" t="s">
        <v>177</v>
      </c>
      <c r="J129" s="136">
        <v>4</v>
      </c>
      <c r="K129" s="143"/>
      <c r="L129" s="144"/>
      <c r="M129" s="145"/>
      <c r="N129" s="145"/>
      <c r="O129" s="146"/>
      <c r="P129" s="146"/>
      <c r="Q129" s="145">
        <f>-12147.48*0.14</f>
        <v>-1700.6472000000001</v>
      </c>
      <c r="R129" s="145"/>
      <c r="S129" s="147"/>
      <c r="T129" s="102">
        <f>SUM(Finance[[#This Row],[Samer]:[Margins]])</f>
        <v>-1700.6472000000001</v>
      </c>
      <c r="U129" s="103">
        <f>ABS(Finance[[#This Row],[Total (EGP)]])</f>
        <v>1700.6472000000001</v>
      </c>
      <c r="V129" s="148"/>
    </row>
    <row r="130" spans="2:22" ht="18" customHeight="1" x14ac:dyDescent="0.3">
      <c r="B130" s="139">
        <v>45715</v>
      </c>
      <c r="C130" s="140">
        <f>YEAR(Finance[[#This Row],[Date]])</f>
        <v>2025</v>
      </c>
      <c r="D130" s="141">
        <f>MONTH(Finance[[#This Row],[Date]])</f>
        <v>2</v>
      </c>
      <c r="E130" s="6" t="s">
        <v>238</v>
      </c>
      <c r="F130" s="6" t="s">
        <v>84</v>
      </c>
      <c r="G130" s="6" t="s">
        <v>86</v>
      </c>
      <c r="H130" s="134" t="s">
        <v>234</v>
      </c>
      <c r="I130" s="135" t="s">
        <v>177</v>
      </c>
      <c r="J130" s="136">
        <v>4</v>
      </c>
      <c r="K130" s="143"/>
      <c r="L130" s="144"/>
      <c r="M130" s="145"/>
      <c r="N130" s="145"/>
      <c r="O130" s="146"/>
      <c r="P130" s="146"/>
      <c r="Q130" s="145">
        <f>12147.48*0.03</f>
        <v>364.42439999999999</v>
      </c>
      <c r="R130" s="145"/>
      <c r="S130" s="147"/>
      <c r="T130" s="102">
        <f>SUM(Finance[[#This Row],[Samer]:[Margins]])</f>
        <v>364.42439999999999</v>
      </c>
      <c r="U130" s="103">
        <f>ABS(Finance[[#This Row],[Total (EGP)]])</f>
        <v>364.42439999999999</v>
      </c>
      <c r="V130" s="148"/>
    </row>
    <row r="131" spans="2:22" ht="18" customHeight="1" x14ac:dyDescent="0.3">
      <c r="B131" s="139">
        <v>45715</v>
      </c>
      <c r="C131" s="140">
        <f>YEAR(Finance[[#This Row],[Date]])</f>
        <v>2025</v>
      </c>
      <c r="D131" s="141">
        <f>MONTH(Finance[[#This Row],[Date]])</f>
        <v>2</v>
      </c>
      <c r="E131" s="6" t="s">
        <v>299</v>
      </c>
      <c r="F131" s="6" t="s">
        <v>73</v>
      </c>
      <c r="G131" s="6" t="s">
        <v>233</v>
      </c>
      <c r="H131" s="134" t="s">
        <v>234</v>
      </c>
      <c r="I131" s="135" t="s">
        <v>235</v>
      </c>
      <c r="J131" s="136">
        <v>1</v>
      </c>
      <c r="K131" s="143"/>
      <c r="L131" s="144"/>
      <c r="M131" s="145"/>
      <c r="N131" s="145"/>
      <c r="O131" s="146"/>
      <c r="P131" s="146"/>
      <c r="Q131" s="145">
        <v>-165817.69</v>
      </c>
      <c r="R131" s="145"/>
      <c r="S131" s="147"/>
      <c r="T131" s="102">
        <f>SUM(Finance[[#This Row],[Samer]:[Margins]])</f>
        <v>-165817.69</v>
      </c>
      <c r="U131" s="103">
        <f>ABS(Finance[[#This Row],[Total (EGP)]])</f>
        <v>165817.69</v>
      </c>
      <c r="V131" s="148"/>
    </row>
    <row r="132" spans="2:22" ht="18" customHeight="1" x14ac:dyDescent="0.3">
      <c r="B132" s="139">
        <v>45715</v>
      </c>
      <c r="C132" s="140">
        <f>YEAR(Finance[[#This Row],[Date]])</f>
        <v>2025</v>
      </c>
      <c r="D132" s="141">
        <f>MONTH(Finance[[#This Row],[Date]])</f>
        <v>2</v>
      </c>
      <c r="E132" s="6" t="s">
        <v>237</v>
      </c>
      <c r="F132" s="6" t="s">
        <v>73</v>
      </c>
      <c r="G132" s="126" t="s">
        <v>233</v>
      </c>
      <c r="H132" s="127" t="s">
        <v>90</v>
      </c>
      <c r="I132" s="135" t="s">
        <v>235</v>
      </c>
      <c r="J132" s="129">
        <v>1</v>
      </c>
      <c r="K132" s="143"/>
      <c r="L132" s="144"/>
      <c r="M132" s="145"/>
      <c r="N132" s="145"/>
      <c r="O132" s="146"/>
      <c r="P132" s="146"/>
      <c r="Q132" s="145">
        <f>-507374.14*0.14</f>
        <v>-71032.379600000015</v>
      </c>
      <c r="R132" s="145"/>
      <c r="S132" s="147"/>
      <c r="T132" s="102">
        <f>SUM(Finance[[#This Row],[Samer]:[Margins]])</f>
        <v>-71032.379600000015</v>
      </c>
      <c r="U132" s="103">
        <f>ABS(Finance[[#This Row],[Total (EGP)]])</f>
        <v>71032.379600000015</v>
      </c>
      <c r="V132" s="148"/>
    </row>
    <row r="133" spans="2:22" ht="18" customHeight="1" x14ac:dyDescent="0.3">
      <c r="B133" s="139">
        <v>45715</v>
      </c>
      <c r="C133" s="140">
        <f>YEAR(Finance[[#This Row],[Date]])</f>
        <v>2025</v>
      </c>
      <c r="D133" s="141">
        <f>MONTH(Finance[[#This Row],[Date]])</f>
        <v>2</v>
      </c>
      <c r="E133" s="6" t="s">
        <v>238</v>
      </c>
      <c r="F133" s="6" t="s">
        <v>84</v>
      </c>
      <c r="G133" s="6" t="s">
        <v>86</v>
      </c>
      <c r="H133" s="134" t="s">
        <v>234</v>
      </c>
      <c r="I133" s="135" t="s">
        <v>235</v>
      </c>
      <c r="J133" s="129">
        <v>1</v>
      </c>
      <c r="K133" s="143"/>
      <c r="L133" s="144"/>
      <c r="M133" s="145"/>
      <c r="N133" s="145"/>
      <c r="O133" s="146"/>
      <c r="P133" s="146"/>
      <c r="Q133" s="145">
        <f>507374.14*0.03</f>
        <v>15221.224200000001</v>
      </c>
      <c r="R133" s="145"/>
      <c r="S133" s="147"/>
      <c r="T133" s="102">
        <f>SUM(Finance[[#This Row],[Samer]:[Margins]])</f>
        <v>15221.224200000001</v>
      </c>
      <c r="U133" s="103">
        <f>ABS(Finance[[#This Row],[Total (EGP)]])</f>
        <v>15221.224200000001</v>
      </c>
      <c r="V133" s="148"/>
    </row>
    <row r="134" spans="2:22" ht="18" customHeight="1" x14ac:dyDescent="0.3">
      <c r="B134" s="139">
        <v>45715</v>
      </c>
      <c r="C134" s="140">
        <f>YEAR(Finance[[#This Row],[Date]])</f>
        <v>2025</v>
      </c>
      <c r="D134" s="141">
        <f>MONTH(Finance[[#This Row],[Date]])</f>
        <v>2</v>
      </c>
      <c r="E134" s="6" t="s">
        <v>301</v>
      </c>
      <c r="F134" s="6" t="s">
        <v>73</v>
      </c>
      <c r="G134" s="6" t="s">
        <v>233</v>
      </c>
      <c r="H134" s="134" t="s">
        <v>234</v>
      </c>
      <c r="I134" s="135" t="s">
        <v>235</v>
      </c>
      <c r="J134" s="136">
        <v>1</v>
      </c>
      <c r="K134" s="143"/>
      <c r="L134" s="144"/>
      <c r="M134" s="145"/>
      <c r="N134" s="145"/>
      <c r="O134" s="146"/>
      <c r="P134" s="146"/>
      <c r="Q134" s="145">
        <v>-14887.45</v>
      </c>
      <c r="R134" s="145"/>
      <c r="S134" s="147"/>
      <c r="T134" s="102">
        <f>SUM(Finance[[#This Row],[Samer]:[Margins]])</f>
        <v>-14887.45</v>
      </c>
      <c r="U134" s="103">
        <f>ABS(Finance[[#This Row],[Total (EGP)]])</f>
        <v>14887.45</v>
      </c>
      <c r="V134" s="148"/>
    </row>
    <row r="135" spans="2:22" ht="18" customHeight="1" x14ac:dyDescent="0.3">
      <c r="B135" s="139">
        <v>45715</v>
      </c>
      <c r="C135" s="140">
        <f>YEAR(Finance[[#This Row],[Date]])</f>
        <v>2025</v>
      </c>
      <c r="D135" s="141">
        <f>MONTH(Finance[[#This Row],[Date]])</f>
        <v>2</v>
      </c>
      <c r="E135" s="126" t="s">
        <v>240</v>
      </c>
      <c r="F135" s="126" t="s">
        <v>37</v>
      </c>
      <c r="G135" s="126" t="s">
        <v>36</v>
      </c>
      <c r="H135" s="127" t="s">
        <v>181</v>
      </c>
      <c r="I135" s="128" t="s">
        <v>175</v>
      </c>
      <c r="J135" s="129">
        <v>0</v>
      </c>
      <c r="K135" s="143"/>
      <c r="L135" s="144"/>
      <c r="M135" s="145"/>
      <c r="N135" s="145"/>
      <c r="O135" s="146"/>
      <c r="P135" s="146"/>
      <c r="Q135" s="145">
        <f>250000</f>
        <v>250000</v>
      </c>
      <c r="R135" s="145">
        <v>-250000</v>
      </c>
      <c r="S135" s="147"/>
      <c r="T135" s="102">
        <f>SUM(Finance[[#This Row],[Samer]:[Margins]])</f>
        <v>0</v>
      </c>
      <c r="U135" s="103">
        <f>ABS(Finance[[#This Row],[Total (EGP)]])</f>
        <v>0</v>
      </c>
      <c r="V135" s="148"/>
    </row>
    <row r="136" spans="2:22" ht="18" customHeight="1" x14ac:dyDescent="0.3">
      <c r="B136" s="139">
        <v>45715</v>
      </c>
      <c r="C136" s="140">
        <f>YEAR(Finance[[#This Row],[Date]])</f>
        <v>2025</v>
      </c>
      <c r="D136" s="141">
        <f>MONTH(Finance[[#This Row],[Date]])</f>
        <v>2</v>
      </c>
      <c r="E136" s="6" t="s">
        <v>302</v>
      </c>
      <c r="F136" s="6" t="s">
        <v>30</v>
      </c>
      <c r="G136" s="6" t="s">
        <v>88</v>
      </c>
      <c r="H136" s="134" t="s">
        <v>210</v>
      </c>
      <c r="I136" s="135" t="s">
        <v>177</v>
      </c>
      <c r="J136" s="136">
        <v>4</v>
      </c>
      <c r="K136" s="31"/>
      <c r="L136" s="132">
        <f>5*975</f>
        <v>4875</v>
      </c>
      <c r="M136" s="145"/>
      <c r="N136" s="145"/>
      <c r="O136" s="146"/>
      <c r="P136" s="146"/>
      <c r="Q136" s="145"/>
      <c r="R136" s="145"/>
      <c r="S136" s="147"/>
      <c r="T136" s="102">
        <f>SUM(Finance[[#This Row],[Samer]:[Margins]])</f>
        <v>4875</v>
      </c>
      <c r="U136" s="103">
        <f>ABS(Finance[[#This Row],[Total (EGP)]])</f>
        <v>4875</v>
      </c>
      <c r="V136" s="148"/>
    </row>
    <row r="137" spans="2:22" ht="18" customHeight="1" x14ac:dyDescent="0.3">
      <c r="B137" s="154">
        <v>45715</v>
      </c>
      <c r="C137" s="155">
        <f>YEAR(Finance[[#This Row],[Date]])</f>
        <v>2025</v>
      </c>
      <c r="D137" s="141">
        <f>MONTH(Finance[[#This Row],[Date]])</f>
        <v>2</v>
      </c>
      <c r="E137" s="6" t="s">
        <v>254</v>
      </c>
      <c r="F137" s="39" t="s">
        <v>29</v>
      </c>
      <c r="G137" s="39" t="s">
        <v>55</v>
      </c>
      <c r="H137" s="48" t="s">
        <v>257</v>
      </c>
      <c r="I137" s="114" t="s">
        <v>175</v>
      </c>
      <c r="J137" s="131">
        <v>3</v>
      </c>
      <c r="K137" s="162"/>
      <c r="L137" s="163"/>
      <c r="M137" s="164"/>
      <c r="N137" s="164"/>
      <c r="O137" s="165"/>
      <c r="P137" s="165"/>
      <c r="Q137" s="145"/>
      <c r="R137" s="164"/>
      <c r="S137" s="166">
        <v>5922</v>
      </c>
      <c r="T137" s="102">
        <f>SUM(Finance[[#This Row],[Samer]:[Margins]])</f>
        <v>5922</v>
      </c>
      <c r="U137" s="103">
        <f>ABS(Finance[[#This Row],[Total (EGP)]])</f>
        <v>5922</v>
      </c>
      <c r="V137" s="167"/>
    </row>
    <row r="138" spans="2:22" ht="18" customHeight="1" x14ac:dyDescent="0.3">
      <c r="B138" s="154">
        <v>45715</v>
      </c>
      <c r="C138" s="155">
        <f>YEAR(Finance[[#This Row],[Date]])</f>
        <v>2025</v>
      </c>
      <c r="D138" s="141">
        <f>MONTH(Finance[[#This Row],[Date]])</f>
        <v>2</v>
      </c>
      <c r="E138" s="6" t="s">
        <v>101</v>
      </c>
      <c r="F138" s="39" t="s">
        <v>29</v>
      </c>
      <c r="G138" s="6" t="s">
        <v>101</v>
      </c>
      <c r="H138" s="134" t="s">
        <v>74</v>
      </c>
      <c r="I138" s="135" t="s">
        <v>175</v>
      </c>
      <c r="J138" s="136">
        <v>3</v>
      </c>
      <c r="K138" s="162"/>
      <c r="L138" s="163"/>
      <c r="M138" s="164"/>
      <c r="N138" s="164"/>
      <c r="O138" s="165"/>
      <c r="P138" s="165"/>
      <c r="Q138" s="145"/>
      <c r="R138" s="164"/>
      <c r="S138" s="166">
        <v>213</v>
      </c>
      <c r="T138" s="102">
        <f>SUM(Finance[[#This Row],[Samer]:[Margins]])</f>
        <v>213</v>
      </c>
      <c r="U138" s="103">
        <f>ABS(Finance[[#This Row],[Total (EGP)]])</f>
        <v>213</v>
      </c>
      <c r="V138" s="167"/>
    </row>
    <row r="139" spans="2:22" ht="18" customHeight="1" x14ac:dyDescent="0.3">
      <c r="B139" s="154">
        <v>45715</v>
      </c>
      <c r="C139" s="155">
        <f>YEAR(Finance[[#This Row],[Date]])</f>
        <v>2025</v>
      </c>
      <c r="D139" s="141">
        <f>MONTH(Finance[[#This Row],[Date]])</f>
        <v>2</v>
      </c>
      <c r="E139" s="39" t="s">
        <v>309</v>
      </c>
      <c r="F139" s="39" t="s">
        <v>29</v>
      </c>
      <c r="G139" s="6" t="s">
        <v>56</v>
      </c>
      <c r="H139" s="48" t="s">
        <v>142</v>
      </c>
      <c r="I139" s="135" t="s">
        <v>175</v>
      </c>
      <c r="J139" s="131">
        <v>3</v>
      </c>
      <c r="K139" s="162"/>
      <c r="L139" s="163"/>
      <c r="M139" s="164"/>
      <c r="N139" s="164"/>
      <c r="O139" s="165"/>
      <c r="P139" s="165"/>
      <c r="Q139" s="145"/>
      <c r="R139" s="164"/>
      <c r="S139" s="166">
        <v>270</v>
      </c>
      <c r="T139" s="102">
        <f>SUM(Finance[[#This Row],[Samer]:[Margins]])</f>
        <v>270</v>
      </c>
      <c r="U139" s="103">
        <f>ABS(Finance[[#This Row],[Total (EGP)]])</f>
        <v>270</v>
      </c>
      <c r="V139" s="167"/>
    </row>
    <row r="140" spans="2:22" ht="18" customHeight="1" x14ac:dyDescent="0.3">
      <c r="B140" s="154">
        <v>45715</v>
      </c>
      <c r="C140" s="155">
        <f>YEAR(Finance[[#This Row],[Date]])</f>
        <v>2025</v>
      </c>
      <c r="D140" s="141">
        <f>MONTH(Finance[[#This Row],[Date]])</f>
        <v>2</v>
      </c>
      <c r="E140" s="158" t="s">
        <v>179</v>
      </c>
      <c r="F140" s="158" t="s">
        <v>37</v>
      </c>
      <c r="G140" s="158" t="s">
        <v>36</v>
      </c>
      <c r="H140" s="159" t="s">
        <v>181</v>
      </c>
      <c r="I140" s="160" t="s">
        <v>175</v>
      </c>
      <c r="J140" s="161">
        <v>0</v>
      </c>
      <c r="K140" s="162"/>
      <c r="L140" s="163">
        <f>-89689-60000</f>
        <v>-149689</v>
      </c>
      <c r="M140" s="164"/>
      <c r="N140" s="164"/>
      <c r="O140" s="165"/>
      <c r="P140" s="165"/>
      <c r="Q140" s="164"/>
      <c r="R140" s="164">
        <f>89689+60000</f>
        <v>149689</v>
      </c>
      <c r="S140" s="166"/>
      <c r="T140" s="102">
        <f>SUM(Finance[[#This Row],[Samer]:[Margins]])</f>
        <v>0</v>
      </c>
      <c r="U140" s="103">
        <f>ABS(Finance[[#This Row],[Total (EGP)]])</f>
        <v>0</v>
      </c>
      <c r="V140" s="167"/>
    </row>
    <row r="141" spans="2:22" ht="18" customHeight="1" x14ac:dyDescent="0.3">
      <c r="B141" s="154">
        <v>45715</v>
      </c>
      <c r="C141" s="155">
        <f>YEAR(Finance[[#This Row],[Date]])</f>
        <v>2025</v>
      </c>
      <c r="D141" s="141">
        <f>MONTH(Finance[[#This Row],[Date]])</f>
        <v>2</v>
      </c>
      <c r="E141" s="39" t="s">
        <v>308</v>
      </c>
      <c r="F141" s="6" t="s">
        <v>34</v>
      </c>
      <c r="G141" s="6" t="s">
        <v>66</v>
      </c>
      <c r="H141" s="134" t="s">
        <v>210</v>
      </c>
      <c r="I141" s="135" t="s">
        <v>175</v>
      </c>
      <c r="J141" s="136">
        <v>1</v>
      </c>
      <c r="K141" s="31"/>
      <c r="L141" s="132">
        <f>90000*0.25</f>
        <v>22500</v>
      </c>
      <c r="M141" s="164"/>
      <c r="N141" s="164"/>
      <c r="O141" s="165"/>
      <c r="P141" s="165"/>
      <c r="Q141" s="145"/>
      <c r="R141" s="145">
        <f>38000+32378.2+30000*0.5+18278+25000</f>
        <v>128656.2</v>
      </c>
      <c r="S141" s="166"/>
      <c r="T141" s="102">
        <f>SUM(Finance[[#This Row],[Samer]:[Margins]])</f>
        <v>151156.20000000001</v>
      </c>
      <c r="U141" s="103">
        <f>ABS(Finance[[#This Row],[Total (EGP)]])</f>
        <v>151156.20000000001</v>
      </c>
      <c r="V141" s="167"/>
    </row>
    <row r="142" spans="2:22" ht="18" customHeight="1" x14ac:dyDescent="0.3">
      <c r="B142" s="154">
        <v>45715</v>
      </c>
      <c r="C142" s="155">
        <f>YEAR(Finance[[#This Row],[Date]])</f>
        <v>2025</v>
      </c>
      <c r="D142" s="141">
        <f>MONTH(Finance[[#This Row],[Date]])</f>
        <v>2</v>
      </c>
      <c r="E142" s="39" t="s">
        <v>307</v>
      </c>
      <c r="F142" s="6" t="s">
        <v>34</v>
      </c>
      <c r="G142" s="6" t="s">
        <v>66</v>
      </c>
      <c r="H142" s="134" t="s">
        <v>211</v>
      </c>
      <c r="I142" s="135" t="s">
        <v>175</v>
      </c>
      <c r="J142" s="136">
        <v>3</v>
      </c>
      <c r="K142" s="31"/>
      <c r="L142" s="132">
        <f>90000*0.3</f>
        <v>27000</v>
      </c>
      <c r="M142" s="164"/>
      <c r="N142" s="164"/>
      <c r="O142" s="165"/>
      <c r="P142" s="165"/>
      <c r="Q142" s="145"/>
      <c r="R142" s="145">
        <f>17202.9+19500+12500</f>
        <v>49202.9</v>
      </c>
      <c r="S142" s="166"/>
      <c r="T142" s="102">
        <f>SUM(Finance[[#This Row],[Samer]:[Margins]])</f>
        <v>76202.899999999994</v>
      </c>
      <c r="U142" s="103">
        <f>ABS(Finance[[#This Row],[Total (EGP)]])</f>
        <v>76202.899999999994</v>
      </c>
      <c r="V142" s="167"/>
    </row>
    <row r="143" spans="2:22" ht="18" customHeight="1" x14ac:dyDescent="0.3">
      <c r="B143" s="154">
        <v>45715</v>
      </c>
      <c r="C143" s="155">
        <f>YEAR(Finance[[#This Row],[Date]])</f>
        <v>2025</v>
      </c>
      <c r="D143" s="141">
        <f>MONTH(Finance[[#This Row],[Date]])</f>
        <v>2</v>
      </c>
      <c r="E143" s="39" t="s">
        <v>306</v>
      </c>
      <c r="F143" s="6" t="s">
        <v>34</v>
      </c>
      <c r="G143" s="6" t="s">
        <v>66</v>
      </c>
      <c r="H143" s="134" t="s">
        <v>212</v>
      </c>
      <c r="I143" s="135" t="s">
        <v>175</v>
      </c>
      <c r="J143" s="136">
        <v>4</v>
      </c>
      <c r="K143" s="31"/>
      <c r="L143" s="132">
        <f>90000*0.2</f>
        <v>18000</v>
      </c>
      <c r="M143" s="164"/>
      <c r="N143" s="164"/>
      <c r="O143" s="165"/>
      <c r="P143" s="165"/>
      <c r="Q143" s="145"/>
      <c r="R143" s="145">
        <f>22519.3+30000*0.5+19916</f>
        <v>57435.3</v>
      </c>
      <c r="S143" s="166"/>
      <c r="T143" s="102">
        <f>SUM(Finance[[#This Row],[Samer]:[Margins]])</f>
        <v>75435.3</v>
      </c>
      <c r="U143" s="103">
        <f>ABS(Finance[[#This Row],[Total (EGP)]])</f>
        <v>75435.3</v>
      </c>
      <c r="V143" s="167"/>
    </row>
    <row r="144" spans="2:22" ht="18" customHeight="1" x14ac:dyDescent="0.3">
      <c r="B144" s="154">
        <v>45715</v>
      </c>
      <c r="C144" s="155">
        <f>YEAR(Finance[[#This Row],[Date]])</f>
        <v>2025</v>
      </c>
      <c r="D144" s="141">
        <f>MONTH(Finance[[#This Row],[Date]])</f>
        <v>2</v>
      </c>
      <c r="E144" s="39" t="s">
        <v>305</v>
      </c>
      <c r="F144" s="6" t="s">
        <v>34</v>
      </c>
      <c r="G144" s="6" t="s">
        <v>66</v>
      </c>
      <c r="H144" s="134" t="s">
        <v>209</v>
      </c>
      <c r="I144" s="135" t="s">
        <v>175</v>
      </c>
      <c r="J144" s="136">
        <v>2</v>
      </c>
      <c r="K144" s="31"/>
      <c r="L144" s="132">
        <f>90000*0.25</f>
        <v>22500</v>
      </c>
      <c r="M144" s="164"/>
      <c r="N144" s="164"/>
      <c r="O144" s="165"/>
      <c r="P144" s="165"/>
      <c r="Q144" s="145"/>
      <c r="R144" s="145">
        <f>38000+17000+16765.4+13000</f>
        <v>84765.4</v>
      </c>
      <c r="S144" s="166"/>
      <c r="T144" s="102">
        <f>SUM(Finance[[#This Row],[Samer]:[Margins]])</f>
        <v>107265.4</v>
      </c>
      <c r="U144" s="103">
        <f>ABS(Finance[[#This Row],[Total (EGP)]])</f>
        <v>107265.4</v>
      </c>
      <c r="V144" s="167"/>
    </row>
    <row r="145" spans="2:22" ht="18" customHeight="1" x14ac:dyDescent="0.3">
      <c r="B145" s="154">
        <v>45715</v>
      </c>
      <c r="C145" s="155">
        <f>YEAR(Finance[[#This Row],[Date]])</f>
        <v>2025</v>
      </c>
      <c r="D145" s="141">
        <f>MONTH(Finance[[#This Row],[Date]])</f>
        <v>2</v>
      </c>
      <c r="E145" s="39" t="s">
        <v>304</v>
      </c>
      <c r="F145" s="39" t="s">
        <v>29</v>
      </c>
      <c r="G145" s="39" t="s">
        <v>213</v>
      </c>
      <c r="H145" s="48" t="s">
        <v>214</v>
      </c>
      <c r="I145" s="114" t="s">
        <v>175</v>
      </c>
      <c r="J145" s="131">
        <v>3</v>
      </c>
      <c r="K145" s="31"/>
      <c r="L145" s="132">
        <v>-311</v>
      </c>
      <c r="M145" s="164"/>
      <c r="N145" s="164"/>
      <c r="O145" s="165"/>
      <c r="P145" s="165"/>
      <c r="Q145" s="145"/>
      <c r="R145" s="145">
        <f>-311*10-691</f>
        <v>-3801</v>
      </c>
      <c r="S145" s="166"/>
      <c r="T145" s="102">
        <f>SUM(Finance[[#This Row],[Samer]:[Margins]])</f>
        <v>-4112</v>
      </c>
      <c r="U145" s="103">
        <f>ABS(Finance[[#This Row],[Total (EGP)]])</f>
        <v>4112</v>
      </c>
      <c r="V145" s="167"/>
    </row>
    <row r="146" spans="2:22" ht="18" customHeight="1" x14ac:dyDescent="0.3">
      <c r="B146" s="154">
        <v>45715</v>
      </c>
      <c r="C146" s="155">
        <f>YEAR(Finance[[#This Row],[Date]])</f>
        <v>2025</v>
      </c>
      <c r="D146" s="141">
        <f>MONTH(Finance[[#This Row],[Date]])</f>
        <v>2</v>
      </c>
      <c r="E146" s="6" t="s">
        <v>303</v>
      </c>
      <c r="F146" s="6" t="s">
        <v>34</v>
      </c>
      <c r="G146" s="6" t="s">
        <v>66</v>
      </c>
      <c r="H146" s="134" t="s">
        <v>209</v>
      </c>
      <c r="I146" s="114" t="s">
        <v>175</v>
      </c>
      <c r="J146" s="136">
        <v>2</v>
      </c>
      <c r="K146" s="143"/>
      <c r="L146" s="144">
        <v>8000</v>
      </c>
      <c r="M146" s="164"/>
      <c r="N146" s="164"/>
      <c r="O146" s="165"/>
      <c r="P146" s="165"/>
      <c r="Q146" s="145"/>
      <c r="R146" s="164"/>
      <c r="S146" s="166"/>
      <c r="T146" s="102">
        <f>SUM(Finance[[#This Row],[Samer]:[Margins]])</f>
        <v>8000</v>
      </c>
      <c r="U146" s="103">
        <f>ABS(Finance[[#This Row],[Total (EGP)]])</f>
        <v>8000</v>
      </c>
      <c r="V146" s="167"/>
    </row>
    <row r="147" spans="2:22" ht="18" customHeight="1" x14ac:dyDescent="0.3">
      <c r="B147" s="139">
        <v>45715</v>
      </c>
      <c r="C147" s="140">
        <f>YEAR(Finance[[#This Row],[Date]])</f>
        <v>2025</v>
      </c>
      <c r="D147" s="141">
        <f>MONTH(Finance[[#This Row],[Date]])</f>
        <v>2</v>
      </c>
      <c r="E147" s="39" t="s">
        <v>208</v>
      </c>
      <c r="F147" s="6" t="s">
        <v>30</v>
      </c>
      <c r="G147" s="6" t="s">
        <v>88</v>
      </c>
      <c r="H147" s="134" t="s">
        <v>209</v>
      </c>
      <c r="I147" s="135" t="s">
        <v>175</v>
      </c>
      <c r="J147" s="136">
        <v>2</v>
      </c>
      <c r="K147" s="143"/>
      <c r="L147" s="144">
        <f>54*325</f>
        <v>17550</v>
      </c>
      <c r="M147" s="145"/>
      <c r="N147" s="145"/>
      <c r="O147" s="146"/>
      <c r="P147" s="146"/>
      <c r="Q147" s="145"/>
      <c r="R147" s="145"/>
      <c r="S147" s="147"/>
      <c r="T147" s="102">
        <f>SUM(Finance[[#This Row],[Samer]:[Margins]])</f>
        <v>17550</v>
      </c>
      <c r="U147" s="103">
        <f>ABS(Finance[[#This Row],[Total (EGP)]])</f>
        <v>17550</v>
      </c>
      <c r="V147" s="148"/>
    </row>
    <row r="148" spans="2:22" ht="18" customHeight="1" x14ac:dyDescent="0.3">
      <c r="B148" s="154">
        <v>45715</v>
      </c>
      <c r="C148" s="155">
        <f>YEAR(Finance[[#This Row],[Date]])</f>
        <v>2025</v>
      </c>
      <c r="D148" s="141">
        <f>MONTH(Finance[[#This Row],[Date]])</f>
        <v>2</v>
      </c>
      <c r="E148" s="6" t="s">
        <v>314</v>
      </c>
      <c r="F148" s="39" t="s">
        <v>84</v>
      </c>
      <c r="G148" s="6" t="s">
        <v>85</v>
      </c>
      <c r="H148" s="48" t="s">
        <v>222</v>
      </c>
      <c r="I148" s="135" t="s">
        <v>175</v>
      </c>
      <c r="J148" s="136">
        <v>3</v>
      </c>
      <c r="K148" s="162"/>
      <c r="L148" s="163"/>
      <c r="M148" s="164"/>
      <c r="N148" s="164"/>
      <c r="O148" s="165"/>
      <c r="P148" s="165"/>
      <c r="Q148" s="164"/>
      <c r="R148" s="164">
        <v>9851</v>
      </c>
      <c r="S148" s="166"/>
      <c r="T148" s="102">
        <f>SUM(Finance[[#This Row],[Samer]:[Margins]])</f>
        <v>9851</v>
      </c>
      <c r="U148" s="103">
        <f>ABS(Finance[[#This Row],[Total (EGP)]])</f>
        <v>9851</v>
      </c>
      <c r="V148" s="167"/>
    </row>
    <row r="149" spans="2:22" ht="18" customHeight="1" x14ac:dyDescent="0.3">
      <c r="B149" s="154">
        <v>45715</v>
      </c>
      <c r="C149" s="155">
        <f>YEAR(Finance[[#This Row],[Date]])</f>
        <v>2025</v>
      </c>
      <c r="D149" s="141">
        <f>MONTH(Finance[[#This Row],[Date]])</f>
        <v>2</v>
      </c>
      <c r="E149" s="6" t="s">
        <v>223</v>
      </c>
      <c r="F149" s="39" t="s">
        <v>29</v>
      </c>
      <c r="G149" s="6" t="s">
        <v>95</v>
      </c>
      <c r="H149" s="48" t="s">
        <v>194</v>
      </c>
      <c r="I149" s="135" t="s">
        <v>175</v>
      </c>
      <c r="J149" s="136">
        <v>3</v>
      </c>
      <c r="K149" s="162"/>
      <c r="L149" s="163"/>
      <c r="M149" s="164"/>
      <c r="N149" s="164"/>
      <c r="O149" s="165"/>
      <c r="P149" s="165"/>
      <c r="Q149" s="145"/>
      <c r="R149" s="164">
        <f>9851*0.0107002</f>
        <v>105.4076702</v>
      </c>
      <c r="S149" s="166"/>
      <c r="T149" s="102">
        <f>SUM(Finance[[#This Row],[Samer]:[Margins]])</f>
        <v>105.4076702</v>
      </c>
      <c r="U149" s="103">
        <f>ABS(Finance[[#This Row],[Total (EGP)]])</f>
        <v>105.4076702</v>
      </c>
      <c r="V149" s="167"/>
    </row>
    <row r="150" spans="2:22" ht="18" customHeight="1" x14ac:dyDescent="0.3">
      <c r="B150" s="154">
        <v>45715</v>
      </c>
      <c r="C150" s="155">
        <f>YEAR(Finance[[#This Row],[Date]])</f>
        <v>2025</v>
      </c>
      <c r="D150" s="141">
        <f>MONTH(Finance[[#This Row],[Date]])</f>
        <v>2</v>
      </c>
      <c r="E150" s="6" t="s">
        <v>315</v>
      </c>
      <c r="F150" s="6" t="s">
        <v>29</v>
      </c>
      <c r="G150" s="6" t="s">
        <v>108</v>
      </c>
      <c r="H150" s="134" t="s">
        <v>194</v>
      </c>
      <c r="I150" s="135" t="s">
        <v>175</v>
      </c>
      <c r="J150" s="136">
        <v>3</v>
      </c>
      <c r="K150" s="162"/>
      <c r="L150" s="163"/>
      <c r="M150" s="164"/>
      <c r="N150" s="164"/>
      <c r="O150" s="165"/>
      <c r="P150" s="165"/>
      <c r="Q150" s="145"/>
      <c r="R150" s="164">
        <v>324.2</v>
      </c>
      <c r="S150" s="166"/>
      <c r="T150" s="102">
        <f>SUM(Finance[[#This Row],[Samer]:[Margins]])</f>
        <v>324.2</v>
      </c>
      <c r="U150" s="103">
        <f>ABS(Finance[[#This Row],[Total (EGP)]])</f>
        <v>324.2</v>
      </c>
      <c r="V150" s="167"/>
    </row>
    <row r="151" spans="2:22" ht="18" customHeight="1" x14ac:dyDescent="0.3">
      <c r="B151" s="168">
        <v>45715</v>
      </c>
      <c r="C151" s="169">
        <f>YEAR(Finance[[#This Row],[Date]])</f>
        <v>2025</v>
      </c>
      <c r="D151" s="141">
        <f>MONTH(Finance[[#This Row],[Date]])</f>
        <v>2</v>
      </c>
      <c r="E151" s="6" t="s">
        <v>376</v>
      </c>
      <c r="F151" s="6" t="s">
        <v>29</v>
      </c>
      <c r="G151" s="6" t="s">
        <v>95</v>
      </c>
      <c r="H151" s="134" t="s">
        <v>194</v>
      </c>
      <c r="I151" s="135" t="s">
        <v>175</v>
      </c>
      <c r="J151" s="136">
        <v>3</v>
      </c>
      <c r="K151" s="175"/>
      <c r="L151" s="176"/>
      <c r="M151" s="177"/>
      <c r="N151" s="177"/>
      <c r="O151" s="178"/>
      <c r="P151" s="178"/>
      <c r="Q151" s="177"/>
      <c r="R151" s="177">
        <f>65.77+128.8</f>
        <v>194.57</v>
      </c>
      <c r="S151" s="179"/>
      <c r="T151" s="102">
        <f>SUM(Finance[[#This Row],[Samer]:[Margins]])</f>
        <v>194.57</v>
      </c>
      <c r="U151" s="103">
        <f>ABS(Finance[[#This Row],[Total (EGP)]])</f>
        <v>194.57</v>
      </c>
      <c r="V151" s="180"/>
    </row>
    <row r="152" spans="2:22" ht="18" customHeight="1" x14ac:dyDescent="0.3">
      <c r="B152" s="154">
        <v>45716</v>
      </c>
      <c r="C152" s="155">
        <f>YEAR(Finance[[#This Row],[Date]])</f>
        <v>2025</v>
      </c>
      <c r="D152" s="141">
        <f>MONTH(Finance[[#This Row],[Date]])</f>
        <v>2</v>
      </c>
      <c r="E152" s="6" t="s">
        <v>310</v>
      </c>
      <c r="F152" s="39" t="s">
        <v>84</v>
      </c>
      <c r="G152" s="39" t="s">
        <v>90</v>
      </c>
      <c r="H152" s="48" t="s">
        <v>143</v>
      </c>
      <c r="I152" s="149" t="s">
        <v>175</v>
      </c>
      <c r="J152" s="131">
        <v>1</v>
      </c>
      <c r="K152" s="162"/>
      <c r="L152" s="163"/>
      <c r="M152" s="164"/>
      <c r="N152" s="164"/>
      <c r="O152" s="165"/>
      <c r="P152" s="165"/>
      <c r="Q152" s="164"/>
      <c r="R152" s="164">
        <v>0</v>
      </c>
      <c r="S152" s="166"/>
      <c r="T152" s="102">
        <f>SUM(Finance[[#This Row],[Samer]:[Margins]])</f>
        <v>0</v>
      </c>
      <c r="U152" s="103">
        <f>ABS(Finance[[#This Row],[Total (EGP)]])</f>
        <v>0</v>
      </c>
      <c r="V152" s="167"/>
    </row>
    <row r="153" spans="2:22" ht="18" customHeight="1" x14ac:dyDescent="0.3">
      <c r="B153" s="154">
        <v>45716</v>
      </c>
      <c r="C153" s="155">
        <f>YEAR(Finance[[#This Row],[Date]])</f>
        <v>2025</v>
      </c>
      <c r="D153" s="141">
        <f>MONTH(Finance[[#This Row],[Date]])</f>
        <v>2</v>
      </c>
      <c r="E153" s="6" t="s">
        <v>311</v>
      </c>
      <c r="F153" s="39" t="s">
        <v>84</v>
      </c>
      <c r="G153" s="39" t="s">
        <v>90</v>
      </c>
      <c r="H153" s="48" t="s">
        <v>143</v>
      </c>
      <c r="I153" s="149" t="s">
        <v>175</v>
      </c>
      <c r="J153" s="131">
        <v>4</v>
      </c>
      <c r="K153" s="162"/>
      <c r="L153" s="163"/>
      <c r="M153" s="164"/>
      <c r="N153" s="164"/>
      <c r="O153" s="165"/>
      <c r="P153" s="165"/>
      <c r="Q153" s="164"/>
      <c r="R153" s="164">
        <f>11240.6+0.11</f>
        <v>11240.710000000001</v>
      </c>
      <c r="S153" s="166"/>
      <c r="T153" s="102">
        <f>SUM(Finance[[#This Row],[Samer]:[Margins]])</f>
        <v>11240.710000000001</v>
      </c>
      <c r="U153" s="103">
        <f>ABS(Finance[[#This Row],[Total (EGP)]])</f>
        <v>11240.710000000001</v>
      </c>
      <c r="V153" s="167"/>
    </row>
    <row r="154" spans="2:22" ht="18" customHeight="1" x14ac:dyDescent="0.3">
      <c r="B154" s="154">
        <v>45716</v>
      </c>
      <c r="C154" s="155">
        <f>YEAR(Finance[[#This Row],[Date]])</f>
        <v>2025</v>
      </c>
      <c r="D154" s="141">
        <f>MONTH(Finance[[#This Row],[Date]])</f>
        <v>2</v>
      </c>
      <c r="E154" s="6" t="s">
        <v>312</v>
      </c>
      <c r="F154" s="39" t="s">
        <v>84</v>
      </c>
      <c r="G154" s="39" t="s">
        <v>90</v>
      </c>
      <c r="H154" s="48" t="s">
        <v>143</v>
      </c>
      <c r="I154" s="149" t="s">
        <v>175</v>
      </c>
      <c r="J154" s="131">
        <v>5</v>
      </c>
      <c r="K154" s="162"/>
      <c r="L154" s="163"/>
      <c r="M154" s="164"/>
      <c r="N154" s="164"/>
      <c r="O154" s="165"/>
      <c r="P154" s="165"/>
      <c r="Q154" s="164"/>
      <c r="R154" s="164">
        <v>2457</v>
      </c>
      <c r="S154" s="166"/>
      <c r="T154" s="102">
        <f>SUM(Finance[[#This Row],[Samer]:[Margins]])</f>
        <v>2457</v>
      </c>
      <c r="U154" s="103">
        <f>ABS(Finance[[#This Row],[Total (EGP)]])</f>
        <v>2457</v>
      </c>
      <c r="V154" s="167"/>
    </row>
    <row r="155" spans="2:22" ht="18" customHeight="1" x14ac:dyDescent="0.3">
      <c r="B155" s="154">
        <v>45716</v>
      </c>
      <c r="C155" s="155">
        <f>YEAR(Finance[[#This Row],[Date]])</f>
        <v>2025</v>
      </c>
      <c r="D155" s="141">
        <f>MONTH(Finance[[#This Row],[Date]])</f>
        <v>2</v>
      </c>
      <c r="E155" s="6" t="s">
        <v>313</v>
      </c>
      <c r="F155" s="39" t="s">
        <v>84</v>
      </c>
      <c r="G155" s="39" t="s">
        <v>90</v>
      </c>
      <c r="H155" s="48" t="s">
        <v>143</v>
      </c>
      <c r="I155" s="149" t="s">
        <v>175</v>
      </c>
      <c r="J155" s="131">
        <v>2</v>
      </c>
      <c r="K155" s="162"/>
      <c r="L155" s="163"/>
      <c r="M155" s="164"/>
      <c r="N155" s="164"/>
      <c r="O155" s="165"/>
      <c r="P155" s="165"/>
      <c r="Q155" s="164"/>
      <c r="R155" s="164">
        <v>71021.3</v>
      </c>
      <c r="S155" s="166"/>
      <c r="T155" s="102">
        <f>SUM(Finance[[#This Row],[Samer]:[Margins]])</f>
        <v>71021.3</v>
      </c>
      <c r="U155" s="103">
        <f>ABS(Finance[[#This Row],[Total (EGP)]])</f>
        <v>71021.3</v>
      </c>
      <c r="V155" s="167"/>
    </row>
    <row r="156" spans="2:22" ht="18" customHeight="1" x14ac:dyDescent="0.3">
      <c r="B156" s="154">
        <v>45716</v>
      </c>
      <c r="C156" s="155">
        <f>YEAR(Finance[[#This Row],[Date]])</f>
        <v>2025</v>
      </c>
      <c r="D156" s="141">
        <f>MONTH(Finance[[#This Row],[Date]])</f>
        <v>2</v>
      </c>
      <c r="E156" s="6" t="s">
        <v>221</v>
      </c>
      <c r="F156" s="39" t="s">
        <v>29</v>
      </c>
      <c r="G156" s="6" t="s">
        <v>95</v>
      </c>
      <c r="H156" s="48" t="s">
        <v>194</v>
      </c>
      <c r="I156" s="135" t="s">
        <v>175</v>
      </c>
      <c r="J156" s="136">
        <v>3</v>
      </c>
      <c r="K156" s="162"/>
      <c r="L156" s="163"/>
      <c r="M156" s="164"/>
      <c r="N156" s="164"/>
      <c r="O156" s="165"/>
      <c r="P156" s="165"/>
      <c r="Q156" s="164"/>
      <c r="R156" s="164">
        <f>84719*0.0107001</f>
        <v>906.50177189999999</v>
      </c>
      <c r="S156" s="166"/>
      <c r="T156" s="102">
        <f>SUM(Finance[[#This Row],[Samer]:[Margins]])</f>
        <v>906.50177189999999</v>
      </c>
      <c r="U156" s="103">
        <f>ABS(Finance[[#This Row],[Total (EGP)]])</f>
        <v>906.50177189999999</v>
      </c>
      <c r="V156" s="167"/>
    </row>
    <row r="157" spans="2:22" ht="18" customHeight="1" x14ac:dyDescent="0.3">
      <c r="B157" s="168">
        <v>45717</v>
      </c>
      <c r="C157" s="169">
        <f>YEAR(Finance[[#This Row],[Date]])</f>
        <v>2025</v>
      </c>
      <c r="D157" s="141">
        <f>MONTH(Finance[[#This Row],[Date]])</f>
        <v>3</v>
      </c>
      <c r="E157" s="6" t="s">
        <v>377</v>
      </c>
      <c r="F157" s="6" t="s">
        <v>29</v>
      </c>
      <c r="G157" s="6" t="s">
        <v>95</v>
      </c>
      <c r="H157" s="134" t="s">
        <v>194</v>
      </c>
      <c r="I157" s="135" t="s">
        <v>175</v>
      </c>
      <c r="J157" s="136">
        <v>3</v>
      </c>
      <c r="K157" s="175"/>
      <c r="L157" s="176"/>
      <c r="M157" s="177"/>
      <c r="N157" s="177"/>
      <c r="O157" s="178"/>
      <c r="P157" s="178"/>
      <c r="Q157" s="177"/>
      <c r="R157" s="177">
        <v>150</v>
      </c>
      <c r="S157" s="179"/>
      <c r="T157" s="102">
        <f>SUM(Finance[[#This Row],[Samer]:[Margins]])</f>
        <v>150</v>
      </c>
      <c r="U157" s="103">
        <f>ABS(Finance[[#This Row],[Total (EGP)]])</f>
        <v>150</v>
      </c>
      <c r="V157" s="180"/>
    </row>
    <row r="158" spans="2:22" ht="18" customHeight="1" x14ac:dyDescent="0.3">
      <c r="B158" s="154">
        <v>45717</v>
      </c>
      <c r="C158" s="155">
        <f>YEAR(Finance[[#This Row],[Date]])</f>
        <v>2025</v>
      </c>
      <c r="D158" s="141">
        <f>MONTH(Finance[[#This Row],[Date]])</f>
        <v>3</v>
      </c>
      <c r="E158" s="39" t="s">
        <v>316</v>
      </c>
      <c r="F158" s="39" t="s">
        <v>30</v>
      </c>
      <c r="G158" s="39" t="s">
        <v>127</v>
      </c>
      <c r="H158" s="130" t="s">
        <v>176</v>
      </c>
      <c r="I158" s="114" t="s">
        <v>177</v>
      </c>
      <c r="J158" s="131">
        <v>1</v>
      </c>
      <c r="K158" s="31"/>
      <c r="L158" s="132">
        <f>57*52.63*1.25</f>
        <v>3749.8875000000003</v>
      </c>
      <c r="M158" s="164"/>
      <c r="N158" s="164"/>
      <c r="O158" s="165"/>
      <c r="P158" s="165"/>
      <c r="Q158" s="164"/>
      <c r="R158" s="164"/>
      <c r="S158" s="166"/>
      <c r="T158" s="102">
        <f>SUM(Finance[[#This Row],[Samer]:[Margins]])</f>
        <v>3749.8875000000003</v>
      </c>
      <c r="U158" s="103">
        <f>ABS(Finance[[#This Row],[Total (EGP)]])</f>
        <v>3749.8875000000003</v>
      </c>
      <c r="V158" s="167"/>
    </row>
    <row r="159" spans="2:22" ht="18" customHeight="1" x14ac:dyDescent="0.3">
      <c r="B159" s="168">
        <v>45717</v>
      </c>
      <c r="C159" s="169">
        <f>YEAR(Finance[[#This Row],[Date]])</f>
        <v>2025</v>
      </c>
      <c r="D159" s="170">
        <f>MONTH(Finance[[#This Row],[Date]])</f>
        <v>3</v>
      </c>
      <c r="E159" s="39" t="s">
        <v>397</v>
      </c>
      <c r="F159" s="39" t="s">
        <v>30</v>
      </c>
      <c r="G159" s="39" t="s">
        <v>109</v>
      </c>
      <c r="H159" s="130" t="s">
        <v>176</v>
      </c>
      <c r="I159" s="114" t="s">
        <v>177</v>
      </c>
      <c r="J159" s="131">
        <v>1</v>
      </c>
      <c r="K159" s="175"/>
      <c r="L159" s="176">
        <f>17.66*2*50.71*1.05</f>
        <v>1880.6310599999999</v>
      </c>
      <c r="M159" s="177"/>
      <c r="N159" s="177"/>
      <c r="O159" s="178"/>
      <c r="P159" s="178"/>
      <c r="Q159" s="177"/>
      <c r="R159" s="177"/>
      <c r="S159" s="179"/>
      <c r="T159" s="102">
        <f>SUM(Finance[[#This Row],[Samer]:[Margins]])</f>
        <v>1880.6310599999999</v>
      </c>
      <c r="U159" s="103">
        <f>ABS(Finance[[#This Row],[Total (EGP)]])</f>
        <v>1880.6310599999999</v>
      </c>
      <c r="V159" s="180"/>
    </row>
    <row r="160" spans="2:22" ht="18" customHeight="1" x14ac:dyDescent="0.3">
      <c r="B160" s="154">
        <v>45719</v>
      </c>
      <c r="C160" s="155">
        <f>YEAR(Finance[[#This Row],[Date]])</f>
        <v>2025</v>
      </c>
      <c r="D160" s="141">
        <f>MONTH(Finance[[#This Row],[Date]])</f>
        <v>3</v>
      </c>
      <c r="E160" s="158" t="s">
        <v>262</v>
      </c>
      <c r="F160" s="158" t="s">
        <v>37</v>
      </c>
      <c r="G160" s="158" t="s">
        <v>36</v>
      </c>
      <c r="H160" s="159" t="s">
        <v>206</v>
      </c>
      <c r="I160" s="160" t="s">
        <v>175</v>
      </c>
      <c r="J160" s="161">
        <v>0</v>
      </c>
      <c r="K160" s="162"/>
      <c r="L160" s="163">
        <v>4000</v>
      </c>
      <c r="M160" s="164"/>
      <c r="N160" s="164"/>
      <c r="O160" s="165"/>
      <c r="P160" s="165"/>
      <c r="Q160" s="164"/>
      <c r="R160" s="164"/>
      <c r="S160" s="166">
        <v>-4000</v>
      </c>
      <c r="T160" s="102">
        <f>SUM(Finance[[#This Row],[Samer]:[Margins]])</f>
        <v>0</v>
      </c>
      <c r="U160" s="103">
        <f>ABS(Finance[[#This Row],[Total (EGP)]])</f>
        <v>0</v>
      </c>
      <c r="V160" s="167"/>
    </row>
    <row r="161" spans="2:22" ht="18" customHeight="1" x14ac:dyDescent="0.3">
      <c r="B161" s="168">
        <v>45719</v>
      </c>
      <c r="C161" s="169">
        <f>YEAR(Finance[[#This Row],[Date]])</f>
        <v>2025</v>
      </c>
      <c r="D161" s="141">
        <f>MONTH(Finance[[#This Row],[Date]])</f>
        <v>3</v>
      </c>
      <c r="E161" s="171" t="s">
        <v>167</v>
      </c>
      <c r="F161" s="6" t="s">
        <v>29</v>
      </c>
      <c r="G161" s="6" t="s">
        <v>55</v>
      </c>
      <c r="H161" s="134" t="s">
        <v>258</v>
      </c>
      <c r="I161" s="135" t="s">
        <v>175</v>
      </c>
      <c r="J161" s="136">
        <v>3</v>
      </c>
      <c r="K161" s="175"/>
      <c r="L161" s="176"/>
      <c r="M161" s="177"/>
      <c r="N161" s="177"/>
      <c r="O161" s="178"/>
      <c r="P161" s="178"/>
      <c r="Q161" s="177"/>
      <c r="R161" s="177"/>
      <c r="S161" s="179">
        <v>115</v>
      </c>
      <c r="T161" s="102">
        <f>SUM(Finance[[#This Row],[Samer]:[Margins]])</f>
        <v>115</v>
      </c>
      <c r="U161" s="103">
        <f>ABS(Finance[[#This Row],[Total (EGP)]])</f>
        <v>115</v>
      </c>
      <c r="V161" s="180"/>
    </row>
    <row r="162" spans="2:22" ht="18" customHeight="1" x14ac:dyDescent="0.3">
      <c r="B162" s="154">
        <v>45720</v>
      </c>
      <c r="C162" s="155">
        <f>YEAR(Finance[[#This Row],[Date]])</f>
        <v>2025</v>
      </c>
      <c r="D162" s="141">
        <f>MONTH(Finance[[#This Row],[Date]])</f>
        <v>3</v>
      </c>
      <c r="E162" s="158" t="s">
        <v>319</v>
      </c>
      <c r="F162" s="39" t="s">
        <v>27</v>
      </c>
      <c r="G162" s="39" t="s">
        <v>50</v>
      </c>
      <c r="H162" s="39" t="s">
        <v>50</v>
      </c>
      <c r="I162" s="114" t="s">
        <v>175</v>
      </c>
      <c r="J162" s="131">
        <v>2</v>
      </c>
      <c r="K162" s="162"/>
      <c r="L162" s="163">
        <v>4000</v>
      </c>
      <c r="M162" s="164"/>
      <c r="N162" s="164"/>
      <c r="O162" s="165"/>
      <c r="P162" s="165"/>
      <c r="Q162" s="164"/>
      <c r="R162" s="164"/>
      <c r="S162" s="166"/>
      <c r="T162" s="102">
        <f>SUM(Finance[[#This Row],[Samer]:[Margins]])</f>
        <v>4000</v>
      </c>
      <c r="U162" s="103">
        <f>ABS(Finance[[#This Row],[Total (EGP)]])</f>
        <v>4000</v>
      </c>
      <c r="V162" s="167"/>
    </row>
    <row r="163" spans="2:22" ht="18" customHeight="1" x14ac:dyDescent="0.3">
      <c r="B163" s="154">
        <v>45724</v>
      </c>
      <c r="C163" s="155">
        <f>YEAR(Finance[[#This Row],[Date]])</f>
        <v>2025</v>
      </c>
      <c r="D163" s="141">
        <f>MONTH(Finance[[#This Row],[Date]])</f>
        <v>3</v>
      </c>
      <c r="E163" s="6" t="s">
        <v>322</v>
      </c>
      <c r="F163" s="6" t="s">
        <v>29</v>
      </c>
      <c r="G163" s="6" t="s">
        <v>108</v>
      </c>
      <c r="H163" s="134" t="s">
        <v>182</v>
      </c>
      <c r="I163" s="135" t="s">
        <v>175</v>
      </c>
      <c r="J163" s="136">
        <v>1</v>
      </c>
      <c r="K163" s="31"/>
      <c r="L163" s="132">
        <v>599</v>
      </c>
      <c r="M163" s="164"/>
      <c r="N163" s="164"/>
      <c r="O163" s="165"/>
      <c r="P163" s="165"/>
      <c r="Q163" s="164"/>
      <c r="R163" s="164"/>
      <c r="S163" s="166"/>
      <c r="T163" s="102">
        <f>SUM(Finance[[#This Row],[Samer]:[Margins]])</f>
        <v>599</v>
      </c>
      <c r="U163" s="103">
        <f>ABS(Finance[[#This Row],[Total (EGP)]])</f>
        <v>599</v>
      </c>
      <c r="V163" s="167"/>
    </row>
    <row r="164" spans="2:22" ht="18" customHeight="1" x14ac:dyDescent="0.3">
      <c r="B164" s="154">
        <v>45726</v>
      </c>
      <c r="C164" s="155">
        <f>YEAR(Finance[[#This Row],[Date]])</f>
        <v>2025</v>
      </c>
      <c r="D164" s="141">
        <f>MONTH(Finance[[#This Row],[Date]])</f>
        <v>3</v>
      </c>
      <c r="E164" s="39" t="s">
        <v>321</v>
      </c>
      <c r="F164" s="39" t="s">
        <v>30</v>
      </c>
      <c r="G164" s="6" t="s">
        <v>127</v>
      </c>
      <c r="H164" s="48" t="s">
        <v>176</v>
      </c>
      <c r="I164" s="135" t="s">
        <v>184</v>
      </c>
      <c r="J164" s="136">
        <v>4</v>
      </c>
      <c r="K164" s="136"/>
      <c r="L164" s="132">
        <f>78.28*50.71*1.25</f>
        <v>4961.9735000000001</v>
      </c>
      <c r="M164" s="164"/>
      <c r="N164" s="164"/>
      <c r="O164" s="165"/>
      <c r="P164" s="165"/>
      <c r="Q164" s="164"/>
      <c r="R164" s="164"/>
      <c r="S164" s="166"/>
      <c r="T164" s="102">
        <f>SUM(Finance[[#This Row],[Samer]:[Margins]])</f>
        <v>4961.9735000000001</v>
      </c>
      <c r="U164" s="103">
        <f>ABS(Finance[[#This Row],[Total (EGP)]])</f>
        <v>4961.9735000000001</v>
      </c>
      <c r="V164" s="167"/>
    </row>
    <row r="165" spans="2:22" ht="18" customHeight="1" x14ac:dyDescent="0.3">
      <c r="B165" s="154">
        <v>45726</v>
      </c>
      <c r="C165" s="155">
        <f>YEAR(Finance[[#This Row],[Date]])</f>
        <v>2025</v>
      </c>
      <c r="D165" s="141">
        <f>MONTH(Finance[[#This Row],[Date]])</f>
        <v>3</v>
      </c>
      <c r="E165" s="6" t="s">
        <v>323</v>
      </c>
      <c r="F165" s="39" t="s">
        <v>30</v>
      </c>
      <c r="G165" s="39" t="s">
        <v>127</v>
      </c>
      <c r="H165" s="48" t="s">
        <v>176</v>
      </c>
      <c r="I165" s="135" t="s">
        <v>185</v>
      </c>
      <c r="J165" s="136">
        <v>4</v>
      </c>
      <c r="K165" s="31"/>
      <c r="L165" s="132">
        <f>153*50.71*1.25</f>
        <v>9698.2875000000004</v>
      </c>
      <c r="M165" s="164"/>
      <c r="N165" s="164"/>
      <c r="O165" s="165"/>
      <c r="P165" s="165"/>
      <c r="Q165" s="164"/>
      <c r="R165" s="164"/>
      <c r="S165" s="166"/>
      <c r="T165" s="102">
        <f>SUM(Finance[[#This Row],[Samer]:[Margins]])</f>
        <v>9698.2875000000004</v>
      </c>
      <c r="U165" s="103">
        <f>ABS(Finance[[#This Row],[Total (EGP)]])</f>
        <v>9698.2875000000004</v>
      </c>
      <c r="V165" s="167"/>
    </row>
    <row r="166" spans="2:22" ht="18" customHeight="1" x14ac:dyDescent="0.3">
      <c r="B166" s="154">
        <v>45727</v>
      </c>
      <c r="C166" s="155">
        <f>YEAR(Finance[[#This Row],[Date]])</f>
        <v>2025</v>
      </c>
      <c r="D166" s="141">
        <f>MONTH(Finance[[#This Row],[Date]])</f>
        <v>3</v>
      </c>
      <c r="E166" s="6" t="s">
        <v>324</v>
      </c>
      <c r="F166" s="6" t="s">
        <v>73</v>
      </c>
      <c r="G166" s="6" t="s">
        <v>233</v>
      </c>
      <c r="H166" s="134" t="s">
        <v>234</v>
      </c>
      <c r="I166" s="135" t="s">
        <v>235</v>
      </c>
      <c r="J166" s="136">
        <v>1</v>
      </c>
      <c r="K166" s="162"/>
      <c r="L166" s="163"/>
      <c r="M166" s="164"/>
      <c r="N166" s="164"/>
      <c r="O166" s="165"/>
      <c r="P166" s="165"/>
      <c r="Q166" s="164">
        <v>-250000</v>
      </c>
      <c r="R166" s="164"/>
      <c r="S166" s="166"/>
      <c r="T166" s="102">
        <f>SUM(Finance[[#This Row],[Samer]:[Margins]])</f>
        <v>-250000</v>
      </c>
      <c r="U166" s="103">
        <f>ABS(Finance[[#This Row],[Total (EGP)]])</f>
        <v>250000</v>
      </c>
      <c r="V166" s="167"/>
    </row>
    <row r="167" spans="2:22" ht="18" customHeight="1" x14ac:dyDescent="0.3">
      <c r="B167" s="154">
        <v>45727</v>
      </c>
      <c r="C167" s="155">
        <f>YEAR(Finance[[#This Row],[Date]])</f>
        <v>2025</v>
      </c>
      <c r="D167" s="141">
        <f>MONTH(Finance[[#This Row],[Date]])</f>
        <v>3</v>
      </c>
      <c r="E167" s="126" t="s">
        <v>240</v>
      </c>
      <c r="F167" s="126" t="s">
        <v>37</v>
      </c>
      <c r="G167" s="126" t="s">
        <v>36</v>
      </c>
      <c r="H167" s="127" t="s">
        <v>181</v>
      </c>
      <c r="I167" s="128" t="s">
        <v>175</v>
      </c>
      <c r="J167" s="129">
        <v>0</v>
      </c>
      <c r="K167" s="162"/>
      <c r="L167" s="163"/>
      <c r="M167" s="164"/>
      <c r="N167" s="164"/>
      <c r="O167" s="165"/>
      <c r="P167" s="165"/>
      <c r="Q167" s="164">
        <v>250000</v>
      </c>
      <c r="R167" s="164">
        <v>-250000</v>
      </c>
      <c r="S167" s="166"/>
      <c r="T167" s="102">
        <f>SUM(Finance[[#This Row],[Samer]:[Margins]])</f>
        <v>0</v>
      </c>
      <c r="U167" s="103">
        <f>ABS(Finance[[#This Row],[Total (EGP)]])</f>
        <v>0</v>
      </c>
      <c r="V167" s="167"/>
    </row>
    <row r="168" spans="2:22" ht="18" customHeight="1" x14ac:dyDescent="0.3">
      <c r="B168" s="105">
        <v>45727</v>
      </c>
      <c r="C168" s="106">
        <f>YEAR(Finance[[#This Row],[Date]])</f>
        <v>2025</v>
      </c>
      <c r="D168" s="141">
        <f>MONTH(Finance[[#This Row],[Date]])</f>
        <v>3</v>
      </c>
      <c r="E168" s="6" t="s">
        <v>329</v>
      </c>
      <c r="F168" s="6" t="s">
        <v>29</v>
      </c>
      <c r="G168" s="6" t="s">
        <v>108</v>
      </c>
      <c r="H168" s="134" t="s">
        <v>182</v>
      </c>
      <c r="I168" s="114" t="s">
        <v>175</v>
      </c>
      <c r="J168" s="136">
        <v>4</v>
      </c>
      <c r="K168" s="31"/>
      <c r="L168" s="132">
        <v>1761.0810000000001</v>
      </c>
      <c r="M168" s="164"/>
      <c r="N168" s="164"/>
      <c r="O168" s="165"/>
      <c r="P168" s="165"/>
      <c r="Q168" s="164"/>
      <c r="R168" s="164"/>
      <c r="S168" s="166"/>
      <c r="T168" s="102">
        <f>SUM(Finance[[#This Row],[Samer]:[Margins]])</f>
        <v>1761.0810000000001</v>
      </c>
      <c r="U168" s="103">
        <f>ABS(Finance[[#This Row],[Total (EGP)]])</f>
        <v>1761.0810000000001</v>
      </c>
      <c r="V168" s="167"/>
    </row>
    <row r="169" spans="2:22" ht="18" customHeight="1" x14ac:dyDescent="0.3">
      <c r="B169" s="105">
        <v>45727</v>
      </c>
      <c r="C169" s="106">
        <f>YEAR(Finance[[#This Row],[Date]])</f>
        <v>2025</v>
      </c>
      <c r="D169" s="141">
        <f>MONTH(Finance[[#This Row],[Date]])</f>
        <v>3</v>
      </c>
      <c r="E169" s="39" t="s">
        <v>330</v>
      </c>
      <c r="F169" s="39" t="s">
        <v>29</v>
      </c>
      <c r="G169" s="39" t="s">
        <v>108</v>
      </c>
      <c r="H169" s="130" t="s">
        <v>182</v>
      </c>
      <c r="I169" s="114" t="s">
        <v>175</v>
      </c>
      <c r="J169" s="131">
        <v>4</v>
      </c>
      <c r="K169" s="137"/>
      <c r="L169" s="138">
        <v>699.98689999999999</v>
      </c>
      <c r="M169" s="164"/>
      <c r="N169" s="164"/>
      <c r="O169" s="165"/>
      <c r="P169" s="165"/>
      <c r="Q169" s="164"/>
      <c r="R169" s="164"/>
      <c r="S169" s="166"/>
      <c r="T169" s="102">
        <f>SUM(Finance[[#This Row],[Samer]:[Margins]])</f>
        <v>699.98689999999999</v>
      </c>
      <c r="U169" s="103">
        <f>ABS(Finance[[#This Row],[Total (EGP)]])</f>
        <v>699.98689999999999</v>
      </c>
      <c r="V169" s="167"/>
    </row>
    <row r="170" spans="2:22" ht="18" customHeight="1" x14ac:dyDescent="0.3">
      <c r="B170" s="105">
        <v>45728</v>
      </c>
      <c r="C170" s="106">
        <f>YEAR(Finance[[#This Row],[Date]])</f>
        <v>2025</v>
      </c>
      <c r="D170" s="141">
        <f>MONTH(Finance[[#This Row],[Date]])</f>
        <v>3</v>
      </c>
      <c r="E170" s="19" t="s">
        <v>331</v>
      </c>
      <c r="F170" s="6" t="s">
        <v>29</v>
      </c>
      <c r="G170" s="6" t="s">
        <v>108</v>
      </c>
      <c r="H170" s="134" t="s">
        <v>182</v>
      </c>
      <c r="I170" s="114" t="s">
        <v>175</v>
      </c>
      <c r="J170" s="136">
        <v>1</v>
      </c>
      <c r="K170" s="31"/>
      <c r="L170" s="132">
        <f>324.9*50.55*1.05</f>
        <v>17244.87975</v>
      </c>
      <c r="M170" s="164"/>
      <c r="N170" s="164"/>
      <c r="O170" s="165"/>
      <c r="P170" s="165"/>
      <c r="Q170" s="164"/>
      <c r="R170" s="164"/>
      <c r="S170" s="166"/>
      <c r="T170" s="102">
        <f>SUM(Finance[[#This Row],[Samer]:[Margins]])</f>
        <v>17244.87975</v>
      </c>
      <c r="U170" s="103">
        <f>ABS(Finance[[#This Row],[Total (EGP)]])</f>
        <v>17244.87975</v>
      </c>
      <c r="V170" s="167"/>
    </row>
    <row r="171" spans="2:22" ht="18" customHeight="1" x14ac:dyDescent="0.3">
      <c r="B171" s="139">
        <v>45728</v>
      </c>
      <c r="C171" s="140">
        <f>YEAR(Finance[[#This Row],[Date]])</f>
        <v>2025</v>
      </c>
      <c r="D171" s="141">
        <f>MONTH(Finance[[#This Row],[Date]])</f>
        <v>3</v>
      </c>
      <c r="E171" s="6" t="s">
        <v>193</v>
      </c>
      <c r="F171" s="6" t="s">
        <v>29</v>
      </c>
      <c r="G171" s="6" t="s">
        <v>95</v>
      </c>
      <c r="H171" s="134" t="s">
        <v>194</v>
      </c>
      <c r="I171" s="135" t="s">
        <v>175</v>
      </c>
      <c r="J171" s="136">
        <v>3</v>
      </c>
      <c r="K171" s="31"/>
      <c r="L171" s="132"/>
      <c r="M171" s="164"/>
      <c r="N171" s="164"/>
      <c r="O171" s="165"/>
      <c r="P171" s="165"/>
      <c r="Q171" s="164"/>
      <c r="R171" s="164">
        <v>150</v>
      </c>
      <c r="S171" s="166"/>
      <c r="T171" s="102">
        <f>SUM(Finance[[#This Row],[Samer]:[Margins]])</f>
        <v>150</v>
      </c>
      <c r="U171" s="103">
        <f>ABS(Finance[[#This Row],[Total (EGP)]])</f>
        <v>150</v>
      </c>
      <c r="V171" s="167"/>
    </row>
    <row r="172" spans="2:22" ht="18" customHeight="1" x14ac:dyDescent="0.3">
      <c r="B172" s="154">
        <v>45729</v>
      </c>
      <c r="C172" s="155">
        <f>YEAR(Finance[[#This Row],[Date]])</f>
        <v>2025</v>
      </c>
      <c r="D172" s="141">
        <f>MONTH(Finance[[#This Row],[Date]])</f>
        <v>3</v>
      </c>
      <c r="E172" s="6" t="s">
        <v>349</v>
      </c>
      <c r="F172" s="39" t="s">
        <v>30</v>
      </c>
      <c r="G172" s="39" t="s">
        <v>109</v>
      </c>
      <c r="H172" s="48" t="s">
        <v>350</v>
      </c>
      <c r="I172" s="149" t="s">
        <v>175</v>
      </c>
      <c r="J172" s="136">
        <v>4</v>
      </c>
      <c r="K172" s="162"/>
      <c r="L172" s="163">
        <f>199*1.1*50.64</f>
        <v>11085.096</v>
      </c>
      <c r="M172" s="164"/>
      <c r="N172" s="164"/>
      <c r="O172" s="165"/>
      <c r="P172" s="165"/>
      <c r="Q172" s="164"/>
      <c r="R172" s="164"/>
      <c r="S172" s="166"/>
      <c r="T172" s="102">
        <f>SUM(Finance[[#This Row],[Samer]:[Margins]])</f>
        <v>11085.096</v>
      </c>
      <c r="U172" s="103">
        <f>ABS(Finance[[#This Row],[Total (EGP)]])</f>
        <v>11085.096</v>
      </c>
      <c r="V172" s="167"/>
    </row>
    <row r="173" spans="2:22" ht="18" customHeight="1" x14ac:dyDescent="0.3">
      <c r="B173" s="139">
        <v>45730</v>
      </c>
      <c r="C173" s="140">
        <f>YEAR(Finance[[#This Row],[Date]])</f>
        <v>2025</v>
      </c>
      <c r="D173" s="141">
        <f>MONTH(Finance[[#This Row],[Date]])</f>
        <v>3</v>
      </c>
      <c r="E173" s="6" t="s">
        <v>332</v>
      </c>
      <c r="F173" s="6" t="s">
        <v>30</v>
      </c>
      <c r="G173" s="6" t="s">
        <v>127</v>
      </c>
      <c r="H173" s="134" t="s">
        <v>190</v>
      </c>
      <c r="I173" s="135" t="s">
        <v>175</v>
      </c>
      <c r="J173" s="131">
        <v>4</v>
      </c>
      <c r="K173" s="31"/>
      <c r="L173" s="132">
        <f>18.4*55.28*1.25</f>
        <v>1271.4399999999998</v>
      </c>
      <c r="M173" s="164"/>
      <c r="N173" s="164"/>
      <c r="O173" s="165"/>
      <c r="P173" s="165"/>
      <c r="Q173" s="164"/>
      <c r="R173" s="164"/>
      <c r="S173" s="166"/>
      <c r="T173" s="102">
        <f>SUM(Finance[[#This Row],[Samer]:[Margins]])</f>
        <v>1271.4399999999998</v>
      </c>
      <c r="U173" s="103">
        <f>ABS(Finance[[#This Row],[Total (EGP)]])</f>
        <v>1271.4399999999998</v>
      </c>
      <c r="V173" s="167"/>
    </row>
    <row r="174" spans="2:22" ht="18" customHeight="1" x14ac:dyDescent="0.3">
      <c r="B174" s="139">
        <v>45730</v>
      </c>
      <c r="C174" s="140">
        <f>YEAR(Finance[[#This Row],[Date]])</f>
        <v>2025</v>
      </c>
      <c r="D174" s="141">
        <f>MONTH(Finance[[#This Row],[Date]])</f>
        <v>3</v>
      </c>
      <c r="E174" s="39" t="s">
        <v>333</v>
      </c>
      <c r="F174" s="39" t="s">
        <v>30</v>
      </c>
      <c r="G174" s="39" t="s">
        <v>127</v>
      </c>
      <c r="H174" s="130" t="s">
        <v>176</v>
      </c>
      <c r="I174" s="114" t="s">
        <v>177</v>
      </c>
      <c r="J174" s="131">
        <v>1</v>
      </c>
      <c r="K174" s="31"/>
      <c r="L174" s="132">
        <f>94.06*55.28*1.25</f>
        <v>6499.5460000000003</v>
      </c>
      <c r="M174" s="164"/>
      <c r="N174" s="164"/>
      <c r="O174" s="165"/>
      <c r="P174" s="165"/>
      <c r="Q174" s="164"/>
      <c r="R174" s="164"/>
      <c r="S174" s="166"/>
      <c r="T174" s="102">
        <f>SUM(Finance[[#This Row],[Samer]:[Margins]])</f>
        <v>6499.5460000000003</v>
      </c>
      <c r="U174" s="103">
        <f>ABS(Finance[[#This Row],[Total (EGP)]])</f>
        <v>6499.5460000000003</v>
      </c>
      <c r="V174" s="167"/>
    </row>
    <row r="175" spans="2:22" ht="18" customHeight="1" x14ac:dyDescent="0.3">
      <c r="B175" s="154">
        <v>45731</v>
      </c>
      <c r="C175" s="155">
        <f>YEAR(Finance[[#This Row],[Date]])</f>
        <v>2025</v>
      </c>
      <c r="D175" s="141">
        <f>MONTH(Finance[[#This Row],[Date]])</f>
        <v>3</v>
      </c>
      <c r="E175" s="6" t="s">
        <v>336</v>
      </c>
      <c r="F175" s="39" t="s">
        <v>30</v>
      </c>
      <c r="G175" s="39" t="s">
        <v>109</v>
      </c>
      <c r="H175" s="48" t="s">
        <v>182</v>
      </c>
      <c r="I175" s="114" t="s">
        <v>175</v>
      </c>
      <c r="J175" s="161"/>
      <c r="K175" s="162"/>
      <c r="L175" s="163">
        <f>(99+31)*50.55*1.1</f>
        <v>7228.6500000000005</v>
      </c>
      <c r="M175" s="164"/>
      <c r="N175" s="164"/>
      <c r="O175" s="165"/>
      <c r="P175" s="165"/>
      <c r="Q175" s="164"/>
      <c r="R175" s="164"/>
      <c r="S175" s="166"/>
      <c r="T175" s="102">
        <f>SUM(Finance[[#This Row],[Samer]:[Margins]])</f>
        <v>7228.6500000000005</v>
      </c>
      <c r="U175" s="103">
        <f>ABS(Finance[[#This Row],[Total (EGP)]])</f>
        <v>7228.6500000000005</v>
      </c>
      <c r="V175" s="167"/>
    </row>
    <row r="176" spans="2:22" ht="18" customHeight="1" x14ac:dyDescent="0.3">
      <c r="B176" s="168">
        <v>45732</v>
      </c>
      <c r="C176" s="169">
        <f>YEAR(Finance[[#This Row],[Date]])</f>
        <v>2025</v>
      </c>
      <c r="D176" s="141">
        <f>MONTH(Finance[[#This Row],[Date]])</f>
        <v>3</v>
      </c>
      <c r="E176" s="39" t="s">
        <v>380</v>
      </c>
      <c r="F176" s="39" t="s">
        <v>73</v>
      </c>
      <c r="G176" s="39" t="s">
        <v>93</v>
      </c>
      <c r="H176" s="48" t="s">
        <v>199</v>
      </c>
      <c r="I176" s="114" t="s">
        <v>378</v>
      </c>
      <c r="J176" s="131">
        <v>4</v>
      </c>
      <c r="K176" s="175"/>
      <c r="L176" s="176">
        <f>-150*52.75-5.03</f>
        <v>-7917.53</v>
      </c>
      <c r="M176" s="177"/>
      <c r="N176" s="177"/>
      <c r="O176" s="178"/>
      <c r="P176" s="178"/>
      <c r="Q176" s="177"/>
      <c r="R176" s="177"/>
      <c r="S176" s="179"/>
      <c r="T176" s="102">
        <f>SUM(Finance[[#This Row],[Samer]:[Margins]])</f>
        <v>-7917.53</v>
      </c>
      <c r="U176" s="103">
        <f>ABS(Finance[[#This Row],[Total (EGP)]])</f>
        <v>7917.53</v>
      </c>
      <c r="V176" s="180"/>
    </row>
    <row r="177" spans="2:22" ht="18" customHeight="1" x14ac:dyDescent="0.3">
      <c r="B177" s="168">
        <v>45732</v>
      </c>
      <c r="C177" s="169">
        <f>YEAR(Finance[[#This Row],[Date]])</f>
        <v>2025</v>
      </c>
      <c r="D177" s="141">
        <f>MONTH(Finance[[#This Row],[Date]])</f>
        <v>3</v>
      </c>
      <c r="E177" s="39" t="s">
        <v>381</v>
      </c>
      <c r="F177" s="39" t="s">
        <v>73</v>
      </c>
      <c r="G177" s="39" t="s">
        <v>93</v>
      </c>
      <c r="H177" s="48" t="s">
        <v>90</v>
      </c>
      <c r="I177" s="114" t="s">
        <v>378</v>
      </c>
      <c r="J177" s="131">
        <v>4</v>
      </c>
      <c r="K177" s="175"/>
      <c r="L177" s="176"/>
      <c r="M177" s="177"/>
      <c r="N177" s="177"/>
      <c r="O177" s="178"/>
      <c r="P177" s="178"/>
      <c r="Q177" s="177"/>
      <c r="R177" s="177">
        <f>-7912.5*0.14+5.03</f>
        <v>-1102.72</v>
      </c>
      <c r="S177" s="179"/>
      <c r="T177" s="102">
        <f>SUM(Finance[[#This Row],[Samer]:[Margins]])</f>
        <v>-1102.72</v>
      </c>
      <c r="U177" s="103">
        <f>ABS(Finance[[#This Row],[Total (EGP)]])</f>
        <v>1102.72</v>
      </c>
      <c r="V177" s="180"/>
    </row>
    <row r="178" spans="2:22" ht="18" customHeight="1" x14ac:dyDescent="0.3">
      <c r="B178" s="168">
        <v>45732</v>
      </c>
      <c r="C178" s="169">
        <f>YEAR(Finance[[#This Row],[Date]])</f>
        <v>2025</v>
      </c>
      <c r="D178" s="141">
        <f>MONTH(Finance[[#This Row],[Date]])</f>
        <v>3</v>
      </c>
      <c r="E178" s="6" t="s">
        <v>379</v>
      </c>
      <c r="F178" s="6" t="s">
        <v>29</v>
      </c>
      <c r="G178" s="6" t="s">
        <v>95</v>
      </c>
      <c r="H178" s="134" t="s">
        <v>194</v>
      </c>
      <c r="I178" s="135" t="s">
        <v>378</v>
      </c>
      <c r="J178" s="136">
        <v>3</v>
      </c>
      <c r="K178" s="175"/>
      <c r="L178" s="176"/>
      <c r="M178" s="177"/>
      <c r="N178" s="177"/>
      <c r="O178" s="178"/>
      <c r="P178" s="178"/>
      <c r="Q178" s="177"/>
      <c r="R178" s="177">
        <v>10</v>
      </c>
      <c r="S178" s="179"/>
      <c r="T178" s="102">
        <f>SUM(Finance[[#This Row],[Samer]:[Margins]])</f>
        <v>10</v>
      </c>
      <c r="U178" s="103">
        <f>ABS(Finance[[#This Row],[Total (EGP)]])</f>
        <v>10</v>
      </c>
      <c r="V178" s="180"/>
    </row>
    <row r="179" spans="2:22" ht="18" customHeight="1" x14ac:dyDescent="0.3">
      <c r="B179" s="168">
        <v>45732</v>
      </c>
      <c r="C179" s="169">
        <f>YEAR(Finance[[#This Row],[Date]])</f>
        <v>2025</v>
      </c>
      <c r="D179" s="141">
        <f>MONTH(Finance[[#This Row],[Date]])</f>
        <v>3</v>
      </c>
      <c r="E179" s="39" t="s">
        <v>382</v>
      </c>
      <c r="F179" s="39" t="s">
        <v>30</v>
      </c>
      <c r="G179" s="6" t="s">
        <v>127</v>
      </c>
      <c r="H179" s="48" t="s">
        <v>176</v>
      </c>
      <c r="I179" s="135" t="s">
        <v>378</v>
      </c>
      <c r="J179" s="136">
        <v>4</v>
      </c>
      <c r="K179" s="175"/>
      <c r="L179" s="176">
        <f>150*52.75</f>
        <v>7912.5</v>
      </c>
      <c r="M179" s="177"/>
      <c r="N179" s="177"/>
      <c r="O179" s="178"/>
      <c r="P179" s="178"/>
      <c r="Q179" s="177"/>
      <c r="R179" s="177"/>
      <c r="S179" s="179"/>
      <c r="T179" s="102">
        <f>SUM(Finance[[#This Row],[Samer]:[Margins]])</f>
        <v>7912.5</v>
      </c>
      <c r="U179" s="103">
        <f>ABS(Finance[[#This Row],[Total (EGP)]])</f>
        <v>7912.5</v>
      </c>
      <c r="V179" s="180"/>
    </row>
    <row r="180" spans="2:22" ht="18" customHeight="1" x14ac:dyDescent="0.3">
      <c r="B180" s="139">
        <v>45733</v>
      </c>
      <c r="C180" s="140">
        <f>YEAR(Finance[[#This Row],[Date]])</f>
        <v>2025</v>
      </c>
      <c r="D180" s="141">
        <f>MONTH(Finance[[#This Row],[Date]])</f>
        <v>3</v>
      </c>
      <c r="E180" s="6" t="s">
        <v>334</v>
      </c>
      <c r="F180" s="39" t="s">
        <v>29</v>
      </c>
      <c r="G180" s="6" t="s">
        <v>108</v>
      </c>
      <c r="H180" s="48" t="s">
        <v>182</v>
      </c>
      <c r="I180" s="135" t="s">
        <v>175</v>
      </c>
      <c r="J180" s="136">
        <v>1</v>
      </c>
      <c r="K180" s="31"/>
      <c r="L180" s="132">
        <f>27*50.55*1.05</f>
        <v>1433.0925</v>
      </c>
      <c r="M180" s="164"/>
      <c r="N180" s="164"/>
      <c r="O180" s="165"/>
      <c r="P180" s="165"/>
      <c r="Q180" s="164"/>
      <c r="R180" s="164"/>
      <c r="S180" s="166"/>
      <c r="T180" s="102">
        <f>SUM(Finance[[#This Row],[Samer]:[Margins]])</f>
        <v>1433.0925</v>
      </c>
      <c r="U180" s="103">
        <f>ABS(Finance[[#This Row],[Total (EGP)]])</f>
        <v>1433.0925</v>
      </c>
      <c r="V180" s="167"/>
    </row>
    <row r="181" spans="2:22" ht="18" customHeight="1" x14ac:dyDescent="0.3">
      <c r="B181" s="154">
        <v>45734</v>
      </c>
      <c r="C181" s="155">
        <f>YEAR(Finance[[#This Row],[Date]])</f>
        <v>2025</v>
      </c>
      <c r="D181" s="141">
        <f>MONTH(Finance[[#This Row],[Date]])</f>
        <v>3</v>
      </c>
      <c r="E181" s="158" t="s">
        <v>328</v>
      </c>
      <c r="F181" s="158" t="s">
        <v>34</v>
      </c>
      <c r="G181" s="6" t="s">
        <v>66</v>
      </c>
      <c r="H181" s="134" t="s">
        <v>211</v>
      </c>
      <c r="I181" s="114" t="s">
        <v>175</v>
      </c>
      <c r="J181" s="136">
        <v>3</v>
      </c>
      <c r="K181" s="162"/>
      <c r="L181" s="163">
        <v>15000</v>
      </c>
      <c r="M181" s="164"/>
      <c r="N181" s="164"/>
      <c r="O181" s="165"/>
      <c r="P181" s="165"/>
      <c r="Q181" s="164"/>
      <c r="R181" s="164"/>
      <c r="S181" s="166"/>
      <c r="T181" s="102">
        <f>SUM(Finance[[#This Row],[Samer]:[Margins]])</f>
        <v>15000</v>
      </c>
      <c r="U181" s="103">
        <f>ABS(Finance[[#This Row],[Total (EGP)]])</f>
        <v>15000</v>
      </c>
      <c r="V181" s="167"/>
    </row>
    <row r="182" spans="2:22" ht="18" customHeight="1" x14ac:dyDescent="0.3">
      <c r="B182" s="168">
        <v>45736</v>
      </c>
      <c r="C182" s="169">
        <f>YEAR(Finance[[#This Row],[Date]])</f>
        <v>2025</v>
      </c>
      <c r="D182" s="170">
        <f>MONTH(Finance[[#This Row],[Date]])</f>
        <v>3</v>
      </c>
      <c r="E182" s="171" t="s">
        <v>242</v>
      </c>
      <c r="F182" s="39" t="s">
        <v>29</v>
      </c>
      <c r="G182" s="39" t="s">
        <v>112</v>
      </c>
      <c r="H182" s="48" t="s">
        <v>243</v>
      </c>
      <c r="I182" s="114" t="s">
        <v>175</v>
      </c>
      <c r="J182" s="131">
        <v>3</v>
      </c>
      <c r="K182" s="175"/>
      <c r="L182" s="176"/>
      <c r="M182" s="177"/>
      <c r="N182" s="177"/>
      <c r="O182" s="178"/>
      <c r="P182" s="178"/>
      <c r="Q182" s="177"/>
      <c r="R182" s="177">
        <v>120</v>
      </c>
      <c r="S182" s="179"/>
      <c r="T182" s="102">
        <f>SUM(Finance[[#This Row],[Samer]:[Margins]])</f>
        <v>120</v>
      </c>
      <c r="U182" s="103">
        <f>ABS(Finance[[#This Row],[Total (EGP)]])</f>
        <v>120</v>
      </c>
      <c r="V182" s="180"/>
    </row>
    <row r="183" spans="2:22" ht="18" customHeight="1" x14ac:dyDescent="0.3">
      <c r="B183" s="139">
        <v>45738</v>
      </c>
      <c r="C183" s="140">
        <f>YEAR(Finance[[#This Row],[Date]])</f>
        <v>2025</v>
      </c>
      <c r="D183" s="141">
        <f>MONTH(Finance[[#This Row],[Date]])</f>
        <v>3</v>
      </c>
      <c r="E183" s="19" t="s">
        <v>335</v>
      </c>
      <c r="F183" s="6" t="s">
        <v>29</v>
      </c>
      <c r="G183" s="6" t="s">
        <v>108</v>
      </c>
      <c r="H183" s="134" t="s">
        <v>182</v>
      </c>
      <c r="I183" s="135" t="s">
        <v>175</v>
      </c>
      <c r="J183" s="136">
        <v>3</v>
      </c>
      <c r="K183" s="31"/>
      <c r="L183" s="132">
        <f>15.99*50.55*1.05</f>
        <v>848.70922500000006</v>
      </c>
      <c r="M183" s="164"/>
      <c r="N183" s="164"/>
      <c r="O183" s="165"/>
      <c r="P183" s="165"/>
      <c r="Q183" s="164"/>
      <c r="R183" s="164"/>
      <c r="S183" s="166"/>
      <c r="T183" s="102">
        <f>SUM(Finance[[#This Row],[Samer]:[Margins]])</f>
        <v>848.70922500000006</v>
      </c>
      <c r="U183" s="103">
        <f>ABS(Finance[[#This Row],[Total (EGP)]])</f>
        <v>848.70922500000006</v>
      </c>
      <c r="V183" s="167"/>
    </row>
    <row r="184" spans="2:22" ht="18" customHeight="1" x14ac:dyDescent="0.3">
      <c r="B184" s="154">
        <v>45739</v>
      </c>
      <c r="C184" s="155">
        <f>YEAR(Finance[[#This Row],[Date]])</f>
        <v>2025</v>
      </c>
      <c r="D184" s="141">
        <f>MONTH(Finance[[#This Row],[Date]])</f>
        <v>3</v>
      </c>
      <c r="E184" s="6" t="s">
        <v>342</v>
      </c>
      <c r="F184" s="6" t="s">
        <v>73</v>
      </c>
      <c r="G184" s="6" t="s">
        <v>93</v>
      </c>
      <c r="H184" s="134" t="s">
        <v>199</v>
      </c>
      <c r="I184" s="135" t="s">
        <v>341</v>
      </c>
      <c r="J184" s="136">
        <v>4</v>
      </c>
      <c r="K184" s="162"/>
      <c r="L184" s="163"/>
      <c r="M184" s="164"/>
      <c r="N184" s="164"/>
      <c r="O184" s="165"/>
      <c r="P184" s="165"/>
      <c r="Q184" s="164"/>
      <c r="R184" s="164">
        <v>-11220</v>
      </c>
      <c r="S184" s="166"/>
      <c r="T184" s="102">
        <f>SUM(Finance[[#This Row],[Samer]:[Margins]])</f>
        <v>-11220</v>
      </c>
      <c r="U184" s="103">
        <f>ABS(Finance[[#This Row],[Total (EGP)]])</f>
        <v>11220</v>
      </c>
      <c r="V184" s="167"/>
    </row>
    <row r="185" spans="2:22" ht="18" customHeight="1" x14ac:dyDescent="0.3">
      <c r="B185" s="154">
        <v>45739</v>
      </c>
      <c r="C185" s="155">
        <f>YEAR(Finance[[#This Row],[Date]])</f>
        <v>2025</v>
      </c>
      <c r="D185" s="141">
        <f>MONTH(Finance[[#This Row],[Date]])</f>
        <v>3</v>
      </c>
      <c r="E185" s="6" t="s">
        <v>343</v>
      </c>
      <c r="F185" s="6" t="s">
        <v>73</v>
      </c>
      <c r="G185" s="6" t="s">
        <v>93</v>
      </c>
      <c r="H185" s="134" t="s">
        <v>90</v>
      </c>
      <c r="I185" s="135" t="s">
        <v>341</v>
      </c>
      <c r="J185" s="136">
        <v>4</v>
      </c>
      <c r="K185" s="162"/>
      <c r="L185" s="163"/>
      <c r="M185" s="164"/>
      <c r="N185" s="164"/>
      <c r="O185" s="165"/>
      <c r="P185" s="165"/>
      <c r="Q185" s="164"/>
      <c r="R185" s="164">
        <f>-11220*0.14</f>
        <v>-1570.8000000000002</v>
      </c>
      <c r="S185" s="166"/>
      <c r="T185" s="102">
        <f>SUM(Finance[[#This Row],[Samer]:[Margins]])</f>
        <v>-1570.8000000000002</v>
      </c>
      <c r="U185" s="103">
        <f>ABS(Finance[[#This Row],[Total (EGP)]])</f>
        <v>1570.8000000000002</v>
      </c>
      <c r="V185" s="167"/>
    </row>
    <row r="186" spans="2:22" ht="18" customHeight="1" x14ac:dyDescent="0.3">
      <c r="B186" s="154">
        <v>45740</v>
      </c>
      <c r="C186" s="155">
        <f>YEAR(Finance[[#This Row],[Date]])</f>
        <v>2025</v>
      </c>
      <c r="D186" s="141">
        <f>MONTH(Finance[[#This Row],[Date]])</f>
        <v>3</v>
      </c>
      <c r="E186" s="6" t="s">
        <v>339</v>
      </c>
      <c r="F186" s="6" t="s">
        <v>73</v>
      </c>
      <c r="G186" s="6" t="s">
        <v>233</v>
      </c>
      <c r="H186" s="134" t="s">
        <v>234</v>
      </c>
      <c r="I186" s="135" t="s">
        <v>235</v>
      </c>
      <c r="J186" s="136">
        <v>1</v>
      </c>
      <c r="K186" s="162"/>
      <c r="L186" s="163"/>
      <c r="M186" s="164"/>
      <c r="N186" s="164"/>
      <c r="O186" s="165"/>
      <c r="P186" s="165"/>
      <c r="Q186" s="164">
        <v>-54450</v>
      </c>
      <c r="R186" s="164"/>
      <c r="S186" s="166"/>
      <c r="T186" s="102">
        <f>SUM(Finance[[#This Row],[Samer]:[Margins]])</f>
        <v>-54450</v>
      </c>
      <c r="U186" s="103">
        <f>ABS(Finance[[#This Row],[Total (EGP)]])</f>
        <v>54450</v>
      </c>
      <c r="V186" s="167"/>
    </row>
    <row r="187" spans="2:22" ht="18" customHeight="1" x14ac:dyDescent="0.3">
      <c r="B187" s="154">
        <v>45740</v>
      </c>
      <c r="C187" s="155">
        <f>YEAR(Finance[[#This Row],[Date]])</f>
        <v>2025</v>
      </c>
      <c r="D187" s="141">
        <f>MONTH(Finance[[#This Row],[Date]])</f>
        <v>3</v>
      </c>
      <c r="E187" s="6" t="s">
        <v>338</v>
      </c>
      <c r="F187" s="6" t="s">
        <v>29</v>
      </c>
      <c r="G187" s="6" t="s">
        <v>23</v>
      </c>
      <c r="H187" s="134" t="s">
        <v>142</v>
      </c>
      <c r="I187" s="135" t="s">
        <v>175</v>
      </c>
      <c r="J187" s="136">
        <v>3</v>
      </c>
      <c r="K187" s="162"/>
      <c r="L187" s="163"/>
      <c r="M187" s="164"/>
      <c r="N187" s="164"/>
      <c r="O187" s="165"/>
      <c r="P187" s="165"/>
      <c r="Q187" s="164">
        <f>18150*3</f>
        <v>54450</v>
      </c>
      <c r="R187" s="164"/>
      <c r="S187" s="166"/>
      <c r="T187" s="102">
        <f>SUM(Finance[[#This Row],[Samer]:[Margins]])</f>
        <v>54450</v>
      </c>
      <c r="U187" s="103">
        <f>ABS(Finance[[#This Row],[Total (EGP)]])</f>
        <v>54450</v>
      </c>
      <c r="V187" s="167"/>
    </row>
    <row r="188" spans="2:22" ht="18" customHeight="1" x14ac:dyDescent="0.3">
      <c r="B188" s="154">
        <v>45740</v>
      </c>
      <c r="C188" s="155">
        <f>YEAR(Finance[[#This Row],[Date]])</f>
        <v>2025</v>
      </c>
      <c r="D188" s="141">
        <f>MONTH(Finance[[#This Row],[Date]])</f>
        <v>3</v>
      </c>
      <c r="E188" s="6" t="s">
        <v>337</v>
      </c>
      <c r="F188" s="6" t="s">
        <v>73</v>
      </c>
      <c r="G188" s="6" t="s">
        <v>233</v>
      </c>
      <c r="H188" s="134" t="s">
        <v>234</v>
      </c>
      <c r="I188" s="135" t="s">
        <v>235</v>
      </c>
      <c r="J188" s="136">
        <v>1</v>
      </c>
      <c r="K188" s="162"/>
      <c r="L188" s="163"/>
      <c r="M188" s="164"/>
      <c r="N188" s="164"/>
      <c r="O188" s="165"/>
      <c r="P188" s="165"/>
      <c r="Q188" s="164">
        <f>-200000-115414.78+62903.37</f>
        <v>-252511.41000000003</v>
      </c>
      <c r="R188" s="164"/>
      <c r="S188" s="166"/>
      <c r="T188" s="102">
        <f>SUM(Finance[[#This Row],[Samer]:[Margins]])</f>
        <v>-252511.41000000003</v>
      </c>
      <c r="U188" s="103">
        <f>ABS(Finance[[#This Row],[Total (EGP)]])</f>
        <v>252511.41000000003</v>
      </c>
      <c r="V188" s="167"/>
    </row>
    <row r="189" spans="2:22" ht="18" customHeight="1" x14ac:dyDescent="0.3">
      <c r="B189" s="154">
        <v>45740</v>
      </c>
      <c r="C189" s="155">
        <f>YEAR(Finance[[#This Row],[Date]])</f>
        <v>2025</v>
      </c>
      <c r="D189" s="141">
        <f>MONTH(Finance[[#This Row],[Date]])</f>
        <v>3</v>
      </c>
      <c r="E189" s="6" t="s">
        <v>237</v>
      </c>
      <c r="F189" s="6" t="s">
        <v>73</v>
      </c>
      <c r="G189" s="126" t="s">
        <v>233</v>
      </c>
      <c r="H189" s="127" t="s">
        <v>90</v>
      </c>
      <c r="I189" s="135" t="s">
        <v>235</v>
      </c>
      <c r="J189" s="129">
        <v>1</v>
      </c>
      <c r="K189" s="162"/>
      <c r="L189" s="163"/>
      <c r="M189" s="164"/>
      <c r="N189" s="164"/>
      <c r="O189" s="165"/>
      <c r="P189" s="165"/>
      <c r="Q189" s="164">
        <f>-571848.88*0.14</f>
        <v>-80058.843200000003</v>
      </c>
      <c r="R189" s="164"/>
      <c r="S189" s="166"/>
      <c r="T189" s="102">
        <f>SUM(Finance[[#This Row],[Samer]:[Margins]])</f>
        <v>-80058.843200000003</v>
      </c>
      <c r="U189" s="103">
        <f>ABS(Finance[[#This Row],[Total (EGP)]])</f>
        <v>80058.843200000003</v>
      </c>
      <c r="V189" s="167"/>
    </row>
    <row r="190" spans="2:22" ht="18" customHeight="1" x14ac:dyDescent="0.3">
      <c r="B190" s="154">
        <v>45740</v>
      </c>
      <c r="C190" s="155">
        <f>YEAR(Finance[[#This Row],[Date]])</f>
        <v>2025</v>
      </c>
      <c r="D190" s="141">
        <f>MONTH(Finance[[#This Row],[Date]])</f>
        <v>3</v>
      </c>
      <c r="E190" s="6" t="s">
        <v>238</v>
      </c>
      <c r="F190" s="6" t="s">
        <v>84</v>
      </c>
      <c r="G190" s="6" t="s">
        <v>86</v>
      </c>
      <c r="H190" s="134" t="s">
        <v>234</v>
      </c>
      <c r="I190" s="135" t="s">
        <v>235</v>
      </c>
      <c r="J190" s="129">
        <v>1</v>
      </c>
      <c r="K190" s="162"/>
      <c r="L190" s="163"/>
      <c r="M190" s="164"/>
      <c r="N190" s="164"/>
      <c r="O190" s="165"/>
      <c r="P190" s="165"/>
      <c r="Q190" s="164">
        <f>571848.88*0.03</f>
        <v>17155.466400000001</v>
      </c>
      <c r="R190" s="164"/>
      <c r="S190" s="166"/>
      <c r="T190" s="102">
        <f>SUM(Finance[[#This Row],[Samer]:[Margins]])</f>
        <v>17155.466400000001</v>
      </c>
      <c r="U190" s="103">
        <f>ABS(Finance[[#This Row],[Total (EGP)]])</f>
        <v>17155.466400000001</v>
      </c>
      <c r="V190" s="167"/>
    </row>
    <row r="191" spans="2:22" ht="18" customHeight="1" x14ac:dyDescent="0.3">
      <c r="B191" s="154">
        <v>45740</v>
      </c>
      <c r="C191" s="155">
        <f>YEAR(Finance[[#This Row],[Date]])</f>
        <v>2025</v>
      </c>
      <c r="D191" s="141">
        <f>MONTH(Finance[[#This Row],[Date]])</f>
        <v>3</v>
      </c>
      <c r="E191" s="158" t="s">
        <v>240</v>
      </c>
      <c r="F191" s="158" t="s">
        <v>37</v>
      </c>
      <c r="G191" s="158" t="s">
        <v>36</v>
      </c>
      <c r="H191" s="159" t="s">
        <v>206</v>
      </c>
      <c r="I191" s="160" t="s">
        <v>175</v>
      </c>
      <c r="J191" s="161">
        <v>0</v>
      </c>
      <c r="K191" s="162"/>
      <c r="L191" s="163"/>
      <c r="M191" s="164"/>
      <c r="N191" s="164"/>
      <c r="O191" s="165"/>
      <c r="P191" s="165"/>
      <c r="Q191" s="164">
        <v>200000</v>
      </c>
      <c r="R191" s="164">
        <v>-200000</v>
      </c>
      <c r="S191" s="166"/>
      <c r="T191" s="102">
        <f>SUM(Finance[[#This Row],[Samer]:[Margins]])</f>
        <v>0</v>
      </c>
      <c r="U191" s="103">
        <f>ABS(Finance[[#This Row],[Total (EGP)]])</f>
        <v>0</v>
      </c>
      <c r="V191" s="167"/>
    </row>
    <row r="192" spans="2:22" ht="18" customHeight="1" x14ac:dyDescent="0.3">
      <c r="B192" s="154">
        <v>45741</v>
      </c>
      <c r="C192" s="155">
        <f>YEAR(Finance[[#This Row],[Date]])</f>
        <v>2025</v>
      </c>
      <c r="D192" s="141">
        <f>MONTH(Finance[[#This Row],[Date]])</f>
        <v>3</v>
      </c>
      <c r="E192" s="157" t="s">
        <v>240</v>
      </c>
      <c r="F192" s="158" t="s">
        <v>37</v>
      </c>
      <c r="G192" s="158" t="s">
        <v>36</v>
      </c>
      <c r="H192" s="159" t="s">
        <v>206</v>
      </c>
      <c r="I192" s="160" t="s">
        <v>175</v>
      </c>
      <c r="J192" s="161">
        <v>0</v>
      </c>
      <c r="K192" s="162"/>
      <c r="L192" s="163"/>
      <c r="M192" s="164"/>
      <c r="N192" s="164"/>
      <c r="O192" s="165"/>
      <c r="P192" s="165"/>
      <c r="Q192" s="96">
        <f>85414.78+0.22</f>
        <v>85415</v>
      </c>
      <c r="R192" s="164">
        <v>-85415</v>
      </c>
      <c r="S192" s="166"/>
      <c r="T192" s="102">
        <f>SUM(Finance[[#This Row],[Samer]:[Margins]])</f>
        <v>0</v>
      </c>
      <c r="U192" s="103">
        <f>ABS(Finance[[#This Row],[Total (EGP)]])</f>
        <v>0</v>
      </c>
      <c r="V192" s="167"/>
    </row>
    <row r="193" spans="2:22" ht="18" customHeight="1" x14ac:dyDescent="0.3">
      <c r="B193" s="154">
        <v>45741</v>
      </c>
      <c r="C193" s="155">
        <f>YEAR(Finance[[#This Row],[Date]])</f>
        <v>2025</v>
      </c>
      <c r="D193" s="141">
        <f>MONTH(Finance[[#This Row],[Date]])</f>
        <v>3</v>
      </c>
      <c r="E193" s="6" t="s">
        <v>340</v>
      </c>
      <c r="F193" s="39" t="s">
        <v>29</v>
      </c>
      <c r="G193" s="39" t="s">
        <v>213</v>
      </c>
      <c r="H193" s="48" t="s">
        <v>214</v>
      </c>
      <c r="I193" s="114" t="s">
        <v>175</v>
      </c>
      <c r="J193" s="131">
        <v>3</v>
      </c>
      <c r="K193" s="31"/>
      <c r="L193" s="132"/>
      <c r="M193" s="96"/>
      <c r="N193" s="96"/>
      <c r="O193" s="75"/>
      <c r="P193" s="75"/>
      <c r="Q193" s="96">
        <v>30000</v>
      </c>
      <c r="R193" s="164"/>
      <c r="S193" s="166"/>
      <c r="T193" s="102">
        <f>SUM(Finance[[#This Row],[Samer]:[Margins]])</f>
        <v>30000</v>
      </c>
      <c r="U193" s="103">
        <f>ABS(Finance[[#This Row],[Total (EGP)]])</f>
        <v>30000</v>
      </c>
      <c r="V193" s="167"/>
    </row>
    <row r="194" spans="2:22" ht="18" customHeight="1" x14ac:dyDescent="0.3">
      <c r="B194" s="317">
        <v>45741</v>
      </c>
      <c r="C194" s="169">
        <f>YEAR(Finance[[#This Row],[Date]])</f>
        <v>2025</v>
      </c>
      <c r="D194" s="318">
        <f>MONTH(Finance[[#This Row],[Date]])</f>
        <v>3</v>
      </c>
      <c r="E194" s="39" t="s">
        <v>885</v>
      </c>
      <c r="F194" s="39" t="s">
        <v>73</v>
      </c>
      <c r="G194" s="39" t="s">
        <v>886</v>
      </c>
      <c r="H194" s="48" t="s">
        <v>62</v>
      </c>
      <c r="I194" s="114" t="s">
        <v>887</v>
      </c>
      <c r="J194" s="131">
        <v>4</v>
      </c>
      <c r="K194" s="31"/>
      <c r="L194" s="138">
        <v>-10128</v>
      </c>
      <c r="M194" s="325"/>
      <c r="N194" s="325"/>
      <c r="O194" s="326"/>
      <c r="P194" s="326"/>
      <c r="Q194" s="325"/>
      <c r="R194" s="325"/>
      <c r="S194" s="327"/>
      <c r="T194" s="102">
        <f>SUM(Finance[[#This Row],[Samer]:[Margins]])</f>
        <v>-10128</v>
      </c>
      <c r="U194" s="103">
        <f>ABS(Finance[[#This Row],[Total (EGP)]])</f>
        <v>10128</v>
      </c>
      <c r="V194" s="328"/>
    </row>
    <row r="195" spans="2:22" ht="18" customHeight="1" x14ac:dyDescent="0.3">
      <c r="B195" s="317">
        <v>45741</v>
      </c>
      <c r="C195" s="169">
        <f>YEAR(Finance[[#This Row],[Date]])</f>
        <v>2025</v>
      </c>
      <c r="D195" s="318">
        <f>MONTH(Finance[[#This Row],[Date]])</f>
        <v>3</v>
      </c>
      <c r="E195" s="39" t="s">
        <v>888</v>
      </c>
      <c r="F195" s="6" t="s">
        <v>30</v>
      </c>
      <c r="G195" s="6" t="s">
        <v>127</v>
      </c>
      <c r="H195" s="134" t="s">
        <v>176</v>
      </c>
      <c r="I195" s="114" t="s">
        <v>887</v>
      </c>
      <c r="J195" s="136">
        <v>4</v>
      </c>
      <c r="K195" s="31"/>
      <c r="L195" s="138">
        <v>10128</v>
      </c>
      <c r="M195" s="325"/>
      <c r="N195" s="325"/>
      <c r="O195" s="326"/>
      <c r="P195" s="326"/>
      <c r="Q195" s="325"/>
      <c r="R195" s="325"/>
      <c r="S195" s="327"/>
      <c r="T195" s="102">
        <f>SUM(Finance[[#This Row],[Samer]:[Margins]])</f>
        <v>10128</v>
      </c>
      <c r="U195" s="103">
        <f>ABS(Finance[[#This Row],[Total (EGP)]])</f>
        <v>10128</v>
      </c>
      <c r="V195" s="328"/>
    </row>
    <row r="196" spans="2:22" ht="18" customHeight="1" x14ac:dyDescent="0.3">
      <c r="B196" s="154">
        <v>45742</v>
      </c>
      <c r="C196" s="155">
        <f>YEAR(Finance[[#This Row],[Date]])</f>
        <v>2025</v>
      </c>
      <c r="D196" s="141">
        <f>MONTH(Finance[[#This Row],[Date]])</f>
        <v>3</v>
      </c>
      <c r="E196" s="6" t="s">
        <v>351</v>
      </c>
      <c r="F196" s="6" t="s">
        <v>29</v>
      </c>
      <c r="G196" s="6" t="s">
        <v>55</v>
      </c>
      <c r="H196" s="134" t="s">
        <v>352</v>
      </c>
      <c r="I196" s="135" t="s">
        <v>175</v>
      </c>
      <c r="J196" s="136">
        <v>3</v>
      </c>
      <c r="K196" s="162"/>
      <c r="L196" s="132">
        <f>1727.5+12200+480</f>
        <v>14407.5</v>
      </c>
      <c r="M196" s="164"/>
      <c r="N196" s="164"/>
      <c r="O196" s="165"/>
      <c r="P196" s="165"/>
      <c r="Q196" s="164"/>
      <c r="R196" s="164"/>
      <c r="S196" s="166"/>
      <c r="T196" s="102">
        <f>SUM(Finance[[#This Row],[Samer]:[Margins]])</f>
        <v>14407.5</v>
      </c>
      <c r="U196" s="103">
        <f>ABS(Finance[[#This Row],[Total (EGP)]])</f>
        <v>14407.5</v>
      </c>
      <c r="V196" s="167"/>
    </row>
    <row r="197" spans="2:22" ht="18" customHeight="1" x14ac:dyDescent="0.3">
      <c r="B197" s="154">
        <v>45742</v>
      </c>
      <c r="C197" s="155">
        <f>YEAR(Finance[[#This Row],[Date]])</f>
        <v>2025</v>
      </c>
      <c r="D197" s="141">
        <f>MONTH(Finance[[#This Row],[Date]])</f>
        <v>3</v>
      </c>
      <c r="E197" s="153" t="s">
        <v>179</v>
      </c>
      <c r="F197" s="39" t="s">
        <v>37</v>
      </c>
      <c r="G197" s="39" t="s">
        <v>36</v>
      </c>
      <c r="H197" s="48" t="s">
        <v>181</v>
      </c>
      <c r="I197" s="114" t="s">
        <v>175</v>
      </c>
      <c r="J197" s="161">
        <v>0</v>
      </c>
      <c r="K197" s="162"/>
      <c r="L197" s="163">
        <v>-100000</v>
      </c>
      <c r="M197" s="164"/>
      <c r="N197" s="164"/>
      <c r="O197" s="165"/>
      <c r="P197" s="165"/>
      <c r="Q197" s="164"/>
      <c r="R197" s="164">
        <v>100000</v>
      </c>
      <c r="S197" s="166"/>
      <c r="T197" s="102">
        <f>SUM(Finance[[#This Row],[Samer]:[Margins]])</f>
        <v>0</v>
      </c>
      <c r="U197" s="103">
        <f>ABS(Finance[[#This Row],[Total (EGP)]])</f>
        <v>0</v>
      </c>
      <c r="V197" s="167"/>
    </row>
    <row r="198" spans="2:22" ht="18" customHeight="1" x14ac:dyDescent="0.3">
      <c r="B198" s="168">
        <v>45742</v>
      </c>
      <c r="C198" s="169">
        <f>YEAR(Finance[[#This Row],[Date]])</f>
        <v>2025</v>
      </c>
      <c r="D198" s="141">
        <f>MONTH(Finance[[#This Row],[Date]])</f>
        <v>3</v>
      </c>
      <c r="E198" s="171" t="s">
        <v>242</v>
      </c>
      <c r="F198" s="39" t="s">
        <v>29</v>
      </c>
      <c r="G198" s="39" t="s">
        <v>112</v>
      </c>
      <c r="H198" s="48" t="s">
        <v>243</v>
      </c>
      <c r="I198" s="114" t="s">
        <v>175</v>
      </c>
      <c r="J198" s="131">
        <v>3</v>
      </c>
      <c r="K198" s="175"/>
      <c r="L198" s="176"/>
      <c r="M198" s="177"/>
      <c r="N198" s="177"/>
      <c r="O198" s="178"/>
      <c r="P198" s="178"/>
      <c r="Q198" s="177"/>
      <c r="R198" s="177">
        <v>1402.2</v>
      </c>
      <c r="S198" s="179"/>
      <c r="T198" s="102">
        <f>SUM(Finance[[#This Row],[Samer]:[Margins]])</f>
        <v>1402.2</v>
      </c>
      <c r="U198" s="103">
        <f>ABS(Finance[[#This Row],[Total (EGP)]])</f>
        <v>1402.2</v>
      </c>
      <c r="V198" s="180"/>
    </row>
    <row r="199" spans="2:22" ht="18" customHeight="1" x14ac:dyDescent="0.3">
      <c r="B199" s="168">
        <v>45742</v>
      </c>
      <c r="C199" s="169">
        <f>YEAR(Finance[[#This Row],[Date]])</f>
        <v>2025</v>
      </c>
      <c r="D199" s="141">
        <f>MONTH(Finance[[#This Row],[Date]])</f>
        <v>3</v>
      </c>
      <c r="E199" s="171" t="s">
        <v>242</v>
      </c>
      <c r="F199" s="39" t="s">
        <v>29</v>
      </c>
      <c r="G199" s="39" t="s">
        <v>112</v>
      </c>
      <c r="H199" s="48" t="s">
        <v>243</v>
      </c>
      <c r="I199" s="114" t="s">
        <v>175</v>
      </c>
      <c r="J199" s="131">
        <v>3</v>
      </c>
      <c r="K199" s="175"/>
      <c r="L199" s="176"/>
      <c r="M199" s="177"/>
      <c r="N199" s="177"/>
      <c r="O199" s="178"/>
      <c r="P199" s="178"/>
      <c r="Q199" s="177"/>
      <c r="R199" s="177">
        <v>456</v>
      </c>
      <c r="S199" s="179"/>
      <c r="T199" s="102">
        <f>SUM(Finance[[#This Row],[Samer]:[Margins]])</f>
        <v>456</v>
      </c>
      <c r="U199" s="103">
        <f>ABS(Finance[[#This Row],[Total (EGP)]])</f>
        <v>456</v>
      </c>
      <c r="V199" s="180"/>
    </row>
    <row r="200" spans="2:22" ht="18" customHeight="1" x14ac:dyDescent="0.3">
      <c r="B200" s="168">
        <v>45743</v>
      </c>
      <c r="C200" s="169">
        <f>YEAR(Finance[[#This Row],[Date]])</f>
        <v>2025</v>
      </c>
      <c r="D200" s="170">
        <f>MONTH(Finance[[#This Row],[Date]])</f>
        <v>3</v>
      </c>
      <c r="E200" s="171" t="s">
        <v>179</v>
      </c>
      <c r="F200" s="172" t="s">
        <v>37</v>
      </c>
      <c r="G200" s="172" t="s">
        <v>36</v>
      </c>
      <c r="H200" s="173" t="s">
        <v>181</v>
      </c>
      <c r="I200" s="181" t="s">
        <v>175</v>
      </c>
      <c r="J200" s="174">
        <v>0</v>
      </c>
      <c r="K200" s="175"/>
      <c r="L200" s="176">
        <v>-89689</v>
      </c>
      <c r="M200" s="177"/>
      <c r="N200" s="177"/>
      <c r="O200" s="178"/>
      <c r="P200" s="178"/>
      <c r="Q200" s="177"/>
      <c r="R200" s="177">
        <v>89689</v>
      </c>
      <c r="S200" s="179"/>
      <c r="T200" s="102">
        <f>SUM(Finance[[#This Row],[Samer]:[Margins]])</f>
        <v>0</v>
      </c>
      <c r="U200" s="103">
        <f>ABS(Finance[[#This Row],[Total (EGP)]])</f>
        <v>0</v>
      </c>
      <c r="V200" s="180"/>
    </row>
    <row r="201" spans="2:22" ht="18" customHeight="1" x14ac:dyDescent="0.3">
      <c r="B201" s="154">
        <v>45743</v>
      </c>
      <c r="C201" s="155">
        <f>YEAR(Finance[[#This Row],[Date]])</f>
        <v>2025</v>
      </c>
      <c r="D201" s="141">
        <f>MONTH(Finance[[#This Row],[Date]])</f>
        <v>3</v>
      </c>
      <c r="E201" s="39" t="s">
        <v>353</v>
      </c>
      <c r="F201" s="6" t="s">
        <v>34</v>
      </c>
      <c r="G201" s="6" t="s">
        <v>66</v>
      </c>
      <c r="H201" s="134" t="s">
        <v>210</v>
      </c>
      <c r="I201" s="135" t="s">
        <v>175</v>
      </c>
      <c r="J201" s="136">
        <v>1</v>
      </c>
      <c r="K201" s="31"/>
      <c r="L201" s="132">
        <f>90000*0.25</f>
        <v>22500</v>
      </c>
      <c r="M201" s="164"/>
      <c r="N201" s="164"/>
      <c r="O201" s="165"/>
      <c r="P201" s="165"/>
      <c r="Q201" s="145"/>
      <c r="R201" s="145">
        <f>38000+32300+30000*0.5+16868.2+25000</f>
        <v>127168.2</v>
      </c>
      <c r="S201" s="166"/>
      <c r="T201" s="102">
        <f>SUM(Finance[[#This Row],[Samer]:[Margins]])</f>
        <v>149668.20000000001</v>
      </c>
      <c r="U201" s="103">
        <f>ABS(Finance[[#This Row],[Total (EGP)]])</f>
        <v>149668.20000000001</v>
      </c>
      <c r="V201" s="167"/>
    </row>
    <row r="202" spans="2:22" ht="18" customHeight="1" x14ac:dyDescent="0.3">
      <c r="B202" s="154">
        <v>45743</v>
      </c>
      <c r="C202" s="155">
        <f>YEAR(Finance[[#This Row],[Date]])</f>
        <v>2025</v>
      </c>
      <c r="D202" s="141">
        <f>MONTH(Finance[[#This Row],[Date]])</f>
        <v>3</v>
      </c>
      <c r="E202" s="39" t="s">
        <v>354</v>
      </c>
      <c r="F202" s="6" t="s">
        <v>34</v>
      </c>
      <c r="G202" s="6" t="s">
        <v>66</v>
      </c>
      <c r="H202" s="134" t="s">
        <v>211</v>
      </c>
      <c r="I202" s="135" t="s">
        <v>175</v>
      </c>
      <c r="J202" s="136">
        <v>3</v>
      </c>
      <c r="K202" s="31"/>
      <c r="L202" s="132">
        <f>90000*0.3</f>
        <v>27000</v>
      </c>
      <c r="M202" s="164"/>
      <c r="N202" s="164"/>
      <c r="O202" s="165"/>
      <c r="P202" s="165"/>
      <c r="Q202" s="145"/>
      <c r="R202" s="145">
        <f>18628.35+12000+12500</f>
        <v>43128.35</v>
      </c>
      <c r="S202" s="166"/>
      <c r="T202" s="102">
        <f>SUM(Finance[[#This Row],[Samer]:[Margins]])</f>
        <v>70128.350000000006</v>
      </c>
      <c r="U202" s="103">
        <f>ABS(Finance[[#This Row],[Total (EGP)]])</f>
        <v>70128.350000000006</v>
      </c>
      <c r="V202" s="167"/>
    </row>
    <row r="203" spans="2:22" ht="18" customHeight="1" x14ac:dyDescent="0.3">
      <c r="B203" s="154">
        <v>45743</v>
      </c>
      <c r="C203" s="155">
        <f>YEAR(Finance[[#This Row],[Date]])</f>
        <v>2025</v>
      </c>
      <c r="D203" s="141">
        <f>MONTH(Finance[[#This Row],[Date]])</f>
        <v>3</v>
      </c>
      <c r="E203" s="39" t="s">
        <v>355</v>
      </c>
      <c r="F203" s="6" t="s">
        <v>34</v>
      </c>
      <c r="G203" s="6" t="s">
        <v>66</v>
      </c>
      <c r="H203" s="134" t="s">
        <v>212</v>
      </c>
      <c r="I203" s="135" t="s">
        <v>175</v>
      </c>
      <c r="J203" s="136">
        <v>4</v>
      </c>
      <c r="K203" s="31"/>
      <c r="L203" s="132">
        <f>90000*0.2</f>
        <v>18000</v>
      </c>
      <c r="M203" s="164"/>
      <c r="N203" s="164"/>
      <c r="O203" s="165"/>
      <c r="P203" s="165"/>
      <c r="Q203" s="145"/>
      <c r="R203" s="145">
        <f>21902.9+30000*0.5+20000</f>
        <v>56902.9</v>
      </c>
      <c r="S203" s="166"/>
      <c r="T203" s="102">
        <f>SUM(Finance[[#This Row],[Samer]:[Margins]])</f>
        <v>74902.899999999994</v>
      </c>
      <c r="U203" s="103">
        <f>ABS(Finance[[#This Row],[Total (EGP)]])</f>
        <v>74902.899999999994</v>
      </c>
      <c r="V203" s="167"/>
    </row>
    <row r="204" spans="2:22" ht="18" customHeight="1" x14ac:dyDescent="0.3">
      <c r="B204" s="154">
        <v>45743</v>
      </c>
      <c r="C204" s="155">
        <f>YEAR(Finance[[#This Row],[Date]])</f>
        <v>2025</v>
      </c>
      <c r="D204" s="141">
        <f>MONTH(Finance[[#This Row],[Date]])</f>
        <v>3</v>
      </c>
      <c r="E204" s="39" t="s">
        <v>356</v>
      </c>
      <c r="F204" s="6" t="s">
        <v>34</v>
      </c>
      <c r="G204" s="6" t="s">
        <v>66</v>
      </c>
      <c r="H204" s="134" t="s">
        <v>209</v>
      </c>
      <c r="I204" s="135" t="s">
        <v>175</v>
      </c>
      <c r="J204" s="136">
        <v>2</v>
      </c>
      <c r="K204" s="31"/>
      <c r="L204" s="132">
        <f>90000*0.25</f>
        <v>22500</v>
      </c>
      <c r="M204" s="164"/>
      <c r="N204" s="164"/>
      <c r="O204" s="165"/>
      <c r="P204" s="165"/>
      <c r="Q204" s="145"/>
      <c r="R204" s="145">
        <f>38000+17000+17000+13000</f>
        <v>85000</v>
      </c>
      <c r="S204" s="166"/>
      <c r="T204" s="102">
        <f>SUM(Finance[[#This Row],[Samer]:[Margins]])</f>
        <v>107500</v>
      </c>
      <c r="U204" s="103">
        <f>ABS(Finance[[#This Row],[Total (EGP)]])</f>
        <v>107500</v>
      </c>
      <c r="V204" s="167"/>
    </row>
    <row r="205" spans="2:22" ht="18" customHeight="1" x14ac:dyDescent="0.3">
      <c r="B205" s="154">
        <v>45743</v>
      </c>
      <c r="C205" s="155">
        <f>YEAR(Finance[[#This Row],[Date]])</f>
        <v>2025</v>
      </c>
      <c r="D205" s="141">
        <f>MONTH(Finance[[#This Row],[Date]])</f>
        <v>3</v>
      </c>
      <c r="E205" s="39" t="s">
        <v>357</v>
      </c>
      <c r="F205" s="39" t="s">
        <v>29</v>
      </c>
      <c r="G205" s="39" t="s">
        <v>213</v>
      </c>
      <c r="H205" s="48" t="s">
        <v>214</v>
      </c>
      <c r="I205" s="114" t="s">
        <v>175</v>
      </c>
      <c r="J205" s="131">
        <v>3</v>
      </c>
      <c r="K205" s="31"/>
      <c r="L205" s="132">
        <v>-311</v>
      </c>
      <c r="M205" s="164"/>
      <c r="N205" s="164"/>
      <c r="O205" s="165"/>
      <c r="P205" s="165"/>
      <c r="Q205" s="145"/>
      <c r="R205" s="145">
        <f>-311*10-691</f>
        <v>-3801</v>
      </c>
      <c r="S205" s="166"/>
      <c r="T205" s="102">
        <f>SUM(Finance[[#This Row],[Samer]:[Margins]])</f>
        <v>-4112</v>
      </c>
      <c r="U205" s="103">
        <f>ABS(Finance[[#This Row],[Total (EGP)]])</f>
        <v>4112</v>
      </c>
      <c r="V205" s="167"/>
    </row>
    <row r="206" spans="2:22" ht="18" customHeight="1" x14ac:dyDescent="0.3">
      <c r="B206" s="154">
        <v>45743</v>
      </c>
      <c r="C206" s="155">
        <f>YEAR(Finance[[#This Row],[Date]])</f>
        <v>2025</v>
      </c>
      <c r="D206" s="141">
        <f>MONTH(Finance[[#This Row],[Date]])</f>
        <v>3</v>
      </c>
      <c r="E206" s="6" t="s">
        <v>358</v>
      </c>
      <c r="F206" s="6" t="s">
        <v>34</v>
      </c>
      <c r="G206" s="6" t="s">
        <v>66</v>
      </c>
      <c r="H206" s="134" t="s">
        <v>209</v>
      </c>
      <c r="I206" s="114" t="s">
        <v>175</v>
      </c>
      <c r="J206" s="136">
        <v>2</v>
      </c>
      <c r="K206" s="143"/>
      <c r="L206" s="144">
        <v>8000</v>
      </c>
      <c r="M206" s="164"/>
      <c r="N206" s="164"/>
      <c r="O206" s="165"/>
      <c r="P206" s="165"/>
      <c r="Q206" s="145"/>
      <c r="R206" s="164"/>
      <c r="S206" s="166"/>
      <c r="T206" s="102">
        <f>SUM(Finance[[#This Row],[Samer]:[Margins]])</f>
        <v>8000</v>
      </c>
      <c r="U206" s="103">
        <f>ABS(Finance[[#This Row],[Total (EGP)]])</f>
        <v>8000</v>
      </c>
      <c r="V206" s="167"/>
    </row>
    <row r="207" spans="2:22" ht="18" customHeight="1" x14ac:dyDescent="0.3">
      <c r="B207" s="154">
        <v>45743</v>
      </c>
      <c r="C207" s="155">
        <f>YEAR(Finance[[#This Row],[Date]])</f>
        <v>2025</v>
      </c>
      <c r="D207" s="141">
        <f>MONTH(Finance[[#This Row],[Date]])</f>
        <v>3</v>
      </c>
      <c r="E207" s="133" t="s">
        <v>359</v>
      </c>
      <c r="F207" s="6" t="s">
        <v>34</v>
      </c>
      <c r="G207" s="6" t="s">
        <v>66</v>
      </c>
      <c r="H207" s="134" t="s">
        <v>505</v>
      </c>
      <c r="I207" s="114" t="s">
        <v>175</v>
      </c>
      <c r="J207" s="136">
        <v>5</v>
      </c>
      <c r="K207" s="162"/>
      <c r="L207" s="163">
        <v>5000</v>
      </c>
      <c r="M207" s="164"/>
      <c r="N207" s="164"/>
      <c r="O207" s="165"/>
      <c r="P207" s="165"/>
      <c r="Q207" s="164"/>
      <c r="R207" s="164"/>
      <c r="S207" s="166"/>
      <c r="T207" s="102">
        <f>SUM(Finance[[#This Row],[Samer]:[Margins]])</f>
        <v>5000</v>
      </c>
      <c r="U207" s="103">
        <f>ABS(Finance[[#This Row],[Total (EGP)]])</f>
        <v>5000</v>
      </c>
      <c r="V207" s="167"/>
    </row>
    <row r="208" spans="2:22" ht="18" customHeight="1" x14ac:dyDescent="0.3">
      <c r="B208" s="168">
        <v>45743</v>
      </c>
      <c r="C208" s="169">
        <f>YEAR(Finance[[#This Row],[Date]])</f>
        <v>2025</v>
      </c>
      <c r="D208" s="141">
        <f>MONTH(Finance[[#This Row],[Date]])</f>
        <v>3</v>
      </c>
      <c r="E208" s="6" t="s">
        <v>254</v>
      </c>
      <c r="F208" s="172" t="s">
        <v>29</v>
      </c>
      <c r="G208" s="6" t="s">
        <v>55</v>
      </c>
      <c r="H208" s="134" t="s">
        <v>352</v>
      </c>
      <c r="I208" s="135" t="s">
        <v>175</v>
      </c>
      <c r="J208" s="136">
        <v>3</v>
      </c>
      <c r="K208" s="175"/>
      <c r="L208" s="176"/>
      <c r="M208" s="177"/>
      <c r="N208" s="177"/>
      <c r="O208" s="178"/>
      <c r="P208" s="178"/>
      <c r="Q208" s="177"/>
      <c r="R208" s="177"/>
      <c r="S208" s="179">
        <v>3754</v>
      </c>
      <c r="T208" s="102">
        <f>SUM(Finance[[#This Row],[Samer]:[Margins]])</f>
        <v>3754</v>
      </c>
      <c r="U208" s="103">
        <f>ABS(Finance[[#This Row],[Total (EGP)]])</f>
        <v>3754</v>
      </c>
      <c r="V208" s="180"/>
    </row>
    <row r="209" spans="2:22" ht="18" customHeight="1" x14ac:dyDescent="0.3">
      <c r="B209" s="168">
        <v>45743</v>
      </c>
      <c r="C209" s="169">
        <f>YEAR(Finance[[#This Row],[Date]])</f>
        <v>2025</v>
      </c>
      <c r="D209" s="141">
        <f>MONTH(Finance[[#This Row],[Date]])</f>
        <v>3</v>
      </c>
      <c r="E209" s="6" t="s">
        <v>101</v>
      </c>
      <c r="F209" s="39" t="s">
        <v>29</v>
      </c>
      <c r="G209" s="6" t="s">
        <v>101</v>
      </c>
      <c r="H209" s="134" t="s">
        <v>74</v>
      </c>
      <c r="I209" s="135" t="s">
        <v>175</v>
      </c>
      <c r="J209" s="136">
        <v>3</v>
      </c>
      <c r="K209" s="175"/>
      <c r="L209" s="176"/>
      <c r="M209" s="177"/>
      <c r="N209" s="177"/>
      <c r="O209" s="178"/>
      <c r="P209" s="178"/>
      <c r="Q209" s="177"/>
      <c r="R209" s="177"/>
      <c r="S209" s="179">
        <v>84</v>
      </c>
      <c r="T209" s="102">
        <f>SUM(Finance[[#This Row],[Samer]:[Margins]])</f>
        <v>84</v>
      </c>
      <c r="U209" s="103">
        <f>ABS(Finance[[#This Row],[Total (EGP)]])</f>
        <v>84</v>
      </c>
      <c r="V209" s="180"/>
    </row>
    <row r="210" spans="2:22" ht="18" customHeight="1" x14ac:dyDescent="0.3">
      <c r="B210" s="168">
        <v>45743</v>
      </c>
      <c r="C210" s="169">
        <f>YEAR(Finance[[#This Row],[Date]])</f>
        <v>2025</v>
      </c>
      <c r="D210" s="141">
        <f>MONTH(Finance[[#This Row],[Date]])</f>
        <v>3</v>
      </c>
      <c r="E210" s="39" t="s">
        <v>32</v>
      </c>
      <c r="F210" s="39" t="s">
        <v>29</v>
      </c>
      <c r="G210" s="6" t="s">
        <v>32</v>
      </c>
      <c r="H210" s="134" t="s">
        <v>142</v>
      </c>
      <c r="I210" s="135" t="s">
        <v>175</v>
      </c>
      <c r="J210" s="136">
        <v>3</v>
      </c>
      <c r="K210" s="175"/>
      <c r="L210" s="176"/>
      <c r="M210" s="177"/>
      <c r="N210" s="177"/>
      <c r="O210" s="178"/>
      <c r="P210" s="178"/>
      <c r="Q210" s="177"/>
      <c r="R210" s="177"/>
      <c r="S210" s="179">
        <v>207</v>
      </c>
      <c r="T210" s="102">
        <f>SUM(Finance[[#This Row],[Samer]:[Margins]])</f>
        <v>207</v>
      </c>
      <c r="U210" s="103">
        <f>ABS(Finance[[#This Row],[Total (EGP)]])</f>
        <v>207</v>
      </c>
      <c r="V210" s="180"/>
    </row>
    <row r="211" spans="2:22" ht="18" customHeight="1" x14ac:dyDescent="0.3">
      <c r="B211" s="168">
        <v>45743</v>
      </c>
      <c r="C211" s="169">
        <f>YEAR(Finance[[#This Row],[Date]])</f>
        <v>2025</v>
      </c>
      <c r="D211" s="141">
        <f>MONTH(Finance[[#This Row],[Date]])</f>
        <v>3</v>
      </c>
      <c r="E211" s="172" t="s">
        <v>390</v>
      </c>
      <c r="F211" s="39" t="s">
        <v>29</v>
      </c>
      <c r="G211" s="6" t="s">
        <v>56</v>
      </c>
      <c r="H211" s="48" t="s">
        <v>142</v>
      </c>
      <c r="I211" s="135" t="s">
        <v>175</v>
      </c>
      <c r="J211" s="174">
        <v>3</v>
      </c>
      <c r="K211" s="175"/>
      <c r="L211" s="176"/>
      <c r="M211" s="177"/>
      <c r="N211" s="177"/>
      <c r="O211" s="178"/>
      <c r="P211" s="178"/>
      <c r="Q211" s="177"/>
      <c r="R211" s="177"/>
      <c r="S211" s="179">
        <v>50</v>
      </c>
      <c r="T211" s="102">
        <f>SUM(Finance[[#This Row],[Samer]:[Margins]])</f>
        <v>50</v>
      </c>
      <c r="U211" s="103">
        <f>ABS(Finance[[#This Row],[Total (EGP)]])</f>
        <v>50</v>
      </c>
      <c r="V211" s="180"/>
    </row>
    <row r="212" spans="2:22" ht="18" customHeight="1" x14ac:dyDescent="0.3">
      <c r="B212" s="168">
        <v>45743</v>
      </c>
      <c r="C212" s="169">
        <f>YEAR(Finance[[#This Row],[Date]])</f>
        <v>2025</v>
      </c>
      <c r="D212" s="170">
        <f>MONTH(Finance[[#This Row],[Date]])</f>
        <v>3</v>
      </c>
      <c r="E212" s="6" t="s">
        <v>456</v>
      </c>
      <c r="F212" s="6" t="s">
        <v>29</v>
      </c>
      <c r="G212" s="6" t="s">
        <v>95</v>
      </c>
      <c r="H212" s="134" t="s">
        <v>194</v>
      </c>
      <c r="I212" s="135" t="s">
        <v>175</v>
      </c>
      <c r="J212" s="136">
        <v>3</v>
      </c>
      <c r="K212" s="175"/>
      <c r="L212" s="176"/>
      <c r="M212" s="177"/>
      <c r="N212" s="177"/>
      <c r="O212" s="178"/>
      <c r="P212" s="178"/>
      <c r="Q212" s="177"/>
      <c r="R212" s="177">
        <f>100+100+150</f>
        <v>350</v>
      </c>
      <c r="S212" s="179"/>
      <c r="T212" s="102">
        <f>SUM(Finance[[#This Row],[Samer]:[Margins]])</f>
        <v>350</v>
      </c>
      <c r="U212" s="103">
        <f>ABS(Finance[[#This Row],[Total (EGP)]])</f>
        <v>350</v>
      </c>
      <c r="V212" s="180"/>
    </row>
    <row r="213" spans="2:22" ht="18" customHeight="1" x14ac:dyDescent="0.3">
      <c r="B213" s="168">
        <v>45743</v>
      </c>
      <c r="C213" s="169">
        <f>YEAR(Finance[[#This Row],[Date]])</f>
        <v>2025</v>
      </c>
      <c r="D213" s="170">
        <f>MONTH(Finance[[#This Row],[Date]])</f>
        <v>3</v>
      </c>
      <c r="E213" s="6" t="s">
        <v>457</v>
      </c>
      <c r="F213" s="6" t="s">
        <v>29</v>
      </c>
      <c r="G213" s="6" t="s">
        <v>95</v>
      </c>
      <c r="H213" s="134" t="s">
        <v>194</v>
      </c>
      <c r="I213" s="135" t="s">
        <v>175</v>
      </c>
      <c r="J213" s="136">
        <v>3</v>
      </c>
      <c r="K213" s="175"/>
      <c r="L213" s="176"/>
      <c r="M213" s="177"/>
      <c r="N213" s="177"/>
      <c r="O213" s="178"/>
      <c r="P213" s="178"/>
      <c r="Q213" s="177"/>
      <c r="R213" s="177">
        <f>162.02+317.29+283.72</f>
        <v>763.03000000000009</v>
      </c>
      <c r="S213" s="179"/>
      <c r="T213" s="102">
        <f>SUM(Finance[[#This Row],[Samer]:[Margins]])</f>
        <v>763.03000000000009</v>
      </c>
      <c r="U213" s="103">
        <f>ABS(Finance[[#This Row],[Total (EGP)]])</f>
        <v>763.03000000000009</v>
      </c>
      <c r="V213" s="180"/>
    </row>
    <row r="214" spans="2:22" ht="18" customHeight="1" x14ac:dyDescent="0.3">
      <c r="B214" s="168">
        <v>45745</v>
      </c>
      <c r="C214" s="169">
        <f>YEAR(Finance[[#This Row],[Date]])</f>
        <v>2025</v>
      </c>
      <c r="D214" s="141">
        <f>MONTH(Finance[[#This Row],[Date]])</f>
        <v>3</v>
      </c>
      <c r="E214" s="153" t="s">
        <v>385</v>
      </c>
      <c r="F214" s="39" t="s">
        <v>30</v>
      </c>
      <c r="G214" s="39" t="s">
        <v>127</v>
      </c>
      <c r="H214" s="173" t="s">
        <v>176</v>
      </c>
      <c r="I214" s="114" t="s">
        <v>386</v>
      </c>
      <c r="J214" s="174">
        <v>4</v>
      </c>
      <c r="K214" s="175"/>
      <c r="L214" s="176">
        <f>107.89*50.57*1.05</f>
        <v>5728.7971649999999</v>
      </c>
      <c r="M214" s="177"/>
      <c r="N214" s="177"/>
      <c r="O214" s="178"/>
      <c r="P214" s="178"/>
      <c r="Q214" s="177"/>
      <c r="R214" s="177"/>
      <c r="S214" s="179"/>
      <c r="T214" s="102">
        <f>SUM(Finance[[#This Row],[Samer]:[Margins]])</f>
        <v>5728.7971649999999</v>
      </c>
      <c r="U214" s="103">
        <f>ABS(Finance[[#This Row],[Total (EGP)]])</f>
        <v>5728.7971649999999</v>
      </c>
      <c r="V214" s="180"/>
    </row>
    <row r="215" spans="2:22" ht="18" customHeight="1" x14ac:dyDescent="0.3">
      <c r="B215" s="154">
        <v>45747</v>
      </c>
      <c r="C215" s="155">
        <f>YEAR(Finance[[#This Row],[Date]])</f>
        <v>2025</v>
      </c>
      <c r="D215" s="141">
        <f>MONTH(Finance[[#This Row],[Date]])</f>
        <v>3</v>
      </c>
      <c r="E215" s="6" t="s">
        <v>391</v>
      </c>
      <c r="F215" s="39" t="s">
        <v>84</v>
      </c>
      <c r="G215" s="39" t="s">
        <v>90</v>
      </c>
      <c r="H215" s="48" t="s">
        <v>143</v>
      </c>
      <c r="I215" s="149" t="s">
        <v>175</v>
      </c>
      <c r="J215" s="131">
        <v>1</v>
      </c>
      <c r="K215" s="162"/>
      <c r="L215" s="163"/>
      <c r="M215" s="164"/>
      <c r="N215" s="164"/>
      <c r="O215" s="165"/>
      <c r="P215" s="165"/>
      <c r="Q215" s="164"/>
      <c r="R215" s="145">
        <v>0</v>
      </c>
      <c r="S215" s="166"/>
      <c r="T215" s="102">
        <f>SUM(Finance[[#This Row],[Samer]:[Margins]])</f>
        <v>0</v>
      </c>
      <c r="U215" s="103">
        <f>ABS(Finance[[#This Row],[Total (EGP)]])</f>
        <v>0</v>
      </c>
      <c r="V215" s="167"/>
    </row>
    <row r="216" spans="2:22" ht="18" customHeight="1" x14ac:dyDescent="0.3">
      <c r="B216" s="154">
        <v>45747</v>
      </c>
      <c r="C216" s="155">
        <f>YEAR(Finance[[#This Row],[Date]])</f>
        <v>2025</v>
      </c>
      <c r="D216" s="141">
        <f>MONTH(Finance[[#This Row],[Date]])</f>
        <v>3</v>
      </c>
      <c r="E216" s="6" t="s">
        <v>360</v>
      </c>
      <c r="F216" s="39" t="s">
        <v>84</v>
      </c>
      <c r="G216" s="39" t="s">
        <v>90</v>
      </c>
      <c r="H216" s="48" t="s">
        <v>143</v>
      </c>
      <c r="I216" s="149" t="s">
        <v>175</v>
      </c>
      <c r="J216" s="131">
        <v>4</v>
      </c>
      <c r="K216" s="162"/>
      <c r="L216" s="163"/>
      <c r="M216" s="164"/>
      <c r="N216" s="164"/>
      <c r="O216" s="165"/>
      <c r="P216" s="165"/>
      <c r="Q216" s="164"/>
      <c r="R216" s="96">
        <f>11142.79-0.02</f>
        <v>11142.77</v>
      </c>
      <c r="S216" s="166"/>
      <c r="T216" s="102">
        <f>SUM(Finance[[#This Row],[Samer]:[Margins]])</f>
        <v>11142.77</v>
      </c>
      <c r="U216" s="103">
        <f>ABS(Finance[[#This Row],[Total (EGP)]])</f>
        <v>11142.77</v>
      </c>
      <c r="V216" s="167"/>
    </row>
    <row r="217" spans="2:22" ht="18" customHeight="1" x14ac:dyDescent="0.3">
      <c r="B217" s="154">
        <v>45747</v>
      </c>
      <c r="C217" s="155">
        <f>YEAR(Finance[[#This Row],[Date]])</f>
        <v>2025</v>
      </c>
      <c r="D217" s="141">
        <f>MONTH(Finance[[#This Row],[Date]])</f>
        <v>3</v>
      </c>
      <c r="E217" s="6" t="s">
        <v>361</v>
      </c>
      <c r="F217" s="39" t="s">
        <v>84</v>
      </c>
      <c r="G217" s="39" t="s">
        <v>90</v>
      </c>
      <c r="H217" s="48" t="s">
        <v>143</v>
      </c>
      <c r="I217" s="149" t="s">
        <v>175</v>
      </c>
      <c r="J217" s="131">
        <v>5</v>
      </c>
      <c r="K217" s="162"/>
      <c r="L217" s="163"/>
      <c r="M217" s="164"/>
      <c r="N217" s="164"/>
      <c r="O217" s="165"/>
      <c r="P217" s="165"/>
      <c r="Q217" s="164"/>
      <c r="R217" s="145">
        <v>4769.21</v>
      </c>
      <c r="S217" s="166"/>
      <c r="T217" s="102">
        <f>SUM(Finance[[#This Row],[Samer]:[Margins]])</f>
        <v>4769.21</v>
      </c>
      <c r="U217" s="103">
        <f>ABS(Finance[[#This Row],[Total (EGP)]])</f>
        <v>4769.21</v>
      </c>
      <c r="V217" s="167"/>
    </row>
    <row r="218" spans="2:22" ht="18" customHeight="1" x14ac:dyDescent="0.3">
      <c r="B218" s="154">
        <v>45747</v>
      </c>
      <c r="C218" s="155">
        <f>YEAR(Finance[[#This Row],[Date]])</f>
        <v>2025</v>
      </c>
      <c r="D218" s="141">
        <f>MONTH(Finance[[#This Row],[Date]])</f>
        <v>3</v>
      </c>
      <c r="E218" s="6" t="s">
        <v>362</v>
      </c>
      <c r="F218" s="39" t="s">
        <v>84</v>
      </c>
      <c r="G218" s="39" t="s">
        <v>90</v>
      </c>
      <c r="H218" s="48" t="s">
        <v>143</v>
      </c>
      <c r="I218" s="149" t="s">
        <v>175</v>
      </c>
      <c r="J218" s="131">
        <v>2</v>
      </c>
      <c r="K218" s="162"/>
      <c r="L218" s="163"/>
      <c r="M218" s="164"/>
      <c r="N218" s="164"/>
      <c r="O218" s="165"/>
      <c r="P218" s="165"/>
      <c r="Q218" s="164"/>
      <c r="R218" s="145">
        <v>75040.009999999995</v>
      </c>
      <c r="S218" s="166"/>
      <c r="T218" s="102">
        <f>SUM(Finance[[#This Row],[Samer]:[Margins]])</f>
        <v>75040.009999999995</v>
      </c>
      <c r="U218" s="103">
        <f>ABS(Finance[[#This Row],[Total (EGP)]])</f>
        <v>75040.009999999995</v>
      </c>
      <c r="V218" s="167"/>
    </row>
    <row r="219" spans="2:22" ht="18" customHeight="1" x14ac:dyDescent="0.3">
      <c r="B219" s="154">
        <v>45747</v>
      </c>
      <c r="C219" s="155">
        <f>YEAR(Finance[[#This Row],[Date]])</f>
        <v>2025</v>
      </c>
      <c r="D219" s="141">
        <f>MONTH(Finance[[#This Row],[Date]])</f>
        <v>3</v>
      </c>
      <c r="E219" s="6" t="s">
        <v>221</v>
      </c>
      <c r="F219" s="39" t="s">
        <v>29</v>
      </c>
      <c r="G219" s="6" t="s">
        <v>95</v>
      </c>
      <c r="H219" s="48" t="s">
        <v>194</v>
      </c>
      <c r="I219" s="135" t="s">
        <v>175</v>
      </c>
      <c r="J219" s="136">
        <v>3</v>
      </c>
      <c r="K219" s="162"/>
      <c r="L219" s="163"/>
      <c r="M219" s="164"/>
      <c r="N219" s="164"/>
      <c r="O219" s="165"/>
      <c r="P219" s="165"/>
      <c r="Q219" s="164"/>
      <c r="R219" s="145">
        <f>90952*0.0107001</f>
        <v>973.1954952000001</v>
      </c>
      <c r="S219" s="166"/>
      <c r="T219" s="102">
        <f>SUM(Finance[[#This Row],[Samer]:[Margins]])</f>
        <v>973.1954952000001</v>
      </c>
      <c r="U219" s="103">
        <f>ABS(Finance[[#This Row],[Total (EGP)]])</f>
        <v>973.1954952000001</v>
      </c>
      <c r="V219" s="167"/>
    </row>
    <row r="220" spans="2:22" ht="18" customHeight="1" x14ac:dyDescent="0.3">
      <c r="B220" s="154">
        <v>45747</v>
      </c>
      <c r="C220" s="155">
        <f>YEAR(Finance[[#This Row],[Date]])</f>
        <v>2025</v>
      </c>
      <c r="D220" s="141">
        <f>MONTH(Finance[[#This Row],[Date]])</f>
        <v>3</v>
      </c>
      <c r="E220" s="6" t="s">
        <v>363</v>
      </c>
      <c r="F220" s="39" t="s">
        <v>84</v>
      </c>
      <c r="G220" s="6" t="s">
        <v>85</v>
      </c>
      <c r="H220" s="48" t="s">
        <v>222</v>
      </c>
      <c r="I220" s="135" t="s">
        <v>175</v>
      </c>
      <c r="J220" s="136">
        <v>3</v>
      </c>
      <c r="K220" s="162"/>
      <c r="L220" s="163"/>
      <c r="M220" s="164"/>
      <c r="N220" s="164"/>
      <c r="O220" s="165"/>
      <c r="P220" s="165"/>
      <c r="Q220" s="164"/>
      <c r="R220" s="164">
        <v>9851</v>
      </c>
      <c r="S220" s="166"/>
      <c r="T220" s="102">
        <f>SUM(Finance[[#This Row],[Samer]:[Margins]])</f>
        <v>9851</v>
      </c>
      <c r="U220" s="103">
        <f>ABS(Finance[[#This Row],[Total (EGP)]])</f>
        <v>9851</v>
      </c>
      <c r="V220" s="167"/>
    </row>
    <row r="221" spans="2:22" ht="18" customHeight="1" x14ac:dyDescent="0.3">
      <c r="B221" s="154">
        <v>45747</v>
      </c>
      <c r="C221" s="155">
        <f>YEAR(Finance[[#This Row],[Date]])</f>
        <v>2025</v>
      </c>
      <c r="D221" s="141">
        <f>MONTH(Finance[[#This Row],[Date]])</f>
        <v>3</v>
      </c>
      <c r="E221" s="6" t="s">
        <v>223</v>
      </c>
      <c r="F221" s="39" t="s">
        <v>29</v>
      </c>
      <c r="G221" s="6" t="s">
        <v>95</v>
      </c>
      <c r="H221" s="48" t="s">
        <v>194</v>
      </c>
      <c r="I221" s="135" t="s">
        <v>175</v>
      </c>
      <c r="J221" s="136">
        <v>3</v>
      </c>
      <c r="K221" s="162"/>
      <c r="L221" s="163"/>
      <c r="M221" s="164"/>
      <c r="N221" s="164"/>
      <c r="O221" s="165"/>
      <c r="P221" s="165"/>
      <c r="Q221" s="145"/>
      <c r="R221" s="164">
        <f>9851*0.0107002</f>
        <v>105.4076702</v>
      </c>
      <c r="S221" s="166"/>
      <c r="T221" s="102">
        <f>SUM(Finance[[#This Row],[Samer]:[Margins]])</f>
        <v>105.4076702</v>
      </c>
      <c r="U221" s="103">
        <f>ABS(Finance[[#This Row],[Total (EGP)]])</f>
        <v>105.4076702</v>
      </c>
      <c r="V221" s="167"/>
    </row>
    <row r="222" spans="2:22" ht="18" customHeight="1" x14ac:dyDescent="0.3">
      <c r="B222" s="168">
        <v>45748</v>
      </c>
      <c r="C222" s="169">
        <f>YEAR(Finance[[#This Row],[Date]])</f>
        <v>2025</v>
      </c>
      <c r="D222" s="141">
        <f>MONTH(Finance[[#This Row],[Date]])</f>
        <v>4</v>
      </c>
      <c r="E222" s="39" t="s">
        <v>393</v>
      </c>
      <c r="F222" s="39" t="s">
        <v>30</v>
      </c>
      <c r="G222" s="39" t="s">
        <v>127</v>
      </c>
      <c r="H222" s="130" t="s">
        <v>176</v>
      </c>
      <c r="I222" s="114" t="s">
        <v>177</v>
      </c>
      <c r="J222" s="131">
        <v>1</v>
      </c>
      <c r="K222" s="31"/>
      <c r="L222" s="132">
        <f>57*54.6*1.25</f>
        <v>3890.2500000000005</v>
      </c>
      <c r="M222" s="177"/>
      <c r="N222" s="177"/>
      <c r="O222" s="178"/>
      <c r="P222" s="178"/>
      <c r="Q222" s="177"/>
      <c r="R222" s="177"/>
      <c r="S222" s="179"/>
      <c r="T222" s="102">
        <f>SUM(Finance[[#This Row],[Samer]:[Margins]])</f>
        <v>3890.2500000000005</v>
      </c>
      <c r="U222" s="103">
        <f>ABS(Finance[[#This Row],[Total (EGP)]])</f>
        <v>3890.2500000000005</v>
      </c>
      <c r="V222" s="180"/>
    </row>
    <row r="223" spans="2:22" ht="18" customHeight="1" x14ac:dyDescent="0.3">
      <c r="B223" s="168">
        <v>45748</v>
      </c>
      <c r="C223" s="169">
        <f>YEAR(Finance[[#This Row],[Date]])</f>
        <v>2025</v>
      </c>
      <c r="D223" s="170">
        <f>MONTH(Finance[[#This Row],[Date]])</f>
        <v>4</v>
      </c>
      <c r="E223" s="133" t="s">
        <v>394</v>
      </c>
      <c r="F223" s="6" t="s">
        <v>30</v>
      </c>
      <c r="G223" s="6" t="s">
        <v>109</v>
      </c>
      <c r="H223" s="134" t="s">
        <v>182</v>
      </c>
      <c r="I223" s="135" t="s">
        <v>175</v>
      </c>
      <c r="J223" s="174">
        <v>4</v>
      </c>
      <c r="K223" s="175"/>
      <c r="L223" s="176">
        <f>69*54.6*1.1</f>
        <v>4144.1400000000003</v>
      </c>
      <c r="M223" s="177"/>
      <c r="N223" s="177"/>
      <c r="O223" s="178"/>
      <c r="P223" s="178"/>
      <c r="Q223" s="177"/>
      <c r="R223" s="177"/>
      <c r="S223" s="179"/>
      <c r="T223" s="102">
        <f>SUM(Finance[[#This Row],[Samer]:[Margins]])</f>
        <v>4144.1400000000003</v>
      </c>
      <c r="U223" s="103">
        <f>ABS(Finance[[#This Row],[Total (EGP)]])</f>
        <v>4144.1400000000003</v>
      </c>
      <c r="V223" s="180"/>
    </row>
    <row r="224" spans="2:22" ht="18" customHeight="1" x14ac:dyDescent="0.3">
      <c r="B224" s="168">
        <v>45748</v>
      </c>
      <c r="C224" s="169">
        <f>YEAR(Finance[[#This Row],[Date]])</f>
        <v>2025</v>
      </c>
      <c r="D224" s="170">
        <f>MONTH(Finance[[#This Row],[Date]])</f>
        <v>4</v>
      </c>
      <c r="E224" s="39" t="s">
        <v>398</v>
      </c>
      <c r="F224" s="39" t="s">
        <v>30</v>
      </c>
      <c r="G224" s="39" t="s">
        <v>109</v>
      </c>
      <c r="H224" s="130" t="s">
        <v>176</v>
      </c>
      <c r="I224" s="114" t="s">
        <v>177</v>
      </c>
      <c r="J224" s="131">
        <v>1</v>
      </c>
      <c r="K224" s="175"/>
      <c r="L224" s="176">
        <f>17.66*2*50.63*1.1</f>
        <v>1967.0767600000001</v>
      </c>
      <c r="M224" s="177"/>
      <c r="N224" s="177"/>
      <c r="O224" s="178"/>
      <c r="P224" s="178"/>
      <c r="Q224" s="177"/>
      <c r="R224" s="177"/>
      <c r="S224" s="179"/>
      <c r="T224" s="102">
        <f>SUM(Finance[[#This Row],[Samer]:[Margins]])</f>
        <v>1967.0767600000001</v>
      </c>
      <c r="U224" s="103">
        <f>ABS(Finance[[#This Row],[Total (EGP)]])</f>
        <v>1967.0767600000001</v>
      </c>
      <c r="V224" s="180"/>
    </row>
    <row r="225" spans="2:22" ht="18" customHeight="1" x14ac:dyDescent="0.3">
      <c r="B225" s="218">
        <v>45748</v>
      </c>
      <c r="C225" s="219">
        <f>YEAR(Finance[[#This Row],[Date]])</f>
        <v>2025</v>
      </c>
      <c r="D225" s="220">
        <f>MONTH(Finance[[#This Row],[Date]])</f>
        <v>4</v>
      </c>
      <c r="E225" s="222" t="s">
        <v>589</v>
      </c>
      <c r="F225" s="39" t="s">
        <v>29</v>
      </c>
      <c r="G225" s="39" t="s">
        <v>108</v>
      </c>
      <c r="H225" s="130" t="s">
        <v>182</v>
      </c>
      <c r="I225" s="114" t="s">
        <v>175</v>
      </c>
      <c r="J225" s="131">
        <v>4</v>
      </c>
      <c r="K225" s="201"/>
      <c r="L225" s="202">
        <f>280*50</f>
        <v>14000</v>
      </c>
      <c r="M225" s="203"/>
      <c r="N225" s="203"/>
      <c r="O225" s="204"/>
      <c r="P225" s="204"/>
      <c r="Q225" s="203"/>
      <c r="R225" s="203"/>
      <c r="S225" s="205"/>
      <c r="T225" s="102">
        <f>SUM(Finance[[#This Row],[Samer]:[Margins]])</f>
        <v>14000</v>
      </c>
      <c r="U225" s="103">
        <f>ABS(Finance[[#This Row],[Total (EGP)]])</f>
        <v>14000</v>
      </c>
      <c r="V225" s="206"/>
    </row>
    <row r="226" spans="2:22" ht="18" customHeight="1" x14ac:dyDescent="0.3">
      <c r="B226" s="168">
        <v>45750</v>
      </c>
      <c r="C226" s="169">
        <f>YEAR(Finance[[#This Row],[Date]])</f>
        <v>2025</v>
      </c>
      <c r="D226" s="170">
        <f>MONTH(Finance[[#This Row],[Date]])</f>
        <v>4</v>
      </c>
      <c r="E226" s="39" t="s">
        <v>208</v>
      </c>
      <c r="F226" s="6" t="s">
        <v>30</v>
      </c>
      <c r="G226" s="6" t="s">
        <v>88</v>
      </c>
      <c r="H226" s="134" t="s">
        <v>209</v>
      </c>
      <c r="I226" s="135" t="s">
        <v>175</v>
      </c>
      <c r="J226" s="136">
        <v>2</v>
      </c>
      <c r="K226" s="143"/>
      <c r="L226" s="144">
        <f>42*325</f>
        <v>13650</v>
      </c>
      <c r="M226" s="177"/>
      <c r="N226" s="177"/>
      <c r="O226" s="178"/>
      <c r="P226" s="178"/>
      <c r="Q226" s="177"/>
      <c r="R226" s="177"/>
      <c r="S226" s="179"/>
      <c r="T226" s="102">
        <f>SUM(Finance[[#This Row],[Samer]:[Margins]])</f>
        <v>13650</v>
      </c>
      <c r="U226" s="103">
        <f>ABS(Finance[[#This Row],[Total (EGP)]])</f>
        <v>13650</v>
      </c>
      <c r="V226" s="180"/>
    </row>
    <row r="227" spans="2:22" ht="18" customHeight="1" x14ac:dyDescent="0.3">
      <c r="B227" s="168">
        <v>45750</v>
      </c>
      <c r="C227" s="169">
        <f>YEAR(Finance[[#This Row],[Date]])</f>
        <v>2025</v>
      </c>
      <c r="D227" s="170">
        <f>MONTH(Finance[[#This Row],[Date]])</f>
        <v>4</v>
      </c>
      <c r="E227" s="39" t="s">
        <v>455</v>
      </c>
      <c r="F227" s="39" t="s">
        <v>73</v>
      </c>
      <c r="G227" s="39" t="s">
        <v>93</v>
      </c>
      <c r="H227" s="48" t="s">
        <v>199</v>
      </c>
      <c r="I227" s="114" t="s">
        <v>378</v>
      </c>
      <c r="J227" s="131">
        <v>4</v>
      </c>
      <c r="K227" s="175"/>
      <c r="L227" s="176"/>
      <c r="M227" s="177"/>
      <c r="N227" s="177"/>
      <c r="O227" s="178"/>
      <c r="P227" s="178"/>
      <c r="Q227" s="177"/>
      <c r="R227" s="177">
        <v>-4375</v>
      </c>
      <c r="S227" s="179"/>
      <c r="T227" s="102">
        <f>SUM(Finance[[#This Row],[Samer]:[Margins]])</f>
        <v>-4375</v>
      </c>
      <c r="U227" s="103">
        <f>ABS(Finance[[#This Row],[Total (EGP)]])</f>
        <v>4375</v>
      </c>
      <c r="V227" s="180"/>
    </row>
    <row r="228" spans="2:22" ht="18" customHeight="1" x14ac:dyDescent="0.3">
      <c r="B228" s="168">
        <v>45750</v>
      </c>
      <c r="C228" s="169">
        <f>YEAR(Finance[[#This Row],[Date]])</f>
        <v>2025</v>
      </c>
      <c r="D228" s="170">
        <f>MONTH(Finance[[#This Row],[Date]])</f>
        <v>4</v>
      </c>
      <c r="E228" s="39" t="s">
        <v>381</v>
      </c>
      <c r="F228" s="39" t="s">
        <v>73</v>
      </c>
      <c r="G228" s="39" t="s">
        <v>93</v>
      </c>
      <c r="H228" s="48" t="s">
        <v>90</v>
      </c>
      <c r="I228" s="114" t="s">
        <v>378</v>
      </c>
      <c r="J228" s="131">
        <v>4</v>
      </c>
      <c r="K228" s="175"/>
      <c r="L228" s="176"/>
      <c r="M228" s="177"/>
      <c r="N228" s="177"/>
      <c r="O228" s="178"/>
      <c r="P228" s="178"/>
      <c r="Q228" s="177"/>
      <c r="R228" s="177">
        <f>-4375*0.14</f>
        <v>-612.50000000000011</v>
      </c>
      <c r="S228" s="179"/>
      <c r="T228" s="102">
        <f>SUM(Finance[[#This Row],[Samer]:[Margins]])</f>
        <v>-612.50000000000011</v>
      </c>
      <c r="U228" s="103">
        <f>ABS(Finance[[#This Row],[Total (EGP)]])</f>
        <v>612.50000000000011</v>
      </c>
      <c r="V228" s="180"/>
    </row>
    <row r="229" spans="2:22" ht="18" customHeight="1" x14ac:dyDescent="0.3">
      <c r="B229" s="168">
        <v>45750</v>
      </c>
      <c r="C229" s="169">
        <f>YEAR(Finance[[#This Row],[Date]])</f>
        <v>2025</v>
      </c>
      <c r="D229" s="170">
        <f>MONTH(Finance[[#This Row],[Date]])</f>
        <v>4</v>
      </c>
      <c r="E229" s="6" t="s">
        <v>379</v>
      </c>
      <c r="F229" s="6" t="s">
        <v>29</v>
      </c>
      <c r="G229" s="6" t="s">
        <v>95</v>
      </c>
      <c r="H229" s="134" t="s">
        <v>194</v>
      </c>
      <c r="I229" s="135" t="s">
        <v>378</v>
      </c>
      <c r="J229" s="136">
        <v>3</v>
      </c>
      <c r="K229" s="175"/>
      <c r="L229" s="176"/>
      <c r="M229" s="177"/>
      <c r="N229" s="177"/>
      <c r="O229" s="178"/>
      <c r="P229" s="178"/>
      <c r="Q229" s="177"/>
      <c r="R229" s="177">
        <v>10</v>
      </c>
      <c r="S229" s="179"/>
      <c r="T229" s="102">
        <f>SUM(Finance[[#This Row],[Samer]:[Margins]])</f>
        <v>10</v>
      </c>
      <c r="U229" s="103">
        <f>ABS(Finance[[#This Row],[Total (EGP)]])</f>
        <v>10</v>
      </c>
      <c r="V229" s="180"/>
    </row>
    <row r="230" spans="2:22" ht="18" customHeight="1" x14ac:dyDescent="0.3">
      <c r="B230" s="168">
        <v>45750</v>
      </c>
      <c r="C230" s="169">
        <f>YEAR(Finance[[#This Row],[Date]])</f>
        <v>2025</v>
      </c>
      <c r="D230" s="170">
        <f>MONTH(Finance[[#This Row],[Date]])</f>
        <v>4</v>
      </c>
      <c r="E230" s="6" t="s">
        <v>241</v>
      </c>
      <c r="F230" s="6" t="s">
        <v>29</v>
      </c>
      <c r="G230" s="6" t="s">
        <v>95</v>
      </c>
      <c r="H230" s="134" t="s">
        <v>194</v>
      </c>
      <c r="I230" s="135" t="s">
        <v>175</v>
      </c>
      <c r="J230" s="136">
        <v>3</v>
      </c>
      <c r="K230" s="175"/>
      <c r="L230" s="176"/>
      <c r="M230" s="177"/>
      <c r="N230" s="177"/>
      <c r="O230" s="178"/>
      <c r="P230" s="178"/>
      <c r="Q230" s="177"/>
      <c r="R230" s="177">
        <v>150.28</v>
      </c>
      <c r="S230" s="179"/>
      <c r="T230" s="102">
        <f>SUM(Finance[[#This Row],[Samer]:[Margins]])</f>
        <v>150.28</v>
      </c>
      <c r="U230" s="103">
        <f>ABS(Finance[[#This Row],[Total (EGP)]])</f>
        <v>150.28</v>
      </c>
      <c r="V230" s="180"/>
    </row>
    <row r="231" spans="2:22" ht="18" customHeight="1" x14ac:dyDescent="0.3">
      <c r="B231" s="168">
        <v>45754</v>
      </c>
      <c r="C231" s="169">
        <f>YEAR(Finance[[#This Row],[Date]])</f>
        <v>2025</v>
      </c>
      <c r="D231" s="170">
        <f>MONTH(Finance[[#This Row],[Date]])</f>
        <v>4</v>
      </c>
      <c r="E231" s="19" t="s">
        <v>401</v>
      </c>
      <c r="F231" s="6" t="s">
        <v>73</v>
      </c>
      <c r="G231" s="6" t="s">
        <v>75</v>
      </c>
      <c r="H231" s="134" t="s">
        <v>234</v>
      </c>
      <c r="I231" s="135" t="s">
        <v>185</v>
      </c>
      <c r="J231" s="136">
        <v>4</v>
      </c>
      <c r="K231" s="175"/>
      <c r="L231" s="176"/>
      <c r="M231" s="177"/>
      <c r="N231" s="177"/>
      <c r="O231" s="178"/>
      <c r="P231" s="178"/>
      <c r="Q231" s="177"/>
      <c r="R231" s="177">
        <f>-31487.22-19693.85-22825.2+0.02</f>
        <v>-74006.25</v>
      </c>
      <c r="S231" s="179"/>
      <c r="T231" s="102">
        <f>SUM(Finance[[#This Row],[Samer]:[Margins]])</f>
        <v>-74006.25</v>
      </c>
      <c r="U231" s="103">
        <f>ABS(Finance[[#This Row],[Total (EGP)]])</f>
        <v>74006.25</v>
      </c>
      <c r="V231" s="180"/>
    </row>
    <row r="232" spans="2:22" ht="18" customHeight="1" x14ac:dyDescent="0.3">
      <c r="B232" s="168">
        <v>45754</v>
      </c>
      <c r="C232" s="169">
        <f>YEAR(Finance[[#This Row],[Date]])</f>
        <v>2025</v>
      </c>
      <c r="D232" s="170">
        <f>MONTH(Finance[[#This Row],[Date]])</f>
        <v>4</v>
      </c>
      <c r="E232" s="19" t="s">
        <v>270</v>
      </c>
      <c r="F232" s="6" t="s">
        <v>73</v>
      </c>
      <c r="G232" s="6" t="s">
        <v>75</v>
      </c>
      <c r="H232" s="134" t="s">
        <v>90</v>
      </c>
      <c r="I232" s="135" t="s">
        <v>185</v>
      </c>
      <c r="J232" s="136">
        <v>4</v>
      </c>
      <c r="K232" s="175"/>
      <c r="L232" s="176"/>
      <c r="M232" s="177"/>
      <c r="N232" s="177"/>
      <c r="O232" s="178"/>
      <c r="P232" s="178"/>
      <c r="Q232" s="177"/>
      <c r="R232" s="177">
        <f>-74006.27*0.14</f>
        <v>-10360.877800000002</v>
      </c>
      <c r="S232" s="179"/>
      <c r="T232" s="102">
        <f>SUM(Finance[[#This Row],[Samer]:[Margins]])</f>
        <v>-10360.877800000002</v>
      </c>
      <c r="U232" s="103">
        <f>ABS(Finance[[#This Row],[Total (EGP)]])</f>
        <v>10360.877800000002</v>
      </c>
      <c r="V232" s="180"/>
    </row>
    <row r="233" spans="2:22" ht="18" customHeight="1" x14ac:dyDescent="0.3">
      <c r="B233" s="168">
        <v>45754</v>
      </c>
      <c r="C233" s="169">
        <f>YEAR(Finance[[#This Row],[Date]])</f>
        <v>2025</v>
      </c>
      <c r="D233" s="170">
        <f>MONTH(Finance[[#This Row],[Date]])</f>
        <v>4</v>
      </c>
      <c r="E233" s="19" t="s">
        <v>271</v>
      </c>
      <c r="F233" s="6" t="s">
        <v>84</v>
      </c>
      <c r="G233" s="6" t="s">
        <v>86</v>
      </c>
      <c r="H233" s="134" t="s">
        <v>234</v>
      </c>
      <c r="I233" s="135" t="s">
        <v>185</v>
      </c>
      <c r="J233" s="136">
        <v>4</v>
      </c>
      <c r="K233" s="175"/>
      <c r="L233" s="176"/>
      <c r="M233" s="177"/>
      <c r="N233" s="177"/>
      <c r="O233" s="178"/>
      <c r="P233" s="178"/>
      <c r="Q233" s="177"/>
      <c r="R233" s="177">
        <f>74006.27*0.03</f>
        <v>2220.1880999999998</v>
      </c>
      <c r="S233" s="179"/>
      <c r="T233" s="102">
        <f>SUM(Finance[[#This Row],[Samer]:[Margins]])</f>
        <v>2220.1880999999998</v>
      </c>
      <c r="U233" s="103">
        <f>ABS(Finance[[#This Row],[Total (EGP)]])</f>
        <v>2220.1880999999998</v>
      </c>
      <c r="V233" s="180"/>
    </row>
    <row r="234" spans="2:22" ht="18" customHeight="1" x14ac:dyDescent="0.3">
      <c r="B234" s="168">
        <v>45754</v>
      </c>
      <c r="C234" s="169">
        <f>YEAR(Finance[[#This Row],[Date]])</f>
        <v>2025</v>
      </c>
      <c r="D234" s="170">
        <f>MONTH(Finance[[#This Row],[Date]])</f>
        <v>4</v>
      </c>
      <c r="E234" s="19" t="s">
        <v>402</v>
      </c>
      <c r="F234" s="6" t="s">
        <v>73</v>
      </c>
      <c r="G234" s="6" t="s">
        <v>272</v>
      </c>
      <c r="H234" s="134" t="s">
        <v>234</v>
      </c>
      <c r="I234" s="135" t="s">
        <v>185</v>
      </c>
      <c r="J234" s="136">
        <v>5</v>
      </c>
      <c r="K234" s="175"/>
      <c r="L234" s="176"/>
      <c r="M234" s="177"/>
      <c r="N234" s="177"/>
      <c r="O234" s="178"/>
      <c r="P234" s="178"/>
      <c r="Q234" s="177"/>
      <c r="R234" s="177">
        <f>-4875*3</f>
        <v>-14625</v>
      </c>
      <c r="S234" s="179"/>
      <c r="T234" s="102">
        <f>SUM(Finance[[#This Row],[Samer]:[Margins]])</f>
        <v>-14625</v>
      </c>
      <c r="U234" s="103">
        <f>ABS(Finance[[#This Row],[Total (EGP)]])</f>
        <v>14625</v>
      </c>
      <c r="V234" s="180"/>
    </row>
    <row r="235" spans="2:22" ht="18" customHeight="1" x14ac:dyDescent="0.3">
      <c r="B235" s="168">
        <v>45754</v>
      </c>
      <c r="C235" s="169">
        <f>YEAR(Finance[[#This Row],[Date]])</f>
        <v>2025</v>
      </c>
      <c r="D235" s="170">
        <f>MONTH(Finance[[#This Row],[Date]])</f>
        <v>4</v>
      </c>
      <c r="E235" s="19" t="s">
        <v>273</v>
      </c>
      <c r="F235" s="6" t="s">
        <v>73</v>
      </c>
      <c r="G235" s="6" t="s">
        <v>272</v>
      </c>
      <c r="H235" s="134" t="s">
        <v>90</v>
      </c>
      <c r="I235" s="135" t="s">
        <v>185</v>
      </c>
      <c r="J235" s="136">
        <v>5</v>
      </c>
      <c r="K235" s="175"/>
      <c r="L235" s="176"/>
      <c r="M235" s="177"/>
      <c r="N235" s="177"/>
      <c r="O235" s="178"/>
      <c r="P235" s="178"/>
      <c r="Q235" s="177"/>
      <c r="R235" s="177">
        <f>-14625*0.14</f>
        <v>-2047.5000000000002</v>
      </c>
      <c r="S235" s="179"/>
      <c r="T235" s="102">
        <f>SUM(Finance[[#This Row],[Samer]:[Margins]])</f>
        <v>-2047.5000000000002</v>
      </c>
      <c r="U235" s="103">
        <f>ABS(Finance[[#This Row],[Total (EGP)]])</f>
        <v>2047.5000000000002</v>
      </c>
      <c r="V235" s="180"/>
    </row>
    <row r="236" spans="2:22" ht="18" customHeight="1" x14ac:dyDescent="0.3">
      <c r="B236" s="168">
        <v>45754</v>
      </c>
      <c r="C236" s="169">
        <f>YEAR(Finance[[#This Row],[Date]])</f>
        <v>2025</v>
      </c>
      <c r="D236" s="170">
        <f>MONTH(Finance[[#This Row],[Date]])</f>
        <v>4</v>
      </c>
      <c r="E236" s="19" t="s">
        <v>274</v>
      </c>
      <c r="F236" s="6" t="s">
        <v>84</v>
      </c>
      <c r="G236" s="6" t="s">
        <v>86</v>
      </c>
      <c r="H236" s="134" t="s">
        <v>234</v>
      </c>
      <c r="I236" s="135" t="s">
        <v>185</v>
      </c>
      <c r="J236" s="136">
        <v>5</v>
      </c>
      <c r="K236" s="175"/>
      <c r="L236" s="176"/>
      <c r="M236" s="177"/>
      <c r="N236" s="177"/>
      <c r="O236" s="178"/>
      <c r="P236" s="178"/>
      <c r="Q236" s="177"/>
      <c r="R236" s="177">
        <f>14625*0.03</f>
        <v>438.75</v>
      </c>
      <c r="S236" s="179"/>
      <c r="T236" s="102">
        <f>SUM(Finance[[#This Row],[Samer]:[Margins]])</f>
        <v>438.75</v>
      </c>
      <c r="U236" s="103">
        <f>ABS(Finance[[#This Row],[Total (EGP)]])</f>
        <v>438.75</v>
      </c>
      <c r="V236" s="180"/>
    </row>
    <row r="237" spans="2:22" ht="18" customHeight="1" x14ac:dyDescent="0.3">
      <c r="B237" s="168">
        <v>45754</v>
      </c>
      <c r="C237" s="169">
        <f>YEAR(Finance[[#This Row],[Date]])</f>
        <v>2025</v>
      </c>
      <c r="D237" s="170">
        <f>MONTH(Finance[[#This Row],[Date]])</f>
        <v>4</v>
      </c>
      <c r="E237" s="6" t="s">
        <v>275</v>
      </c>
      <c r="F237" s="6" t="s">
        <v>29</v>
      </c>
      <c r="G237" s="6" t="s">
        <v>95</v>
      </c>
      <c r="H237" s="48" t="s">
        <v>276</v>
      </c>
      <c r="I237" s="135" t="s">
        <v>185</v>
      </c>
      <c r="J237" s="136">
        <v>3</v>
      </c>
      <c r="K237" s="175"/>
      <c r="L237" s="176"/>
      <c r="M237" s="177"/>
      <c r="N237" s="177"/>
      <c r="O237" s="178"/>
      <c r="P237" s="178"/>
      <c r="Q237" s="177"/>
      <c r="R237" s="177">
        <v>25</v>
      </c>
      <c r="S237" s="179"/>
      <c r="T237" s="102">
        <f>SUM(Finance[[#This Row],[Samer]:[Margins]])</f>
        <v>25</v>
      </c>
      <c r="U237" s="103">
        <f>ABS(Finance[[#This Row],[Total (EGP)]])</f>
        <v>25</v>
      </c>
      <c r="V237" s="180"/>
    </row>
    <row r="238" spans="2:22" ht="18" customHeight="1" x14ac:dyDescent="0.3">
      <c r="B238" s="168">
        <v>45754</v>
      </c>
      <c r="C238" s="169">
        <f>YEAR(Finance[[#This Row],[Date]])</f>
        <v>2025</v>
      </c>
      <c r="D238" s="170">
        <f>MONTH(Finance[[#This Row],[Date]])</f>
        <v>4</v>
      </c>
      <c r="E238" s="6" t="s">
        <v>167</v>
      </c>
      <c r="F238" s="6" t="s">
        <v>29</v>
      </c>
      <c r="G238" s="6" t="s">
        <v>55</v>
      </c>
      <c r="H238" s="134" t="s">
        <v>258</v>
      </c>
      <c r="I238" s="135" t="s">
        <v>175</v>
      </c>
      <c r="J238" s="136">
        <v>3</v>
      </c>
      <c r="K238" s="175"/>
      <c r="L238" s="176" t="s">
        <v>408</v>
      </c>
      <c r="M238" s="177"/>
      <c r="N238" s="177"/>
      <c r="O238" s="178"/>
      <c r="P238" s="178"/>
      <c r="Q238" s="177"/>
      <c r="R238" s="177"/>
      <c r="S238" s="179">
        <v>115</v>
      </c>
      <c r="T238" s="102">
        <f>SUM(Finance[[#This Row],[Samer]:[Margins]])</f>
        <v>115</v>
      </c>
      <c r="U238" s="103">
        <f>ABS(Finance[[#This Row],[Total (EGP)]])</f>
        <v>115</v>
      </c>
      <c r="V238" s="180"/>
    </row>
    <row r="239" spans="2:22" ht="18" customHeight="1" x14ac:dyDescent="0.3">
      <c r="B239" s="168">
        <v>45754</v>
      </c>
      <c r="C239" s="169">
        <f>YEAR(Finance[[#This Row],[Date]])</f>
        <v>2025</v>
      </c>
      <c r="D239" s="170">
        <f>MONTH(Finance[[#This Row],[Date]])</f>
        <v>4</v>
      </c>
      <c r="E239" s="39" t="s">
        <v>400</v>
      </c>
      <c r="F239" s="6" t="s">
        <v>29</v>
      </c>
      <c r="G239" s="6" t="s">
        <v>111</v>
      </c>
      <c r="H239" s="134" t="s">
        <v>259</v>
      </c>
      <c r="I239" s="135" t="s">
        <v>175</v>
      </c>
      <c r="J239" s="136">
        <v>3</v>
      </c>
      <c r="K239" s="175"/>
      <c r="L239" s="176"/>
      <c r="M239" s="177"/>
      <c r="N239" s="177"/>
      <c r="O239" s="178"/>
      <c r="P239" s="178"/>
      <c r="Q239" s="177"/>
      <c r="R239" s="177"/>
      <c r="S239" s="179">
        <v>20</v>
      </c>
      <c r="T239" s="102">
        <f>SUM(Finance[[#This Row],[Samer]:[Margins]])</f>
        <v>20</v>
      </c>
      <c r="U239" s="103">
        <f>ABS(Finance[[#This Row],[Total (EGP)]])</f>
        <v>20</v>
      </c>
      <c r="V239" s="180"/>
    </row>
    <row r="240" spans="2:22" ht="18" customHeight="1" x14ac:dyDescent="0.3">
      <c r="B240" s="168">
        <v>45755</v>
      </c>
      <c r="C240" s="169">
        <f>YEAR(Finance[[#This Row],[Date]])</f>
        <v>2025</v>
      </c>
      <c r="D240" s="170">
        <f>MONTH(Finance[[#This Row],[Date]])</f>
        <v>4</v>
      </c>
      <c r="E240" s="6" t="s">
        <v>404</v>
      </c>
      <c r="F240" s="6" t="s">
        <v>29</v>
      </c>
      <c r="G240" s="6" t="s">
        <v>108</v>
      </c>
      <c r="H240" s="134" t="s">
        <v>182</v>
      </c>
      <c r="I240" s="135" t="s">
        <v>175</v>
      </c>
      <c r="J240" s="136">
        <v>1</v>
      </c>
      <c r="K240" s="31"/>
      <c r="L240" s="132">
        <v>599</v>
      </c>
      <c r="M240" s="177"/>
      <c r="N240" s="177"/>
      <c r="O240" s="178"/>
      <c r="P240" s="178"/>
      <c r="Q240" s="177"/>
      <c r="R240" s="177"/>
      <c r="S240" s="179"/>
      <c r="T240" s="102">
        <f>SUM(Finance[[#This Row],[Samer]:[Margins]])</f>
        <v>599</v>
      </c>
      <c r="U240" s="103">
        <f>ABS(Finance[[#This Row],[Total (EGP)]])</f>
        <v>599</v>
      </c>
      <c r="V240" s="180"/>
    </row>
    <row r="241" spans="2:22" ht="18" customHeight="1" x14ac:dyDescent="0.3">
      <c r="B241" s="168">
        <v>45755</v>
      </c>
      <c r="C241" s="169">
        <f>YEAR(Finance[[#This Row],[Date]])</f>
        <v>2025</v>
      </c>
      <c r="D241" s="170">
        <f>MONTH(Finance[[#This Row],[Date]])</f>
        <v>4</v>
      </c>
      <c r="E241" s="6" t="s">
        <v>262</v>
      </c>
      <c r="F241" s="6" t="s">
        <v>37</v>
      </c>
      <c r="G241" s="6" t="s">
        <v>36</v>
      </c>
      <c r="H241" s="134" t="s">
        <v>206</v>
      </c>
      <c r="I241" s="135" t="s">
        <v>175</v>
      </c>
      <c r="J241" s="174">
        <v>0</v>
      </c>
      <c r="K241" s="175"/>
      <c r="L241" s="176">
        <v>5000</v>
      </c>
      <c r="M241" s="177"/>
      <c r="N241" s="177"/>
      <c r="O241" s="178"/>
      <c r="P241" s="178"/>
      <c r="Q241" s="177"/>
      <c r="R241" s="177"/>
      <c r="S241" s="179">
        <v>-5000</v>
      </c>
      <c r="T241" s="102">
        <f>SUM(Finance[[#This Row],[Samer]:[Margins]])</f>
        <v>0</v>
      </c>
      <c r="U241" s="103">
        <f>ABS(Finance[[#This Row],[Total (EGP)]])</f>
        <v>0</v>
      </c>
      <c r="V241" s="180"/>
    </row>
    <row r="242" spans="2:22" ht="18" customHeight="1" x14ac:dyDescent="0.3">
      <c r="B242" s="168">
        <v>45757</v>
      </c>
      <c r="C242" s="169">
        <f>YEAR(Finance[[#This Row],[Date]])</f>
        <v>2025</v>
      </c>
      <c r="D242" s="170">
        <f>MONTH(Finance[[#This Row],[Date]])</f>
        <v>4</v>
      </c>
      <c r="E242" s="39" t="s">
        <v>405</v>
      </c>
      <c r="F242" s="39" t="s">
        <v>30</v>
      </c>
      <c r="G242" s="6" t="s">
        <v>127</v>
      </c>
      <c r="H242" s="48" t="s">
        <v>176</v>
      </c>
      <c r="I242" s="135" t="s">
        <v>184</v>
      </c>
      <c r="J242" s="136">
        <v>4</v>
      </c>
      <c r="K242" s="136"/>
      <c r="L242" s="132">
        <f>78.28*51.37*1.25</f>
        <v>5026.5545000000002</v>
      </c>
      <c r="M242" s="177"/>
      <c r="N242" s="177"/>
      <c r="O242" s="178"/>
      <c r="P242" s="178"/>
      <c r="Q242" s="177"/>
      <c r="R242" s="177"/>
      <c r="S242" s="179"/>
      <c r="T242" s="102">
        <f>SUM(Finance[[#This Row],[Samer]:[Margins]])</f>
        <v>5026.5545000000002</v>
      </c>
      <c r="U242" s="103">
        <f>ABS(Finance[[#This Row],[Total (EGP)]])</f>
        <v>5026.5545000000002</v>
      </c>
      <c r="V242" s="180"/>
    </row>
    <row r="243" spans="2:22" ht="18" customHeight="1" x14ac:dyDescent="0.3">
      <c r="B243" s="168">
        <v>45757</v>
      </c>
      <c r="C243" s="169">
        <f>YEAR(Finance[[#This Row],[Date]])</f>
        <v>2025</v>
      </c>
      <c r="D243" s="170">
        <f>MONTH(Finance[[#This Row],[Date]])</f>
        <v>4</v>
      </c>
      <c r="E243" s="6" t="s">
        <v>406</v>
      </c>
      <c r="F243" s="39" t="s">
        <v>30</v>
      </c>
      <c r="G243" s="39" t="s">
        <v>127</v>
      </c>
      <c r="H243" s="48" t="s">
        <v>176</v>
      </c>
      <c r="I243" s="135" t="s">
        <v>185</v>
      </c>
      <c r="J243" s="136">
        <v>4</v>
      </c>
      <c r="K243" s="31"/>
      <c r="L243" s="132">
        <f>153*51.37*1.25</f>
        <v>9824.5124999999989</v>
      </c>
      <c r="M243" s="177"/>
      <c r="N243" s="177"/>
      <c r="O243" s="178"/>
      <c r="P243" s="178"/>
      <c r="Q243" s="177"/>
      <c r="R243" s="177"/>
      <c r="S243" s="179"/>
      <c r="T243" s="102">
        <f>SUM(Finance[[#This Row],[Samer]:[Margins]])</f>
        <v>9824.5124999999989</v>
      </c>
      <c r="U243" s="103">
        <f>ABS(Finance[[#This Row],[Total (EGP)]])</f>
        <v>9824.5124999999989</v>
      </c>
      <c r="V243" s="180"/>
    </row>
    <row r="244" spans="2:22" ht="18" customHeight="1" x14ac:dyDescent="0.3">
      <c r="B244" s="168">
        <v>45757</v>
      </c>
      <c r="C244" s="169">
        <f>YEAR(Finance[[#This Row],[Date]])</f>
        <v>2025</v>
      </c>
      <c r="D244" s="170">
        <f>MONTH(Finance[[#This Row],[Date]])</f>
        <v>4</v>
      </c>
      <c r="E244" s="6" t="s">
        <v>407</v>
      </c>
      <c r="F244" s="39" t="s">
        <v>29</v>
      </c>
      <c r="G244" s="6" t="s">
        <v>56</v>
      </c>
      <c r="H244" s="48" t="s">
        <v>142</v>
      </c>
      <c r="I244" s="135" t="s">
        <v>175</v>
      </c>
      <c r="J244" s="131">
        <v>3</v>
      </c>
      <c r="K244" s="175"/>
      <c r="L244" s="176"/>
      <c r="M244" s="177"/>
      <c r="N244" s="177"/>
      <c r="O244" s="178"/>
      <c r="P244" s="178"/>
      <c r="Q244" s="177"/>
      <c r="R244" s="177"/>
      <c r="S244" s="179">
        <v>1000</v>
      </c>
      <c r="T244" s="102">
        <f>SUM(Finance[[#This Row],[Samer]:[Margins]])</f>
        <v>1000</v>
      </c>
      <c r="U244" s="103">
        <f>ABS(Finance[[#This Row],[Total (EGP)]])</f>
        <v>1000</v>
      </c>
      <c r="V244" s="180"/>
    </row>
    <row r="245" spans="2:22" ht="18" customHeight="1" x14ac:dyDescent="0.3">
      <c r="B245" s="168">
        <v>45758</v>
      </c>
      <c r="C245" s="169">
        <f>YEAR(Finance[[#This Row],[Date]])</f>
        <v>2025</v>
      </c>
      <c r="D245" s="170">
        <f>MONTH(Finance[[#This Row],[Date]])</f>
        <v>4</v>
      </c>
      <c r="E245" s="6" t="s">
        <v>409</v>
      </c>
      <c r="F245" s="6" t="s">
        <v>29</v>
      </c>
      <c r="G245" s="6" t="s">
        <v>108</v>
      </c>
      <c r="H245" s="134" t="s">
        <v>182</v>
      </c>
      <c r="I245" s="114" t="s">
        <v>175</v>
      </c>
      <c r="J245" s="136">
        <v>4</v>
      </c>
      <c r="K245" s="31"/>
      <c r="L245" s="132">
        <v>1761.0810000000001</v>
      </c>
      <c r="M245" s="164"/>
      <c r="N245" s="164"/>
      <c r="O245" s="165"/>
      <c r="P245" s="165"/>
      <c r="Q245" s="164"/>
      <c r="R245" s="164"/>
      <c r="S245" s="179"/>
      <c r="T245" s="102">
        <f>SUM(Finance[[#This Row],[Samer]:[Margins]])</f>
        <v>1761.0810000000001</v>
      </c>
      <c r="U245" s="103">
        <f>ABS(Finance[[#This Row],[Total (EGP)]])</f>
        <v>1761.0810000000001</v>
      </c>
      <c r="V245" s="180"/>
    </row>
    <row r="246" spans="2:22" ht="18" customHeight="1" x14ac:dyDescent="0.3">
      <c r="B246" s="7">
        <v>45758</v>
      </c>
      <c r="C246" s="169">
        <f>YEAR(Finance[[#This Row],[Date]])</f>
        <v>2025</v>
      </c>
      <c r="D246" s="170">
        <f>MONTH(Finance[[#This Row],[Date]])</f>
        <v>4</v>
      </c>
      <c r="E246" s="39" t="s">
        <v>410</v>
      </c>
      <c r="F246" s="39" t="s">
        <v>29</v>
      </c>
      <c r="G246" s="39" t="s">
        <v>108</v>
      </c>
      <c r="H246" s="130" t="s">
        <v>182</v>
      </c>
      <c r="I246" s="114" t="s">
        <v>175</v>
      </c>
      <c r="J246" s="131">
        <v>4</v>
      </c>
      <c r="K246" s="137"/>
      <c r="L246" s="138">
        <v>699.98689999999999</v>
      </c>
      <c r="M246" s="164"/>
      <c r="N246" s="164"/>
      <c r="O246" s="165"/>
      <c r="P246" s="165"/>
      <c r="Q246" s="164"/>
      <c r="R246" s="164"/>
      <c r="S246" s="179"/>
      <c r="T246" s="102">
        <f>SUM(Finance[[#This Row],[Samer]:[Margins]])</f>
        <v>699.98689999999999</v>
      </c>
      <c r="U246" s="103">
        <f>ABS(Finance[[#This Row],[Total (EGP)]])</f>
        <v>699.98689999999999</v>
      </c>
      <c r="V246" s="180"/>
    </row>
    <row r="247" spans="2:22" ht="18" customHeight="1" x14ac:dyDescent="0.3">
      <c r="B247" s="168">
        <v>45759</v>
      </c>
      <c r="C247" s="169">
        <f>YEAR(Finance[[#This Row],[Date]])</f>
        <v>2025</v>
      </c>
      <c r="D247" s="170">
        <f>MONTH(Finance[[#This Row],[Date]])</f>
        <v>4</v>
      </c>
      <c r="E247" s="19" t="s">
        <v>411</v>
      </c>
      <c r="F247" s="6" t="s">
        <v>29</v>
      </c>
      <c r="G247" s="6" t="s">
        <v>108</v>
      </c>
      <c r="H247" s="134" t="s">
        <v>182</v>
      </c>
      <c r="I247" s="114" t="s">
        <v>175</v>
      </c>
      <c r="J247" s="136">
        <v>1</v>
      </c>
      <c r="K247" s="31"/>
      <c r="L247" s="132">
        <f>324.9*51.06*1.05</f>
        <v>17418.863700000002</v>
      </c>
      <c r="M247" s="164"/>
      <c r="N247" s="164"/>
      <c r="O247" s="165"/>
      <c r="P247" s="165"/>
      <c r="Q247" s="164"/>
      <c r="R247" s="164"/>
      <c r="S247" s="179"/>
      <c r="T247" s="102">
        <f>SUM(Finance[[#This Row],[Samer]:[Margins]])</f>
        <v>17418.863700000002</v>
      </c>
      <c r="U247" s="103">
        <f>ABS(Finance[[#This Row],[Total (EGP)]])</f>
        <v>17418.863700000002</v>
      </c>
      <c r="V247" s="180"/>
    </row>
    <row r="248" spans="2:22" ht="18" customHeight="1" x14ac:dyDescent="0.3">
      <c r="B248" s="168">
        <v>45759</v>
      </c>
      <c r="C248" s="169">
        <f>YEAR(Finance[[#This Row],[Date]])</f>
        <v>2025</v>
      </c>
      <c r="D248" s="170">
        <f>MONTH(Finance[[#This Row],[Date]])</f>
        <v>4</v>
      </c>
      <c r="E248" s="6" t="s">
        <v>193</v>
      </c>
      <c r="F248" s="6" t="s">
        <v>29</v>
      </c>
      <c r="G248" s="6" t="s">
        <v>95</v>
      </c>
      <c r="H248" s="134" t="s">
        <v>194</v>
      </c>
      <c r="I248" s="135" t="s">
        <v>175</v>
      </c>
      <c r="J248" s="136">
        <v>3</v>
      </c>
      <c r="K248" s="31"/>
      <c r="L248" s="132"/>
      <c r="M248" s="164"/>
      <c r="N248" s="164"/>
      <c r="O248" s="165"/>
      <c r="P248" s="165"/>
      <c r="Q248" s="164"/>
      <c r="R248" s="164">
        <v>150</v>
      </c>
      <c r="S248" s="179"/>
      <c r="T248" s="102">
        <f>SUM(Finance[[#This Row],[Samer]:[Margins]])</f>
        <v>150</v>
      </c>
      <c r="U248" s="103">
        <f>ABS(Finance[[#This Row],[Total (EGP)]])</f>
        <v>150</v>
      </c>
      <c r="V248" s="180"/>
    </row>
    <row r="249" spans="2:22" ht="18" customHeight="1" x14ac:dyDescent="0.3">
      <c r="B249" s="139">
        <v>45761</v>
      </c>
      <c r="C249" s="140">
        <f>YEAR(Finance[[#This Row],[Date]])</f>
        <v>2025</v>
      </c>
      <c r="D249" s="141">
        <f>MONTH(Finance[[#This Row],[Date]])</f>
        <v>4</v>
      </c>
      <c r="E249" s="6" t="s">
        <v>412</v>
      </c>
      <c r="F249" s="6" t="s">
        <v>30</v>
      </c>
      <c r="G249" s="6" t="s">
        <v>127</v>
      </c>
      <c r="H249" s="134" t="s">
        <v>190</v>
      </c>
      <c r="I249" s="135" t="s">
        <v>175</v>
      </c>
      <c r="J249" s="131">
        <v>4</v>
      </c>
      <c r="K249" s="31"/>
      <c r="L249" s="132">
        <f>18.4*58.15*1.25</f>
        <v>1337.4499999999998</v>
      </c>
      <c r="M249" s="177"/>
      <c r="N249" s="177"/>
      <c r="O249" s="178"/>
      <c r="P249" s="178"/>
      <c r="Q249" s="177"/>
      <c r="R249" s="177"/>
      <c r="S249" s="179"/>
      <c r="T249" s="102">
        <f>SUM(Finance[[#This Row],[Samer]:[Margins]])</f>
        <v>1337.4499999999998</v>
      </c>
      <c r="U249" s="103">
        <f>ABS(Finance[[#This Row],[Total (EGP)]])</f>
        <v>1337.4499999999998</v>
      </c>
      <c r="V249" s="180"/>
    </row>
    <row r="250" spans="2:22" ht="18" customHeight="1" x14ac:dyDescent="0.3">
      <c r="B250" s="139">
        <v>45761</v>
      </c>
      <c r="C250" s="140">
        <f>YEAR(Finance[[#This Row],[Date]])</f>
        <v>2025</v>
      </c>
      <c r="D250" s="141">
        <f>MONTH(Finance[[#This Row],[Date]])</f>
        <v>4</v>
      </c>
      <c r="E250" s="39" t="s">
        <v>413</v>
      </c>
      <c r="F250" s="39" t="s">
        <v>30</v>
      </c>
      <c r="G250" s="39" t="s">
        <v>127</v>
      </c>
      <c r="H250" s="130" t="s">
        <v>176</v>
      </c>
      <c r="I250" s="114" t="s">
        <v>177</v>
      </c>
      <c r="J250" s="131">
        <v>1</v>
      </c>
      <c r="K250" s="31"/>
      <c r="L250" s="132">
        <f>94.06*58.15*1.25</f>
        <v>6836.9862499999999</v>
      </c>
      <c r="M250" s="177"/>
      <c r="N250" s="177"/>
      <c r="O250" s="178"/>
      <c r="P250" s="178"/>
      <c r="Q250" s="177"/>
      <c r="R250" s="177"/>
      <c r="S250" s="179"/>
      <c r="T250" s="102">
        <f>SUM(Finance[[#This Row],[Samer]:[Margins]])</f>
        <v>6836.9862499999999</v>
      </c>
      <c r="U250" s="103">
        <f>ABS(Finance[[#This Row],[Total (EGP)]])</f>
        <v>6836.9862499999999</v>
      </c>
      <c r="V250" s="180"/>
    </row>
    <row r="251" spans="2:22" ht="18" customHeight="1" x14ac:dyDescent="0.3">
      <c r="B251" s="168">
        <v>45764</v>
      </c>
      <c r="C251" s="169">
        <f>YEAR(Finance[[#This Row],[Date]])</f>
        <v>2025</v>
      </c>
      <c r="D251" s="170">
        <f>MONTH(Finance[[#This Row],[Date]])</f>
        <v>4</v>
      </c>
      <c r="E251" s="6" t="s">
        <v>415</v>
      </c>
      <c r="F251" s="39" t="s">
        <v>29</v>
      </c>
      <c r="G251" s="6" t="s">
        <v>108</v>
      </c>
      <c r="H251" s="48" t="s">
        <v>182</v>
      </c>
      <c r="I251" s="135" t="s">
        <v>175</v>
      </c>
      <c r="J251" s="136">
        <v>1</v>
      </c>
      <c r="K251" s="31"/>
      <c r="L251" s="132">
        <f>36.3*51.19*1.05</f>
        <v>1951.1068499999997</v>
      </c>
      <c r="M251" s="177"/>
      <c r="N251" s="177"/>
      <c r="O251" s="178"/>
      <c r="P251" s="178"/>
      <c r="Q251" s="177"/>
      <c r="R251" s="177"/>
      <c r="S251" s="179"/>
      <c r="T251" s="102">
        <f>SUM(Finance[[#This Row],[Samer]:[Margins]])</f>
        <v>1951.1068499999997</v>
      </c>
      <c r="U251" s="103">
        <f>ABS(Finance[[#This Row],[Total (EGP)]])</f>
        <v>1951.1068499999997</v>
      </c>
      <c r="V251" s="180"/>
    </row>
    <row r="252" spans="2:22" ht="18" customHeight="1" x14ac:dyDescent="0.3">
      <c r="B252" s="168">
        <v>45764</v>
      </c>
      <c r="C252" s="169">
        <f>YEAR(Finance[[#This Row],[Date]])</f>
        <v>2025</v>
      </c>
      <c r="D252" s="170">
        <f>MONTH(Finance[[#This Row],[Date]])</f>
        <v>4</v>
      </c>
      <c r="E252" s="6" t="s">
        <v>448</v>
      </c>
      <c r="F252" s="6" t="s">
        <v>73</v>
      </c>
      <c r="G252" s="6" t="s">
        <v>93</v>
      </c>
      <c r="H252" s="134" t="s">
        <v>199</v>
      </c>
      <c r="I252" s="114" t="s">
        <v>369</v>
      </c>
      <c r="J252" s="136">
        <v>4</v>
      </c>
      <c r="K252" s="175"/>
      <c r="L252" s="176"/>
      <c r="M252" s="177"/>
      <c r="N252" s="177"/>
      <c r="O252" s="178"/>
      <c r="P252" s="178"/>
      <c r="Q252" s="177"/>
      <c r="R252" s="177">
        <v>-2187.5</v>
      </c>
      <c r="S252" s="179"/>
      <c r="T252" s="102">
        <f>SUM(Finance[[#This Row],[Samer]:[Margins]])</f>
        <v>-2187.5</v>
      </c>
      <c r="U252" s="103">
        <f>ABS(Finance[[#This Row],[Total (EGP)]])</f>
        <v>2187.5</v>
      </c>
      <c r="V252" s="180"/>
    </row>
    <row r="253" spans="2:22" ht="18" customHeight="1" x14ac:dyDescent="0.3">
      <c r="B253" s="168">
        <v>45764</v>
      </c>
      <c r="C253" s="169">
        <f>YEAR(Finance[[#This Row],[Date]])</f>
        <v>2025</v>
      </c>
      <c r="D253" s="170">
        <f>MONTH(Finance[[#This Row],[Date]])</f>
        <v>4</v>
      </c>
      <c r="E253" s="6" t="s">
        <v>449</v>
      </c>
      <c r="F253" s="6" t="s">
        <v>73</v>
      </c>
      <c r="G253" s="6" t="s">
        <v>93</v>
      </c>
      <c r="H253" s="134" t="s">
        <v>90</v>
      </c>
      <c r="I253" s="114" t="s">
        <v>369</v>
      </c>
      <c r="J253" s="136">
        <v>4</v>
      </c>
      <c r="K253" s="175"/>
      <c r="L253" s="176"/>
      <c r="M253" s="177"/>
      <c r="N253" s="177"/>
      <c r="O253" s="178"/>
      <c r="P253" s="178"/>
      <c r="Q253" s="177"/>
      <c r="R253" s="177">
        <f>-2187.5*0.14</f>
        <v>-306.25000000000006</v>
      </c>
      <c r="S253" s="179"/>
      <c r="T253" s="102">
        <f>SUM(Finance[[#This Row],[Samer]:[Margins]])</f>
        <v>-306.25000000000006</v>
      </c>
      <c r="U253" s="103">
        <f>ABS(Finance[[#This Row],[Total (EGP)]])</f>
        <v>306.25000000000006</v>
      </c>
      <c r="V253" s="180"/>
    </row>
    <row r="254" spans="2:22" ht="18" customHeight="1" x14ac:dyDescent="0.3">
      <c r="B254" s="168">
        <v>45764</v>
      </c>
      <c r="C254" s="169">
        <f>YEAR(Finance[[#This Row],[Date]])</f>
        <v>2025</v>
      </c>
      <c r="D254" s="170">
        <f>MONTH(Finance[[#This Row],[Date]])</f>
        <v>4</v>
      </c>
      <c r="E254" s="6" t="s">
        <v>450</v>
      </c>
      <c r="F254" s="6" t="s">
        <v>84</v>
      </c>
      <c r="G254" s="6" t="s">
        <v>86</v>
      </c>
      <c r="H254" s="134" t="s">
        <v>199</v>
      </c>
      <c r="I254" s="114" t="s">
        <v>369</v>
      </c>
      <c r="J254" s="136">
        <v>4</v>
      </c>
      <c r="K254" s="175"/>
      <c r="L254" s="176"/>
      <c r="M254" s="177"/>
      <c r="N254" s="177"/>
      <c r="O254" s="178"/>
      <c r="P254" s="178"/>
      <c r="Q254" s="177"/>
      <c r="R254" s="177">
        <f>2187.5*0.03</f>
        <v>65.625</v>
      </c>
      <c r="S254" s="179"/>
      <c r="T254" s="102">
        <f>SUM(Finance[[#This Row],[Samer]:[Margins]])</f>
        <v>65.625</v>
      </c>
      <c r="U254" s="103">
        <f>ABS(Finance[[#This Row],[Total (EGP)]])</f>
        <v>65.625</v>
      </c>
      <c r="V254" s="180"/>
    </row>
    <row r="255" spans="2:22" ht="18" customHeight="1" x14ac:dyDescent="0.3">
      <c r="B255" s="168">
        <v>45764</v>
      </c>
      <c r="C255" s="169">
        <f>YEAR(Finance[[#This Row],[Date]])</f>
        <v>2025</v>
      </c>
      <c r="D255" s="170">
        <f>MONTH(Finance[[#This Row],[Date]])</f>
        <v>4</v>
      </c>
      <c r="E255" s="6" t="s">
        <v>370</v>
      </c>
      <c r="F255" s="6" t="s">
        <v>29</v>
      </c>
      <c r="G255" s="6" t="s">
        <v>95</v>
      </c>
      <c r="H255" s="134" t="s">
        <v>194</v>
      </c>
      <c r="I255" s="114" t="s">
        <v>369</v>
      </c>
      <c r="J255" s="136">
        <v>3</v>
      </c>
      <c r="K255" s="175"/>
      <c r="L255" s="176"/>
      <c r="M255" s="177"/>
      <c r="N255" s="177"/>
      <c r="O255" s="178"/>
      <c r="P255" s="178"/>
      <c r="Q255" s="177"/>
      <c r="R255" s="177">
        <v>10</v>
      </c>
      <c r="S255" s="179"/>
      <c r="T255" s="102">
        <f>SUM(Finance[[#This Row],[Samer]:[Margins]])</f>
        <v>10</v>
      </c>
      <c r="U255" s="103">
        <f>ABS(Finance[[#This Row],[Total (EGP)]])</f>
        <v>10</v>
      </c>
      <c r="V255" s="180"/>
    </row>
    <row r="256" spans="2:22" ht="18" customHeight="1" x14ac:dyDescent="0.3">
      <c r="B256" s="168">
        <v>45764</v>
      </c>
      <c r="C256" s="169">
        <f>YEAR(Finance[[#This Row],[Date]])</f>
        <v>2025</v>
      </c>
      <c r="D256" s="170">
        <f>MONTH(Finance[[#This Row],[Date]])</f>
        <v>4</v>
      </c>
      <c r="E256" s="6" t="s">
        <v>451</v>
      </c>
      <c r="F256" s="6" t="s">
        <v>73</v>
      </c>
      <c r="G256" s="6" t="s">
        <v>93</v>
      </c>
      <c r="H256" s="134" t="s">
        <v>199</v>
      </c>
      <c r="I256" s="114" t="s">
        <v>369</v>
      </c>
      <c r="J256" s="136">
        <v>4</v>
      </c>
      <c r="K256" s="175"/>
      <c r="L256" s="176"/>
      <c r="M256" s="177"/>
      <c r="N256" s="177"/>
      <c r="O256" s="178"/>
      <c r="P256" s="178"/>
      <c r="Q256" s="177"/>
      <c r="R256" s="177">
        <v>-4375</v>
      </c>
      <c r="S256" s="179"/>
      <c r="T256" s="102">
        <f>SUM(Finance[[#This Row],[Samer]:[Margins]])</f>
        <v>-4375</v>
      </c>
      <c r="U256" s="103">
        <f>ABS(Finance[[#This Row],[Total (EGP)]])</f>
        <v>4375</v>
      </c>
      <c r="V256" s="180"/>
    </row>
    <row r="257" spans="2:22" ht="18" customHeight="1" x14ac:dyDescent="0.3">
      <c r="B257" s="168">
        <v>45764</v>
      </c>
      <c r="C257" s="169">
        <f>YEAR(Finance[[#This Row],[Date]])</f>
        <v>2025</v>
      </c>
      <c r="D257" s="170">
        <f>MONTH(Finance[[#This Row],[Date]])</f>
        <v>4</v>
      </c>
      <c r="E257" s="6" t="s">
        <v>449</v>
      </c>
      <c r="F257" s="6" t="s">
        <v>73</v>
      </c>
      <c r="G257" s="6" t="s">
        <v>93</v>
      </c>
      <c r="H257" s="134" t="s">
        <v>90</v>
      </c>
      <c r="I257" s="114" t="s">
        <v>369</v>
      </c>
      <c r="J257" s="136">
        <v>4</v>
      </c>
      <c r="K257" s="175"/>
      <c r="L257" s="176"/>
      <c r="M257" s="177"/>
      <c r="N257" s="177"/>
      <c r="O257" s="178"/>
      <c r="P257" s="178"/>
      <c r="Q257" s="177"/>
      <c r="R257" s="177">
        <f>-4375*0.14</f>
        <v>-612.50000000000011</v>
      </c>
      <c r="S257" s="179"/>
      <c r="T257" s="102">
        <f>SUM(Finance[[#This Row],[Samer]:[Margins]])</f>
        <v>-612.50000000000011</v>
      </c>
      <c r="U257" s="103">
        <f>ABS(Finance[[#This Row],[Total (EGP)]])</f>
        <v>612.50000000000011</v>
      </c>
      <c r="V257" s="180"/>
    </row>
    <row r="258" spans="2:22" ht="18" customHeight="1" x14ac:dyDescent="0.3">
      <c r="B258" s="168">
        <v>45764</v>
      </c>
      <c r="C258" s="169">
        <f>YEAR(Finance[[#This Row],[Date]])</f>
        <v>2025</v>
      </c>
      <c r="D258" s="170">
        <f>MONTH(Finance[[#This Row],[Date]])</f>
        <v>4</v>
      </c>
      <c r="E258" s="6" t="s">
        <v>450</v>
      </c>
      <c r="F258" s="6" t="s">
        <v>84</v>
      </c>
      <c r="G258" s="6" t="s">
        <v>86</v>
      </c>
      <c r="H258" s="134" t="s">
        <v>199</v>
      </c>
      <c r="I258" s="114" t="s">
        <v>369</v>
      </c>
      <c r="J258" s="136">
        <v>4</v>
      </c>
      <c r="K258" s="175"/>
      <c r="L258" s="176"/>
      <c r="M258" s="177"/>
      <c r="N258" s="177"/>
      <c r="O258" s="178"/>
      <c r="P258" s="178"/>
      <c r="Q258" s="177"/>
      <c r="R258" s="177">
        <f>4375*0.03</f>
        <v>131.25</v>
      </c>
      <c r="S258" s="179"/>
      <c r="T258" s="102">
        <f>SUM(Finance[[#This Row],[Samer]:[Margins]])</f>
        <v>131.25</v>
      </c>
      <c r="U258" s="103">
        <f>ABS(Finance[[#This Row],[Total (EGP)]])</f>
        <v>131.25</v>
      </c>
      <c r="V258" s="180"/>
    </row>
    <row r="259" spans="2:22" ht="18" customHeight="1" x14ac:dyDescent="0.3">
      <c r="B259" s="168">
        <v>45764</v>
      </c>
      <c r="C259" s="169">
        <f>YEAR(Finance[[#This Row],[Date]])</f>
        <v>2025</v>
      </c>
      <c r="D259" s="170">
        <f>MONTH(Finance[[#This Row],[Date]])</f>
        <v>4</v>
      </c>
      <c r="E259" s="6" t="s">
        <v>370</v>
      </c>
      <c r="F259" s="6" t="s">
        <v>29</v>
      </c>
      <c r="G259" s="6" t="s">
        <v>95</v>
      </c>
      <c r="H259" s="134" t="s">
        <v>194</v>
      </c>
      <c r="I259" s="114" t="s">
        <v>369</v>
      </c>
      <c r="J259" s="136">
        <v>3</v>
      </c>
      <c r="K259" s="175"/>
      <c r="L259" s="176"/>
      <c r="M259" s="177"/>
      <c r="N259" s="177"/>
      <c r="O259" s="178"/>
      <c r="P259" s="178"/>
      <c r="Q259" s="177"/>
      <c r="R259" s="177">
        <v>10</v>
      </c>
      <c r="S259" s="179"/>
      <c r="T259" s="102">
        <f>SUM(Finance[[#This Row],[Samer]:[Margins]])</f>
        <v>10</v>
      </c>
      <c r="U259" s="103">
        <f>ABS(Finance[[#This Row],[Total (EGP)]])</f>
        <v>10</v>
      </c>
      <c r="V259" s="180"/>
    </row>
    <row r="260" spans="2:22" ht="18" customHeight="1" x14ac:dyDescent="0.3">
      <c r="B260" s="168">
        <v>45770</v>
      </c>
      <c r="C260" s="169">
        <f>YEAR(Finance[[#This Row],[Date]])</f>
        <v>2025</v>
      </c>
      <c r="D260" s="170">
        <f>MONTH(Finance[[#This Row],[Date]])</f>
        <v>4</v>
      </c>
      <c r="E260" s="19" t="s">
        <v>417</v>
      </c>
      <c r="F260" s="6" t="s">
        <v>29</v>
      </c>
      <c r="G260" s="6" t="s">
        <v>108</v>
      </c>
      <c r="H260" s="134" t="s">
        <v>182</v>
      </c>
      <c r="I260" s="135" t="s">
        <v>175</v>
      </c>
      <c r="J260" s="136">
        <v>3</v>
      </c>
      <c r="K260" s="31"/>
      <c r="L260" s="132">
        <f>15.99*50.97*1.05</f>
        <v>855.76081500000009</v>
      </c>
      <c r="M260" s="177"/>
      <c r="N260" s="177"/>
      <c r="O260" s="178"/>
      <c r="P260" s="178"/>
      <c r="Q260" s="177"/>
      <c r="R260" s="177"/>
      <c r="S260" s="179"/>
      <c r="T260" s="102">
        <f>SUM(Finance[[#This Row],[Samer]:[Margins]])</f>
        <v>855.76081500000009</v>
      </c>
      <c r="U260" s="103">
        <f>ABS(Finance[[#This Row],[Total (EGP)]])</f>
        <v>855.76081500000009</v>
      </c>
      <c r="V260" s="180"/>
    </row>
    <row r="261" spans="2:22" ht="18" customHeight="1" x14ac:dyDescent="0.3">
      <c r="B261" s="168">
        <v>45770</v>
      </c>
      <c r="C261" s="169">
        <f>YEAR(Finance[[#This Row],[Date]])</f>
        <v>2025</v>
      </c>
      <c r="D261" s="170">
        <f>MONTH(Finance[[#This Row],[Date]])</f>
        <v>4</v>
      </c>
      <c r="E261" s="6" t="s">
        <v>422</v>
      </c>
      <c r="F261" s="6" t="s">
        <v>73</v>
      </c>
      <c r="G261" s="6" t="s">
        <v>233</v>
      </c>
      <c r="H261" s="134" t="s">
        <v>234</v>
      </c>
      <c r="I261" s="135" t="s">
        <v>235</v>
      </c>
      <c r="J261" s="136">
        <v>1</v>
      </c>
      <c r="K261" s="175"/>
      <c r="L261" s="176"/>
      <c r="M261" s="177"/>
      <c r="N261" s="177"/>
      <c r="O261" s="178"/>
      <c r="P261" s="178"/>
      <c r="Q261" s="177">
        <v>-250000</v>
      </c>
      <c r="R261" s="177"/>
      <c r="S261" s="179"/>
      <c r="T261" s="102">
        <f>SUM(Finance[[#This Row],[Samer]:[Margins]])</f>
        <v>-250000</v>
      </c>
      <c r="U261" s="103">
        <f>ABS(Finance[[#This Row],[Total (EGP)]])</f>
        <v>250000</v>
      </c>
      <c r="V261" s="180"/>
    </row>
    <row r="262" spans="2:22" ht="18" customHeight="1" x14ac:dyDescent="0.3">
      <c r="B262" s="168">
        <v>45770</v>
      </c>
      <c r="C262" s="169">
        <f>YEAR(Finance[[#This Row],[Date]])</f>
        <v>2025</v>
      </c>
      <c r="D262" s="170">
        <f>MONTH(Finance[[#This Row],[Date]])</f>
        <v>4</v>
      </c>
      <c r="E262" s="126" t="s">
        <v>240</v>
      </c>
      <c r="F262" s="126" t="s">
        <v>37</v>
      </c>
      <c r="G262" s="126" t="s">
        <v>36</v>
      </c>
      <c r="H262" s="127" t="s">
        <v>181</v>
      </c>
      <c r="I262" s="128" t="s">
        <v>175</v>
      </c>
      <c r="J262" s="129">
        <v>0</v>
      </c>
      <c r="K262" s="175"/>
      <c r="L262" s="176"/>
      <c r="M262" s="177"/>
      <c r="N262" s="177"/>
      <c r="O262" s="178"/>
      <c r="P262" s="178"/>
      <c r="Q262" s="177">
        <v>250000</v>
      </c>
      <c r="R262" s="177">
        <v>-250000</v>
      </c>
      <c r="S262" s="179"/>
      <c r="T262" s="102">
        <f>SUM(Finance[[#This Row],[Samer]:[Margins]])</f>
        <v>0</v>
      </c>
      <c r="U262" s="103">
        <f>ABS(Finance[[#This Row],[Total (EGP)]])</f>
        <v>0</v>
      </c>
      <c r="V262" s="180"/>
    </row>
    <row r="263" spans="2:22" ht="18" customHeight="1" x14ac:dyDescent="0.3">
      <c r="B263" s="168">
        <v>45770</v>
      </c>
      <c r="C263" s="169">
        <f>YEAR(Finance[[#This Row],[Date]])</f>
        <v>2025</v>
      </c>
      <c r="D263" s="170">
        <f>MONTH(Finance[[#This Row],[Date]])</f>
        <v>4</v>
      </c>
      <c r="E263" s="171" t="s">
        <v>262</v>
      </c>
      <c r="F263" s="172" t="s">
        <v>37</v>
      </c>
      <c r="G263" s="172" t="s">
        <v>36</v>
      </c>
      <c r="H263" s="173" t="s">
        <v>206</v>
      </c>
      <c r="I263" s="181" t="s">
        <v>175</v>
      </c>
      <c r="J263" s="174">
        <v>0</v>
      </c>
      <c r="K263" s="175"/>
      <c r="L263" s="176">
        <v>4000</v>
      </c>
      <c r="M263" s="177"/>
      <c r="N263" s="177"/>
      <c r="O263" s="178"/>
      <c r="P263" s="178"/>
      <c r="Q263" s="177"/>
      <c r="R263" s="177"/>
      <c r="S263" s="179">
        <v>-4000</v>
      </c>
      <c r="T263" s="102">
        <f>SUM(Finance[[#This Row],[Samer]:[Margins]])</f>
        <v>0</v>
      </c>
      <c r="U263" s="103">
        <f>ABS(Finance[[#This Row],[Total (EGP)]])</f>
        <v>0</v>
      </c>
      <c r="V263" s="180"/>
    </row>
    <row r="264" spans="2:22" ht="18" customHeight="1" x14ac:dyDescent="0.3">
      <c r="B264" s="168">
        <v>45774</v>
      </c>
      <c r="C264" s="169">
        <f>YEAR(Finance[[#This Row],[Date]])</f>
        <v>2025</v>
      </c>
      <c r="D264" s="170">
        <f>MONTH(Finance[[#This Row],[Date]])</f>
        <v>4</v>
      </c>
      <c r="E264" s="6" t="s">
        <v>419</v>
      </c>
      <c r="F264" s="39" t="s">
        <v>84</v>
      </c>
      <c r="G264" s="6" t="s">
        <v>85</v>
      </c>
      <c r="H264" s="48" t="s">
        <v>222</v>
      </c>
      <c r="I264" s="135" t="s">
        <v>175</v>
      </c>
      <c r="J264" s="136">
        <v>3</v>
      </c>
      <c r="K264" s="162"/>
      <c r="L264" s="163"/>
      <c r="M264" s="164"/>
      <c r="N264" s="164"/>
      <c r="O264" s="165"/>
      <c r="P264" s="165"/>
      <c r="Q264" s="164"/>
      <c r="R264" s="164">
        <v>9851</v>
      </c>
      <c r="S264" s="179"/>
      <c r="T264" s="102">
        <f>SUM(Finance[[#This Row],[Samer]:[Margins]])</f>
        <v>9851</v>
      </c>
      <c r="U264" s="103">
        <f>ABS(Finance[[#This Row],[Total (EGP)]])</f>
        <v>9851</v>
      </c>
      <c r="V264" s="180"/>
    </row>
    <row r="265" spans="2:22" ht="18" customHeight="1" x14ac:dyDescent="0.3">
      <c r="B265" s="168">
        <v>45774</v>
      </c>
      <c r="C265" s="169">
        <f>YEAR(Finance[[#This Row],[Date]])</f>
        <v>2025</v>
      </c>
      <c r="D265" s="170">
        <f>MONTH(Finance[[#This Row],[Date]])</f>
        <v>4</v>
      </c>
      <c r="E265" s="6" t="s">
        <v>223</v>
      </c>
      <c r="F265" s="39" t="s">
        <v>29</v>
      </c>
      <c r="G265" s="6" t="s">
        <v>95</v>
      </c>
      <c r="H265" s="48" t="s">
        <v>194</v>
      </c>
      <c r="I265" s="135" t="s">
        <v>175</v>
      </c>
      <c r="J265" s="136">
        <v>3</v>
      </c>
      <c r="K265" s="162"/>
      <c r="L265" s="163"/>
      <c r="M265" s="164"/>
      <c r="N265" s="164"/>
      <c r="O265" s="165"/>
      <c r="P265" s="165"/>
      <c r="Q265" s="145"/>
      <c r="R265" s="164">
        <f>9851*0.0107002</f>
        <v>105.4076702</v>
      </c>
      <c r="S265" s="179"/>
      <c r="T265" s="102">
        <f>SUM(Finance[[#This Row],[Samer]:[Margins]])</f>
        <v>105.4076702</v>
      </c>
      <c r="U265" s="103">
        <f>ABS(Finance[[#This Row],[Total (EGP)]])</f>
        <v>105.4076702</v>
      </c>
      <c r="V265" s="180"/>
    </row>
    <row r="266" spans="2:22" ht="18" customHeight="1" x14ac:dyDescent="0.3">
      <c r="B266" s="168">
        <v>45774</v>
      </c>
      <c r="C266" s="169">
        <f>YEAR(Finance[[#This Row],[Date]])</f>
        <v>2025</v>
      </c>
      <c r="D266" s="170">
        <f>MONTH(Finance[[#This Row],[Date]])</f>
        <v>4</v>
      </c>
      <c r="E266" s="39" t="s">
        <v>420</v>
      </c>
      <c r="F266" s="39" t="s">
        <v>84</v>
      </c>
      <c r="G266" s="39" t="s">
        <v>230</v>
      </c>
      <c r="H266" s="48" t="s">
        <v>199</v>
      </c>
      <c r="I266" s="114" t="s">
        <v>175</v>
      </c>
      <c r="J266" s="131">
        <v>3</v>
      </c>
      <c r="K266" s="31"/>
      <c r="L266" s="132"/>
      <c r="M266" s="96"/>
      <c r="N266" s="96"/>
      <c r="O266" s="75"/>
      <c r="P266" s="75"/>
      <c r="Q266" s="96"/>
      <c r="R266" s="96">
        <f>242</f>
        <v>242</v>
      </c>
      <c r="S266" s="179"/>
      <c r="T266" s="102">
        <f>SUM(Finance[[#This Row],[Samer]:[Margins]])</f>
        <v>242</v>
      </c>
      <c r="U266" s="103">
        <f>ABS(Finance[[#This Row],[Total (EGP)]])</f>
        <v>242</v>
      </c>
      <c r="V266" s="180"/>
    </row>
    <row r="267" spans="2:22" ht="18" customHeight="1" x14ac:dyDescent="0.3">
      <c r="B267" s="168">
        <v>45774</v>
      </c>
      <c r="C267" s="169">
        <f>YEAR(Finance[[#This Row],[Date]])</f>
        <v>2025</v>
      </c>
      <c r="D267" s="170">
        <f>MONTH(Finance[[#This Row],[Date]])</f>
        <v>4</v>
      </c>
      <c r="E267" s="150" t="s">
        <v>231</v>
      </c>
      <c r="F267" s="39" t="s">
        <v>29</v>
      </c>
      <c r="G267" s="39" t="s">
        <v>95</v>
      </c>
      <c r="H267" s="48" t="s">
        <v>194</v>
      </c>
      <c r="I267" s="114" t="s">
        <v>175</v>
      </c>
      <c r="J267" s="131">
        <v>3</v>
      </c>
      <c r="K267" s="31"/>
      <c r="L267" s="132"/>
      <c r="M267" s="96"/>
      <c r="N267" s="96"/>
      <c r="O267" s="75"/>
      <c r="P267" s="75"/>
      <c r="Q267" s="96"/>
      <c r="R267" s="66">
        <f>242*0.06776859</f>
        <v>16.399998780000001</v>
      </c>
      <c r="S267" s="179"/>
      <c r="T267" s="102">
        <f>SUM(Finance[[#This Row],[Samer]:[Margins]])</f>
        <v>16.399998780000001</v>
      </c>
      <c r="U267" s="103">
        <f>ABS(Finance[[#This Row],[Total (EGP)]])</f>
        <v>16.399998780000001</v>
      </c>
      <c r="V267" s="180"/>
    </row>
    <row r="268" spans="2:22" ht="18" customHeight="1" x14ac:dyDescent="0.3">
      <c r="B268" s="168">
        <v>45774</v>
      </c>
      <c r="C268" s="169">
        <f>YEAR(Finance[[#This Row],[Date]])</f>
        <v>2025</v>
      </c>
      <c r="D268" s="170">
        <f>MONTH(Finance[[#This Row],[Date]])</f>
        <v>4</v>
      </c>
      <c r="E268" s="171" t="s">
        <v>242</v>
      </c>
      <c r="F268" s="39" t="s">
        <v>29</v>
      </c>
      <c r="G268" s="39" t="s">
        <v>112</v>
      </c>
      <c r="H268" s="48" t="s">
        <v>243</v>
      </c>
      <c r="I268" s="114" t="s">
        <v>175</v>
      </c>
      <c r="J268" s="131">
        <v>3</v>
      </c>
      <c r="K268" s="175"/>
      <c r="L268" s="176"/>
      <c r="M268" s="177"/>
      <c r="N268" s="177"/>
      <c r="O268" s="178"/>
      <c r="P268" s="178"/>
      <c r="Q268" s="177"/>
      <c r="R268" s="177">
        <v>1402.2</v>
      </c>
      <c r="S268" s="179"/>
      <c r="T268" s="102">
        <f>SUM(Finance[[#This Row],[Samer]:[Margins]])</f>
        <v>1402.2</v>
      </c>
      <c r="U268" s="103">
        <f>ABS(Finance[[#This Row],[Total (EGP)]])</f>
        <v>1402.2</v>
      </c>
      <c r="V268" s="180"/>
    </row>
    <row r="269" spans="2:22" ht="18" customHeight="1" x14ac:dyDescent="0.3">
      <c r="B269" s="168">
        <v>45774</v>
      </c>
      <c r="C269" s="169">
        <f>YEAR(Finance[[#This Row],[Date]])</f>
        <v>2025</v>
      </c>
      <c r="D269" s="170">
        <f>MONTH(Finance[[#This Row],[Date]])</f>
        <v>4</v>
      </c>
      <c r="E269" s="171" t="s">
        <v>242</v>
      </c>
      <c r="F269" s="39" t="s">
        <v>29</v>
      </c>
      <c r="G269" s="39" t="s">
        <v>112</v>
      </c>
      <c r="H269" s="48" t="s">
        <v>243</v>
      </c>
      <c r="I269" s="114" t="s">
        <v>175</v>
      </c>
      <c r="J269" s="131">
        <v>3</v>
      </c>
      <c r="K269" s="175"/>
      <c r="L269" s="176"/>
      <c r="M269" s="177"/>
      <c r="N269" s="177"/>
      <c r="O269" s="178"/>
      <c r="P269" s="178"/>
      <c r="Q269" s="177"/>
      <c r="R269" s="177">
        <v>200</v>
      </c>
      <c r="S269" s="179"/>
      <c r="T269" s="102">
        <f>SUM(Finance[[#This Row],[Samer]:[Margins]])</f>
        <v>200</v>
      </c>
      <c r="U269" s="103">
        <f>ABS(Finance[[#This Row],[Total (EGP)]])</f>
        <v>200</v>
      </c>
      <c r="V269" s="180"/>
    </row>
    <row r="270" spans="2:22" ht="18" customHeight="1" x14ac:dyDescent="0.3">
      <c r="B270" s="168">
        <v>45775</v>
      </c>
      <c r="C270" s="169">
        <f>YEAR(Finance[[#This Row],[Date]])</f>
        <v>2025</v>
      </c>
      <c r="D270" s="170">
        <f>MONTH(Finance[[#This Row],[Date]])</f>
        <v>4</v>
      </c>
      <c r="E270" s="6" t="s">
        <v>418</v>
      </c>
      <c r="F270" s="6" t="s">
        <v>73</v>
      </c>
      <c r="G270" s="6" t="s">
        <v>233</v>
      </c>
      <c r="H270" s="134" t="s">
        <v>234</v>
      </c>
      <c r="I270" s="135" t="s">
        <v>235</v>
      </c>
      <c r="J270" s="136">
        <v>1</v>
      </c>
      <c r="K270" s="175"/>
      <c r="L270" s="176"/>
      <c r="M270" s="177"/>
      <c r="N270" s="177"/>
      <c r="O270" s="178"/>
      <c r="P270" s="178"/>
      <c r="Q270" s="177">
        <v>-250000</v>
      </c>
      <c r="R270" s="177"/>
      <c r="S270" s="179"/>
      <c r="T270" s="102">
        <f>SUM(Finance[[#This Row],[Samer]:[Margins]])</f>
        <v>-250000</v>
      </c>
      <c r="U270" s="103">
        <f>ABS(Finance[[#This Row],[Total (EGP)]])</f>
        <v>250000</v>
      </c>
      <c r="V270" s="180"/>
    </row>
    <row r="271" spans="2:22" ht="18" customHeight="1" x14ac:dyDescent="0.3">
      <c r="B271" s="168">
        <v>45775</v>
      </c>
      <c r="C271" s="169">
        <f>YEAR(Finance[[#This Row],[Date]])</f>
        <v>2025</v>
      </c>
      <c r="D271" s="170">
        <f>MONTH(Finance[[#This Row],[Date]])</f>
        <v>4</v>
      </c>
      <c r="E271" s="126" t="s">
        <v>240</v>
      </c>
      <c r="F271" s="126" t="s">
        <v>37</v>
      </c>
      <c r="G271" s="126" t="s">
        <v>36</v>
      </c>
      <c r="H271" s="127" t="s">
        <v>181</v>
      </c>
      <c r="I271" s="128" t="s">
        <v>175</v>
      </c>
      <c r="J271" s="129">
        <v>0</v>
      </c>
      <c r="K271" s="175"/>
      <c r="L271" s="176"/>
      <c r="M271" s="177"/>
      <c r="N271" s="177"/>
      <c r="O271" s="178"/>
      <c r="P271" s="178"/>
      <c r="Q271" s="177">
        <v>250000</v>
      </c>
      <c r="R271" s="177">
        <v>-250000</v>
      </c>
      <c r="S271" s="179"/>
      <c r="T271" s="102">
        <f>SUM(Finance[[#This Row],[Samer]:[Margins]])</f>
        <v>0</v>
      </c>
      <c r="U271" s="103">
        <f>ABS(Finance[[#This Row],[Total (EGP)]])</f>
        <v>0</v>
      </c>
      <c r="V271" s="180"/>
    </row>
    <row r="272" spans="2:22" ht="18" customHeight="1" x14ac:dyDescent="0.3">
      <c r="B272" s="168">
        <v>45777</v>
      </c>
      <c r="C272" s="169">
        <f>YEAR(Finance[[#This Row],[Date]])</f>
        <v>2025</v>
      </c>
      <c r="D272" s="170">
        <f>MONTH(Finance[[#This Row],[Date]])</f>
        <v>4</v>
      </c>
      <c r="E272" s="171" t="s">
        <v>179</v>
      </c>
      <c r="F272" s="172" t="s">
        <v>37</v>
      </c>
      <c r="G272" s="172" t="s">
        <v>36</v>
      </c>
      <c r="H272" s="173" t="s">
        <v>181</v>
      </c>
      <c r="I272" s="181" t="s">
        <v>175</v>
      </c>
      <c r="J272" s="174">
        <v>0</v>
      </c>
      <c r="K272" s="175"/>
      <c r="L272" s="176">
        <v>-89689</v>
      </c>
      <c r="M272" s="177"/>
      <c r="N272" s="177"/>
      <c r="O272" s="178"/>
      <c r="P272" s="178"/>
      <c r="Q272" s="177"/>
      <c r="R272" s="177">
        <v>89689</v>
      </c>
      <c r="S272" s="179"/>
      <c r="T272" s="102">
        <f>SUM(Finance[[#This Row],[Samer]:[Margins]])</f>
        <v>0</v>
      </c>
      <c r="U272" s="103">
        <f>ABS(Finance[[#This Row],[Total (EGP)]])</f>
        <v>0</v>
      </c>
      <c r="V272" s="180"/>
    </row>
    <row r="273" spans="2:22" ht="18" customHeight="1" x14ac:dyDescent="0.3">
      <c r="B273" s="168">
        <v>45777</v>
      </c>
      <c r="C273" s="169">
        <f>YEAR(Finance[[#This Row],[Date]])</f>
        <v>2025</v>
      </c>
      <c r="D273" s="170">
        <f>MONTH(Finance[[#This Row],[Date]])</f>
        <v>4</v>
      </c>
      <c r="E273" s="39" t="s">
        <v>425</v>
      </c>
      <c r="F273" s="6" t="s">
        <v>34</v>
      </c>
      <c r="G273" s="6" t="s">
        <v>66</v>
      </c>
      <c r="H273" s="134" t="s">
        <v>210</v>
      </c>
      <c r="I273" s="135" t="s">
        <v>175</v>
      </c>
      <c r="J273" s="136">
        <v>1</v>
      </c>
      <c r="K273" s="31"/>
      <c r="L273" s="132">
        <f>90000*0.25</f>
        <v>22500</v>
      </c>
      <c r="M273" s="164"/>
      <c r="N273" s="164"/>
      <c r="O273" s="165"/>
      <c r="P273" s="165"/>
      <c r="Q273" s="145"/>
      <c r="R273" s="145">
        <f>36601.6+29559.6+29853*0.5+18504.1+23955</f>
        <v>123546.79999999999</v>
      </c>
      <c r="S273" s="179"/>
      <c r="T273" s="102">
        <f>SUM(Finance[[#This Row],[Samer]:[Margins]])</f>
        <v>146046.79999999999</v>
      </c>
      <c r="U273" s="103">
        <f>ABS(Finance[[#This Row],[Total (EGP)]])</f>
        <v>146046.79999999999</v>
      </c>
      <c r="V273" s="180"/>
    </row>
    <row r="274" spans="2:22" ht="18" customHeight="1" x14ac:dyDescent="0.3">
      <c r="B274" s="168">
        <v>45777</v>
      </c>
      <c r="C274" s="169">
        <f>YEAR(Finance[[#This Row],[Date]])</f>
        <v>2025</v>
      </c>
      <c r="D274" s="170">
        <f>MONTH(Finance[[#This Row],[Date]])</f>
        <v>4</v>
      </c>
      <c r="E274" s="39" t="s">
        <v>426</v>
      </c>
      <c r="F274" s="6" t="s">
        <v>34</v>
      </c>
      <c r="G274" s="6" t="s">
        <v>66</v>
      </c>
      <c r="H274" s="134" t="s">
        <v>211</v>
      </c>
      <c r="I274" s="135" t="s">
        <v>175</v>
      </c>
      <c r="J274" s="136">
        <v>3</v>
      </c>
      <c r="K274" s="31"/>
      <c r="L274" s="132">
        <f>90000*0.3</f>
        <v>27000</v>
      </c>
      <c r="M274" s="164"/>
      <c r="N274" s="164"/>
      <c r="O274" s="165"/>
      <c r="P274" s="165"/>
      <c r="Q274" s="145"/>
      <c r="R274" s="145">
        <f>18922.8+19500+12500</f>
        <v>50922.8</v>
      </c>
      <c r="S274" s="179"/>
      <c r="T274" s="102">
        <f>SUM(Finance[[#This Row],[Samer]:[Margins]])</f>
        <v>77922.8</v>
      </c>
      <c r="U274" s="103">
        <f>ABS(Finance[[#This Row],[Total (EGP)]])</f>
        <v>77922.8</v>
      </c>
      <c r="V274" s="180"/>
    </row>
    <row r="275" spans="2:22" ht="18" customHeight="1" x14ac:dyDescent="0.3">
      <c r="B275" s="168">
        <v>45777</v>
      </c>
      <c r="C275" s="169">
        <f>YEAR(Finance[[#This Row],[Date]])</f>
        <v>2025</v>
      </c>
      <c r="D275" s="170">
        <f>MONTH(Finance[[#This Row],[Date]])</f>
        <v>4</v>
      </c>
      <c r="E275" s="39" t="s">
        <v>427</v>
      </c>
      <c r="F275" s="6" t="s">
        <v>34</v>
      </c>
      <c r="G275" s="6" t="s">
        <v>66</v>
      </c>
      <c r="H275" s="134" t="s">
        <v>212</v>
      </c>
      <c r="I275" s="135" t="s">
        <v>175</v>
      </c>
      <c r="J275" s="136">
        <v>4</v>
      </c>
      <c r="K275" s="31"/>
      <c r="L275" s="132">
        <f>90000*0.2</f>
        <v>18000</v>
      </c>
      <c r="M275" s="164"/>
      <c r="N275" s="164"/>
      <c r="O275" s="165"/>
      <c r="P275" s="165"/>
      <c r="Q275" s="145"/>
      <c r="R275" s="145">
        <f>21861.5+29853*0.5+20000</f>
        <v>56788</v>
      </c>
      <c r="S275" s="179"/>
      <c r="T275" s="102">
        <f>SUM(Finance[[#This Row],[Samer]:[Margins]])</f>
        <v>74788</v>
      </c>
      <c r="U275" s="103">
        <f>ABS(Finance[[#This Row],[Total (EGP)]])</f>
        <v>74788</v>
      </c>
      <c r="V275" s="180"/>
    </row>
    <row r="276" spans="2:22" ht="18" customHeight="1" x14ac:dyDescent="0.3">
      <c r="B276" s="168">
        <v>45777</v>
      </c>
      <c r="C276" s="169">
        <f>YEAR(Finance[[#This Row],[Date]])</f>
        <v>2025</v>
      </c>
      <c r="D276" s="170">
        <f>MONTH(Finance[[#This Row],[Date]])</f>
        <v>4</v>
      </c>
      <c r="E276" s="39" t="s">
        <v>428</v>
      </c>
      <c r="F276" s="6" t="s">
        <v>34</v>
      </c>
      <c r="G276" s="6" t="s">
        <v>66</v>
      </c>
      <c r="H276" s="134" t="s">
        <v>209</v>
      </c>
      <c r="I276" s="135" t="s">
        <v>175</v>
      </c>
      <c r="J276" s="136">
        <v>2</v>
      </c>
      <c r="K276" s="31"/>
      <c r="L276" s="132">
        <f>90000*0.25</f>
        <v>22500</v>
      </c>
      <c r="M276" s="164"/>
      <c r="N276" s="164"/>
      <c r="O276" s="165"/>
      <c r="P276" s="165"/>
      <c r="Q276" s="145"/>
      <c r="R276" s="145">
        <f>38000+17000+16537.6+13000</f>
        <v>84537.600000000006</v>
      </c>
      <c r="S276" s="179"/>
      <c r="T276" s="102">
        <f>SUM(Finance[[#This Row],[Samer]:[Margins]])</f>
        <v>107037.6</v>
      </c>
      <c r="U276" s="103">
        <f>ABS(Finance[[#This Row],[Total (EGP)]])</f>
        <v>107037.6</v>
      </c>
      <c r="V276" s="180"/>
    </row>
    <row r="277" spans="2:22" ht="18" customHeight="1" x14ac:dyDescent="0.3">
      <c r="B277" s="168">
        <v>45777</v>
      </c>
      <c r="C277" s="169">
        <f>YEAR(Finance[[#This Row],[Date]])</f>
        <v>2025</v>
      </c>
      <c r="D277" s="170">
        <f>MONTH(Finance[[#This Row],[Date]])</f>
        <v>4</v>
      </c>
      <c r="E277" s="39" t="s">
        <v>429</v>
      </c>
      <c r="F277" s="39" t="s">
        <v>29</v>
      </c>
      <c r="G277" s="39" t="s">
        <v>213</v>
      </c>
      <c r="H277" s="48" t="s">
        <v>214</v>
      </c>
      <c r="I277" s="114" t="s">
        <v>175</v>
      </c>
      <c r="J277" s="131">
        <v>3</v>
      </c>
      <c r="K277" s="31"/>
      <c r="L277" s="132">
        <v>-311</v>
      </c>
      <c r="M277" s="164"/>
      <c r="N277" s="164"/>
      <c r="O277" s="165"/>
      <c r="P277" s="165"/>
      <c r="Q277" s="145"/>
      <c r="R277" s="145">
        <f>-311*10-691</f>
        <v>-3801</v>
      </c>
      <c r="S277" s="179"/>
      <c r="T277" s="102">
        <f>SUM(Finance[[#This Row],[Samer]:[Margins]])</f>
        <v>-4112</v>
      </c>
      <c r="U277" s="103">
        <f>ABS(Finance[[#This Row],[Total (EGP)]])</f>
        <v>4112</v>
      </c>
      <c r="V277" s="180"/>
    </row>
    <row r="278" spans="2:22" ht="18" customHeight="1" x14ac:dyDescent="0.3">
      <c r="B278" s="168">
        <v>45777</v>
      </c>
      <c r="C278" s="169">
        <f>YEAR(Finance[[#This Row],[Date]])</f>
        <v>2025</v>
      </c>
      <c r="D278" s="170">
        <f>MONTH(Finance[[#This Row],[Date]])</f>
        <v>4</v>
      </c>
      <c r="E278" s="6" t="s">
        <v>430</v>
      </c>
      <c r="F278" s="6" t="s">
        <v>34</v>
      </c>
      <c r="G278" s="6" t="s">
        <v>66</v>
      </c>
      <c r="H278" s="134" t="s">
        <v>210</v>
      </c>
      <c r="I278" s="114" t="s">
        <v>175</v>
      </c>
      <c r="J278" s="136">
        <v>1</v>
      </c>
      <c r="K278" s="143"/>
      <c r="L278" s="144">
        <v>14000</v>
      </c>
      <c r="M278" s="164"/>
      <c r="N278" s="164"/>
      <c r="O278" s="165"/>
      <c r="P278" s="165"/>
      <c r="Q278" s="145"/>
      <c r="R278" s="164"/>
      <c r="S278" s="179"/>
      <c r="T278" s="102">
        <f>SUM(Finance[[#This Row],[Samer]:[Margins]])</f>
        <v>14000</v>
      </c>
      <c r="U278" s="103">
        <f>ABS(Finance[[#This Row],[Total (EGP)]])</f>
        <v>14000</v>
      </c>
      <c r="V278" s="180"/>
    </row>
    <row r="279" spans="2:22" ht="18" customHeight="1" x14ac:dyDescent="0.3">
      <c r="B279" s="168">
        <v>45777</v>
      </c>
      <c r="C279" s="169">
        <f>YEAR(Finance[[#This Row],[Date]])</f>
        <v>2025</v>
      </c>
      <c r="D279" s="170">
        <f>MONTH(Finance[[#This Row],[Date]])</f>
        <v>4</v>
      </c>
      <c r="E279" s="133" t="s">
        <v>431</v>
      </c>
      <c r="F279" s="6" t="s">
        <v>34</v>
      </c>
      <c r="G279" s="6" t="s">
        <v>66</v>
      </c>
      <c r="H279" s="134" t="s">
        <v>272</v>
      </c>
      <c r="I279" s="114" t="s">
        <v>175</v>
      </c>
      <c r="J279" s="136">
        <v>5</v>
      </c>
      <c r="K279" s="162"/>
      <c r="L279" s="163">
        <v>5000</v>
      </c>
      <c r="M279" s="164"/>
      <c r="N279" s="164"/>
      <c r="O279" s="165"/>
      <c r="P279" s="165"/>
      <c r="Q279" s="164"/>
      <c r="R279" s="164"/>
      <c r="S279" s="179"/>
      <c r="T279" s="102">
        <f>SUM(Finance[[#This Row],[Samer]:[Margins]])</f>
        <v>5000</v>
      </c>
      <c r="U279" s="103">
        <f>ABS(Finance[[#This Row],[Total (EGP)]])</f>
        <v>5000</v>
      </c>
      <c r="V279" s="180"/>
    </row>
    <row r="280" spans="2:22" ht="18" customHeight="1" x14ac:dyDescent="0.3">
      <c r="B280" s="168">
        <v>45777</v>
      </c>
      <c r="C280" s="169">
        <f>YEAR(Finance[[#This Row],[Date]])</f>
        <v>2025</v>
      </c>
      <c r="D280" s="170">
        <f>MONTH(Finance[[#This Row],[Date]])</f>
        <v>4</v>
      </c>
      <c r="E280" s="39" t="s">
        <v>208</v>
      </c>
      <c r="F280" s="6" t="s">
        <v>30</v>
      </c>
      <c r="G280" s="6" t="s">
        <v>88</v>
      </c>
      <c r="H280" s="134" t="s">
        <v>209</v>
      </c>
      <c r="I280" s="135" t="s">
        <v>175</v>
      </c>
      <c r="J280" s="136">
        <v>2</v>
      </c>
      <c r="K280" s="143"/>
      <c r="L280" s="144">
        <f>42*325</f>
        <v>13650</v>
      </c>
      <c r="M280" s="177"/>
      <c r="N280" s="177"/>
      <c r="O280" s="178"/>
      <c r="P280" s="178"/>
      <c r="Q280" s="177"/>
      <c r="R280" s="177"/>
      <c r="S280" s="179"/>
      <c r="T280" s="102">
        <f>SUM(Finance[[#This Row],[Samer]:[Margins]])</f>
        <v>13650</v>
      </c>
      <c r="U280" s="103">
        <f>ABS(Finance[[#This Row],[Total (EGP)]])</f>
        <v>13650</v>
      </c>
      <c r="V280" s="180"/>
    </row>
    <row r="281" spans="2:22" ht="18" customHeight="1" x14ac:dyDescent="0.3">
      <c r="B281" s="168">
        <v>45777</v>
      </c>
      <c r="C281" s="169">
        <f>YEAR(Finance[[#This Row],[Date]])</f>
        <v>2025</v>
      </c>
      <c r="D281" s="170">
        <f>MONTH(Finance[[#This Row],[Date]])</f>
        <v>4</v>
      </c>
      <c r="E281" s="171" t="s">
        <v>179</v>
      </c>
      <c r="F281" s="172" t="s">
        <v>37</v>
      </c>
      <c r="G281" s="172" t="s">
        <v>36</v>
      </c>
      <c r="H281" s="173" t="s">
        <v>181</v>
      </c>
      <c r="I281" s="181" t="s">
        <v>432</v>
      </c>
      <c r="J281" s="174">
        <v>0</v>
      </c>
      <c r="K281" s="175"/>
      <c r="L281" s="176">
        <v>-90000</v>
      </c>
      <c r="M281" s="177"/>
      <c r="N281" s="177"/>
      <c r="O281" s="178"/>
      <c r="P281" s="178"/>
      <c r="Q281" s="177"/>
      <c r="R281" s="177">
        <v>90000</v>
      </c>
      <c r="S281" s="179"/>
      <c r="T281" s="102">
        <f>SUM(Finance[[#This Row],[Samer]:[Margins]])</f>
        <v>0</v>
      </c>
      <c r="U281" s="103">
        <f>ABS(Finance[[#This Row],[Total (EGP)]])</f>
        <v>0</v>
      </c>
      <c r="V281" s="180"/>
    </row>
    <row r="282" spans="2:22" ht="18" customHeight="1" x14ac:dyDescent="0.3">
      <c r="B282" s="168">
        <v>45777</v>
      </c>
      <c r="C282" s="169">
        <f>YEAR(Finance[[#This Row],[Date]])</f>
        <v>2025</v>
      </c>
      <c r="D282" s="170">
        <f>MONTH(Finance[[#This Row],[Date]])</f>
        <v>4</v>
      </c>
      <c r="E282" s="171" t="s">
        <v>433</v>
      </c>
      <c r="F282" s="172" t="s">
        <v>73</v>
      </c>
      <c r="G282" s="172" t="s">
        <v>93</v>
      </c>
      <c r="H282" s="173" t="s">
        <v>199</v>
      </c>
      <c r="I282" s="181" t="s">
        <v>434</v>
      </c>
      <c r="J282" s="174">
        <v>4</v>
      </c>
      <c r="K282" s="175"/>
      <c r="L282" s="176">
        <f>-32000*2+960</f>
        <v>-63040</v>
      </c>
      <c r="M282" s="177"/>
      <c r="N282" s="177"/>
      <c r="O282" s="178"/>
      <c r="P282" s="178"/>
      <c r="Q282" s="177"/>
      <c r="R282" s="177"/>
      <c r="S282" s="179"/>
      <c r="T282" s="102">
        <f>SUM(Finance[[#This Row],[Samer]:[Margins]])</f>
        <v>-63040</v>
      </c>
      <c r="U282" s="103">
        <f>ABS(Finance[[#This Row],[Total (EGP)]])</f>
        <v>63040</v>
      </c>
      <c r="V282" s="180"/>
    </row>
    <row r="283" spans="2:22" ht="18" customHeight="1" x14ac:dyDescent="0.3">
      <c r="B283" s="168">
        <v>45777</v>
      </c>
      <c r="C283" s="169">
        <f>YEAR(Finance[[#This Row],[Date]])</f>
        <v>2025</v>
      </c>
      <c r="D283" s="170">
        <f>MONTH(Finance[[#This Row],[Date]])</f>
        <v>4</v>
      </c>
      <c r="E283" s="171" t="s">
        <v>435</v>
      </c>
      <c r="F283" s="6" t="s">
        <v>73</v>
      </c>
      <c r="G283" s="6" t="s">
        <v>93</v>
      </c>
      <c r="H283" s="134" t="s">
        <v>90</v>
      </c>
      <c r="I283" s="135" t="s">
        <v>434</v>
      </c>
      <c r="J283" s="136">
        <v>4</v>
      </c>
      <c r="K283" s="175"/>
      <c r="L283" s="176">
        <f>-32000*2*0.14</f>
        <v>-8960</v>
      </c>
      <c r="M283" s="177"/>
      <c r="N283" s="177"/>
      <c r="O283" s="178"/>
      <c r="P283" s="178"/>
      <c r="Q283" s="177"/>
      <c r="R283" s="177"/>
      <c r="S283" s="179"/>
      <c r="T283" s="102">
        <f>SUM(Finance[[#This Row],[Samer]:[Margins]])</f>
        <v>-8960</v>
      </c>
      <c r="U283" s="103">
        <f>ABS(Finance[[#This Row],[Total (EGP)]])</f>
        <v>8960</v>
      </c>
      <c r="V283" s="180"/>
    </row>
    <row r="284" spans="2:22" ht="18" customHeight="1" x14ac:dyDescent="0.3">
      <c r="B284" s="168">
        <v>45777</v>
      </c>
      <c r="C284" s="169">
        <f>YEAR(Finance[[#This Row],[Date]])</f>
        <v>2025</v>
      </c>
      <c r="D284" s="170">
        <f>MONTH(Finance[[#This Row],[Date]])</f>
        <v>4</v>
      </c>
      <c r="E284" s="6" t="s">
        <v>254</v>
      </c>
      <c r="F284" s="172" t="s">
        <v>29</v>
      </c>
      <c r="G284" s="6" t="s">
        <v>55</v>
      </c>
      <c r="H284" s="134" t="s">
        <v>352</v>
      </c>
      <c r="I284" s="135" t="s">
        <v>175</v>
      </c>
      <c r="J284" s="136">
        <v>3</v>
      </c>
      <c r="K284" s="175"/>
      <c r="L284" s="176"/>
      <c r="M284" s="177"/>
      <c r="N284" s="177"/>
      <c r="O284" s="178"/>
      <c r="P284" s="178"/>
      <c r="Q284" s="177"/>
      <c r="R284" s="177"/>
      <c r="S284" s="179">
        <v>5272.5</v>
      </c>
      <c r="T284" s="102">
        <f>SUM(Finance[[#This Row],[Samer]:[Margins]])</f>
        <v>5272.5</v>
      </c>
      <c r="U284" s="103">
        <f>ABS(Finance[[#This Row],[Total (EGP)]])</f>
        <v>5272.5</v>
      </c>
      <c r="V284" s="180"/>
    </row>
    <row r="285" spans="2:22" ht="18" customHeight="1" x14ac:dyDescent="0.3">
      <c r="B285" s="168">
        <v>45777</v>
      </c>
      <c r="C285" s="169">
        <f>YEAR(Finance[[#This Row],[Date]])</f>
        <v>2025</v>
      </c>
      <c r="D285" s="170">
        <f>MONTH(Finance[[#This Row],[Date]])</f>
        <v>4</v>
      </c>
      <c r="E285" s="6" t="s">
        <v>101</v>
      </c>
      <c r="F285" s="39" t="s">
        <v>29</v>
      </c>
      <c r="G285" s="6" t="s">
        <v>101</v>
      </c>
      <c r="H285" s="134" t="s">
        <v>74</v>
      </c>
      <c r="I285" s="135" t="s">
        <v>175</v>
      </c>
      <c r="J285" s="136">
        <v>3</v>
      </c>
      <c r="K285" s="175"/>
      <c r="L285" s="176"/>
      <c r="M285" s="177"/>
      <c r="N285" s="177"/>
      <c r="O285" s="178"/>
      <c r="P285" s="178"/>
      <c r="Q285" s="177"/>
      <c r="R285" s="177"/>
      <c r="S285" s="179">
        <v>184</v>
      </c>
      <c r="T285" s="102">
        <f>SUM(Finance[[#This Row],[Samer]:[Margins]])</f>
        <v>184</v>
      </c>
      <c r="U285" s="103">
        <f>ABS(Finance[[#This Row],[Total (EGP)]])</f>
        <v>184</v>
      </c>
      <c r="V285" s="180"/>
    </row>
    <row r="286" spans="2:22" ht="18" customHeight="1" x14ac:dyDescent="0.3">
      <c r="B286" s="168">
        <v>45777</v>
      </c>
      <c r="C286" s="169">
        <f>YEAR(Finance[[#This Row],[Date]])</f>
        <v>2025</v>
      </c>
      <c r="D286" s="170">
        <f>MONTH(Finance[[#This Row],[Date]])</f>
        <v>4</v>
      </c>
      <c r="E286" s="39" t="s">
        <v>32</v>
      </c>
      <c r="F286" s="39" t="s">
        <v>29</v>
      </c>
      <c r="G286" s="6" t="s">
        <v>32</v>
      </c>
      <c r="H286" s="134" t="s">
        <v>142</v>
      </c>
      <c r="I286" s="135" t="s">
        <v>175</v>
      </c>
      <c r="J286" s="136">
        <v>3</v>
      </c>
      <c r="K286" s="175"/>
      <c r="L286" s="176"/>
      <c r="M286" s="177"/>
      <c r="N286" s="177"/>
      <c r="O286" s="178"/>
      <c r="P286" s="178"/>
      <c r="Q286" s="177"/>
      <c r="R286" s="177"/>
      <c r="S286" s="179">
        <v>80</v>
      </c>
      <c r="T286" s="102">
        <f>SUM(Finance[[#This Row],[Samer]:[Margins]])</f>
        <v>80</v>
      </c>
      <c r="U286" s="103">
        <f>ABS(Finance[[#This Row],[Total (EGP)]])</f>
        <v>80</v>
      </c>
      <c r="V286" s="180"/>
    </row>
    <row r="287" spans="2:22" ht="18" customHeight="1" x14ac:dyDescent="0.3">
      <c r="B287" s="168">
        <v>45777</v>
      </c>
      <c r="C287" s="169">
        <f>YEAR(Finance[[#This Row],[Date]])</f>
        <v>2025</v>
      </c>
      <c r="D287" s="170">
        <f>MONTH(Finance[[#This Row],[Date]])</f>
        <v>4</v>
      </c>
      <c r="E287" s="39" t="s">
        <v>416</v>
      </c>
      <c r="F287" s="39" t="s">
        <v>29</v>
      </c>
      <c r="G287" s="6" t="s">
        <v>56</v>
      </c>
      <c r="H287" s="48" t="s">
        <v>142</v>
      </c>
      <c r="I287" s="135" t="s">
        <v>175</v>
      </c>
      <c r="J287" s="131">
        <v>3</v>
      </c>
      <c r="K287" s="175"/>
      <c r="L287" s="176"/>
      <c r="M287" s="177"/>
      <c r="N287" s="177"/>
      <c r="O287" s="178"/>
      <c r="P287" s="178"/>
      <c r="Q287" s="177"/>
      <c r="R287" s="177"/>
      <c r="S287" s="179">
        <v>1500</v>
      </c>
      <c r="T287" s="102">
        <f>SUM(Finance[[#This Row],[Samer]:[Margins]])</f>
        <v>1500</v>
      </c>
      <c r="U287" s="103">
        <f>ABS(Finance[[#This Row],[Total (EGP)]])</f>
        <v>1500</v>
      </c>
      <c r="V287" s="180"/>
    </row>
    <row r="288" spans="2:22" ht="18" customHeight="1" x14ac:dyDescent="0.3">
      <c r="B288" s="168">
        <v>45778</v>
      </c>
      <c r="C288" s="169">
        <f>YEAR(Finance[[#This Row],[Date]])</f>
        <v>2025</v>
      </c>
      <c r="D288" s="170">
        <f>MONTH(Finance[[#This Row],[Date]])</f>
        <v>5</v>
      </c>
      <c r="E288" s="6" t="s">
        <v>440</v>
      </c>
      <c r="F288" s="39" t="s">
        <v>84</v>
      </c>
      <c r="G288" s="39" t="s">
        <v>90</v>
      </c>
      <c r="H288" s="48" t="s">
        <v>143</v>
      </c>
      <c r="I288" s="149" t="s">
        <v>175</v>
      </c>
      <c r="J288" s="131">
        <v>1</v>
      </c>
      <c r="K288" s="162"/>
      <c r="L288" s="163"/>
      <c r="M288" s="164"/>
      <c r="N288" s="164"/>
      <c r="O288" s="165"/>
      <c r="P288" s="165"/>
      <c r="Q288" s="164"/>
      <c r="R288" s="145">
        <v>0</v>
      </c>
      <c r="S288" s="179"/>
      <c r="T288" s="102">
        <f>SUM(Finance[[#This Row],[Samer]:[Margins]])</f>
        <v>0</v>
      </c>
      <c r="U288" s="103">
        <f>ABS(Finance[[#This Row],[Total (EGP)]])</f>
        <v>0</v>
      </c>
      <c r="V288" s="180"/>
    </row>
    <row r="289" spans="2:22" ht="18" customHeight="1" x14ac:dyDescent="0.3">
      <c r="B289" s="168">
        <v>45778</v>
      </c>
      <c r="C289" s="169">
        <f>YEAR(Finance[[#This Row],[Date]])</f>
        <v>2025</v>
      </c>
      <c r="D289" s="170">
        <f>MONTH(Finance[[#This Row],[Date]])</f>
        <v>5</v>
      </c>
      <c r="E289" s="6" t="s">
        <v>441</v>
      </c>
      <c r="F289" s="39" t="s">
        <v>84</v>
      </c>
      <c r="G289" s="39" t="s">
        <v>90</v>
      </c>
      <c r="H289" s="48" t="s">
        <v>143</v>
      </c>
      <c r="I289" s="149" t="s">
        <v>175</v>
      </c>
      <c r="J289" s="131">
        <v>4</v>
      </c>
      <c r="K289" s="162"/>
      <c r="L289" s="163"/>
      <c r="M289" s="164"/>
      <c r="N289" s="164"/>
      <c r="O289" s="165"/>
      <c r="P289" s="165"/>
      <c r="Q289" s="164"/>
      <c r="R289" s="96">
        <v>15768.7</v>
      </c>
      <c r="S289" s="179"/>
      <c r="T289" s="102">
        <f>SUM(Finance[[#This Row],[Samer]:[Margins]])</f>
        <v>15768.7</v>
      </c>
      <c r="U289" s="103">
        <f>ABS(Finance[[#This Row],[Total (EGP)]])</f>
        <v>15768.7</v>
      </c>
      <c r="V289" s="180"/>
    </row>
    <row r="290" spans="2:22" ht="18" customHeight="1" x14ac:dyDescent="0.3">
      <c r="B290" s="168">
        <v>45778</v>
      </c>
      <c r="C290" s="169">
        <f>YEAR(Finance[[#This Row],[Date]])</f>
        <v>2025</v>
      </c>
      <c r="D290" s="170">
        <f>MONTH(Finance[[#This Row],[Date]])</f>
        <v>5</v>
      </c>
      <c r="E290" s="6" t="s">
        <v>442</v>
      </c>
      <c r="F290" s="39" t="s">
        <v>84</v>
      </c>
      <c r="G290" s="39" t="s">
        <v>90</v>
      </c>
      <c r="H290" s="48" t="s">
        <v>143</v>
      </c>
      <c r="I290" s="149" t="s">
        <v>175</v>
      </c>
      <c r="J290" s="131">
        <v>5</v>
      </c>
      <c r="K290" s="162"/>
      <c r="L290" s="163"/>
      <c r="M290" s="164"/>
      <c r="N290" s="164"/>
      <c r="O290" s="165"/>
      <c r="P290" s="165"/>
      <c r="Q290" s="164"/>
      <c r="R290" s="145">
        <v>1769.71</v>
      </c>
      <c r="S290" s="179"/>
      <c r="T290" s="102">
        <f>SUM(Finance[[#This Row],[Samer]:[Margins]])</f>
        <v>1769.71</v>
      </c>
      <c r="U290" s="103">
        <f>ABS(Finance[[#This Row],[Total (EGP)]])</f>
        <v>1769.71</v>
      </c>
      <c r="V290" s="180"/>
    </row>
    <row r="291" spans="2:22" ht="18" customHeight="1" x14ac:dyDescent="0.3">
      <c r="B291" s="168">
        <v>45778</v>
      </c>
      <c r="C291" s="169">
        <f>YEAR(Finance[[#This Row],[Date]])</f>
        <v>2025</v>
      </c>
      <c r="D291" s="170">
        <f>MONTH(Finance[[#This Row],[Date]])</f>
        <v>5</v>
      </c>
      <c r="E291" s="6" t="s">
        <v>443</v>
      </c>
      <c r="F291" s="39" t="s">
        <v>84</v>
      </c>
      <c r="G291" s="39" t="s">
        <v>90</v>
      </c>
      <c r="H291" s="48" t="s">
        <v>143</v>
      </c>
      <c r="I291" s="149" t="s">
        <v>175</v>
      </c>
      <c r="J291" s="131">
        <v>2</v>
      </c>
      <c r="K291" s="162"/>
      <c r="L291" s="163"/>
      <c r="M291" s="164"/>
      <c r="N291" s="164"/>
      <c r="O291" s="165"/>
      <c r="P291" s="165"/>
      <c r="Q291" s="164"/>
      <c r="R291" s="145">
        <v>70059.600000000006</v>
      </c>
      <c r="S291" s="179"/>
      <c r="T291" s="102">
        <f>SUM(Finance[[#This Row],[Samer]:[Margins]])</f>
        <v>70059.600000000006</v>
      </c>
      <c r="U291" s="103">
        <f>ABS(Finance[[#This Row],[Total (EGP)]])</f>
        <v>70059.600000000006</v>
      </c>
      <c r="V291" s="180"/>
    </row>
    <row r="292" spans="2:22" ht="18" customHeight="1" x14ac:dyDescent="0.3">
      <c r="B292" s="168">
        <v>45778</v>
      </c>
      <c r="C292" s="169">
        <f>YEAR(Finance[[#This Row],[Date]])</f>
        <v>2025</v>
      </c>
      <c r="D292" s="170">
        <f>MONTH(Finance[[#This Row],[Date]])</f>
        <v>5</v>
      </c>
      <c r="E292" s="6" t="s">
        <v>221</v>
      </c>
      <c r="F292" s="39" t="s">
        <v>29</v>
      </c>
      <c r="G292" s="6" t="s">
        <v>95</v>
      </c>
      <c r="H292" s="48" t="s">
        <v>194</v>
      </c>
      <c r="I292" s="135" t="s">
        <v>175</v>
      </c>
      <c r="J292" s="136">
        <v>3</v>
      </c>
      <c r="K292" s="162"/>
      <c r="L292" s="163"/>
      <c r="M292" s="164"/>
      <c r="N292" s="164"/>
      <c r="O292" s="165"/>
      <c r="P292" s="165"/>
      <c r="Q292" s="164"/>
      <c r="R292" s="145">
        <f>87597.67*0.0107001</f>
        <v>937.30382876700003</v>
      </c>
      <c r="S292" s="179"/>
      <c r="T292" s="102">
        <f>SUM(Finance[[#This Row],[Samer]:[Margins]])</f>
        <v>937.30382876700003</v>
      </c>
      <c r="U292" s="103">
        <f>ABS(Finance[[#This Row],[Total (EGP)]])</f>
        <v>937.30382876700003</v>
      </c>
      <c r="V292" s="180"/>
    </row>
    <row r="293" spans="2:22" ht="18" customHeight="1" x14ac:dyDescent="0.3">
      <c r="B293" s="168">
        <v>45778</v>
      </c>
      <c r="C293" s="169">
        <f>YEAR(Finance[[#This Row],[Date]])</f>
        <v>2025</v>
      </c>
      <c r="D293" s="170">
        <f>MONTH(Finance[[#This Row],[Date]])</f>
        <v>5</v>
      </c>
      <c r="E293" s="39" t="s">
        <v>444</v>
      </c>
      <c r="F293" s="39" t="s">
        <v>30</v>
      </c>
      <c r="G293" s="39" t="s">
        <v>127</v>
      </c>
      <c r="H293" s="130" t="s">
        <v>176</v>
      </c>
      <c r="I293" s="114" t="s">
        <v>177</v>
      </c>
      <c r="J293" s="131">
        <v>1</v>
      </c>
      <c r="K293" s="31"/>
      <c r="L293" s="132">
        <f>57*54.6*1.25</f>
        <v>3890.2500000000005</v>
      </c>
      <c r="M293" s="177"/>
      <c r="N293" s="177"/>
      <c r="O293" s="178"/>
      <c r="P293" s="178"/>
      <c r="Q293" s="177"/>
      <c r="R293" s="177"/>
      <c r="S293" s="179"/>
      <c r="T293" s="102">
        <f>SUM(Finance[[#This Row],[Samer]:[Margins]])</f>
        <v>3890.2500000000005</v>
      </c>
      <c r="U293" s="103">
        <f>ABS(Finance[[#This Row],[Total (EGP)]])</f>
        <v>3890.2500000000005</v>
      </c>
      <c r="V293" s="180"/>
    </row>
    <row r="294" spans="2:22" ht="18" customHeight="1" x14ac:dyDescent="0.3">
      <c r="B294" s="168">
        <v>45778</v>
      </c>
      <c r="C294" s="169">
        <f>YEAR(Finance[[#This Row],[Date]])</f>
        <v>2025</v>
      </c>
      <c r="D294" s="170">
        <f>MONTH(Finance[[#This Row],[Date]])</f>
        <v>5</v>
      </c>
      <c r="E294" s="39" t="s">
        <v>445</v>
      </c>
      <c r="F294" s="39" t="s">
        <v>30</v>
      </c>
      <c r="G294" s="39" t="s">
        <v>109</v>
      </c>
      <c r="H294" s="130" t="s">
        <v>176</v>
      </c>
      <c r="I294" s="114" t="s">
        <v>177</v>
      </c>
      <c r="J294" s="131">
        <v>1</v>
      </c>
      <c r="K294" s="175"/>
      <c r="L294" s="176">
        <f>17.66*2*50.78*1.05</f>
        <v>1883.2270800000001</v>
      </c>
      <c r="M294" s="177"/>
      <c r="N294" s="177"/>
      <c r="O294" s="178"/>
      <c r="P294" s="178"/>
      <c r="Q294" s="177"/>
      <c r="R294" s="177"/>
      <c r="S294" s="179"/>
      <c r="T294" s="102">
        <f>SUM(Finance[[#This Row],[Samer]:[Margins]])</f>
        <v>1883.2270800000001</v>
      </c>
      <c r="U294" s="103">
        <f>ABS(Finance[[#This Row],[Total (EGP)]])</f>
        <v>1883.2270800000001</v>
      </c>
      <c r="V294" s="180"/>
    </row>
    <row r="295" spans="2:22" ht="18" customHeight="1" x14ac:dyDescent="0.3">
      <c r="B295" s="168">
        <v>45778</v>
      </c>
      <c r="C295" s="169">
        <f>YEAR(Finance[[#This Row],[Date]])</f>
        <v>2025</v>
      </c>
      <c r="D295" s="170">
        <f>MONTH(Finance[[#This Row],[Date]])</f>
        <v>5</v>
      </c>
      <c r="E295" s="6" t="s">
        <v>377</v>
      </c>
      <c r="F295" s="6" t="s">
        <v>29</v>
      </c>
      <c r="G295" s="6" t="s">
        <v>95</v>
      </c>
      <c r="H295" s="134" t="s">
        <v>194</v>
      </c>
      <c r="I295" s="135" t="s">
        <v>175</v>
      </c>
      <c r="J295" s="136">
        <v>3</v>
      </c>
      <c r="K295" s="175"/>
      <c r="L295" s="176"/>
      <c r="M295" s="177"/>
      <c r="N295" s="177"/>
      <c r="O295" s="178"/>
      <c r="P295" s="178"/>
      <c r="Q295" s="177"/>
      <c r="R295" s="177">
        <v>150</v>
      </c>
      <c r="S295" s="179"/>
      <c r="T295" s="102">
        <f>SUM(Finance[[#This Row],[Samer]:[Margins]])</f>
        <v>150</v>
      </c>
      <c r="U295" s="103">
        <f>ABS(Finance[[#This Row],[Total (EGP)]])</f>
        <v>150</v>
      </c>
      <c r="V295" s="180"/>
    </row>
    <row r="296" spans="2:22" ht="18" customHeight="1" x14ac:dyDescent="0.3">
      <c r="B296" s="218">
        <v>45778</v>
      </c>
      <c r="C296" s="219">
        <f>YEAR(Finance[[#This Row],[Date]])</f>
        <v>2025</v>
      </c>
      <c r="D296" s="220">
        <f>MONTH(Finance[[#This Row],[Date]])</f>
        <v>5</v>
      </c>
      <c r="E296" s="222" t="s">
        <v>590</v>
      </c>
      <c r="F296" s="39" t="s">
        <v>29</v>
      </c>
      <c r="G296" s="39" t="s">
        <v>108</v>
      </c>
      <c r="H296" s="130" t="s">
        <v>182</v>
      </c>
      <c r="I296" s="114" t="s">
        <v>175</v>
      </c>
      <c r="J296" s="131">
        <v>4</v>
      </c>
      <c r="K296" s="201"/>
      <c r="L296" s="202">
        <f>280*50</f>
        <v>14000</v>
      </c>
      <c r="M296" s="203"/>
      <c r="N296" s="203"/>
      <c r="O296" s="204"/>
      <c r="P296" s="204"/>
      <c r="Q296" s="203"/>
      <c r="R296" s="203"/>
      <c r="S296" s="205"/>
      <c r="T296" s="102">
        <f>SUM(Finance[[#This Row],[Samer]:[Margins]])</f>
        <v>14000</v>
      </c>
      <c r="U296" s="103">
        <f>ABS(Finance[[#This Row],[Total (EGP)]])</f>
        <v>14000</v>
      </c>
      <c r="V296" s="206"/>
    </row>
    <row r="297" spans="2:22" ht="18" customHeight="1" x14ac:dyDescent="0.3">
      <c r="B297" s="168">
        <v>45781</v>
      </c>
      <c r="C297" s="169">
        <f>YEAR(Finance[[#This Row],[Date]])</f>
        <v>2025</v>
      </c>
      <c r="D297" s="170">
        <f>MONTH(Finance[[#This Row],[Date]])</f>
        <v>5</v>
      </c>
      <c r="E297" s="153" t="s">
        <v>295</v>
      </c>
      <c r="F297" s="6" t="s">
        <v>29</v>
      </c>
      <c r="G297" s="6" t="s">
        <v>111</v>
      </c>
      <c r="H297" s="134" t="s">
        <v>296</v>
      </c>
      <c r="I297" s="114" t="s">
        <v>175</v>
      </c>
      <c r="J297" s="136">
        <v>3</v>
      </c>
      <c r="K297" s="143"/>
      <c r="L297" s="144">
        <v>1030.78</v>
      </c>
      <c r="M297" s="177"/>
      <c r="N297" s="177"/>
      <c r="O297" s="178"/>
      <c r="P297" s="178"/>
      <c r="Q297" s="177"/>
      <c r="R297" s="177"/>
      <c r="S297" s="179"/>
      <c r="T297" s="102">
        <f>SUM(Finance[[#This Row],[Samer]:[Margins]])</f>
        <v>1030.78</v>
      </c>
      <c r="U297" s="103">
        <f>ABS(Finance[[#This Row],[Total (EGP)]])</f>
        <v>1030.78</v>
      </c>
      <c r="V297" s="180"/>
    </row>
    <row r="298" spans="2:22" ht="18" customHeight="1" x14ac:dyDescent="0.3">
      <c r="B298" s="168">
        <v>45781</v>
      </c>
      <c r="C298" s="169">
        <f>YEAR(Finance[[#This Row],[Date]])</f>
        <v>2025</v>
      </c>
      <c r="D298" s="170">
        <f>MONTH(Finance[[#This Row],[Date]])</f>
        <v>5</v>
      </c>
      <c r="E298" s="153" t="s">
        <v>262</v>
      </c>
      <c r="F298" s="172" t="s">
        <v>37</v>
      </c>
      <c r="G298" s="172" t="s">
        <v>36</v>
      </c>
      <c r="H298" s="173" t="s">
        <v>206</v>
      </c>
      <c r="I298" s="181" t="s">
        <v>175</v>
      </c>
      <c r="J298" s="174">
        <v>0</v>
      </c>
      <c r="K298" s="175"/>
      <c r="L298" s="176">
        <v>3000</v>
      </c>
      <c r="M298" s="177"/>
      <c r="N298" s="177"/>
      <c r="O298" s="178"/>
      <c r="P298" s="178"/>
      <c r="Q298" s="177"/>
      <c r="R298" s="177"/>
      <c r="S298" s="179">
        <v>-3000</v>
      </c>
      <c r="T298" s="102">
        <f>SUM(Finance[[#This Row],[Samer]:[Margins]])</f>
        <v>0</v>
      </c>
      <c r="U298" s="103">
        <f>ABS(Finance[[#This Row],[Total (EGP)]])</f>
        <v>0</v>
      </c>
      <c r="V298" s="180"/>
    </row>
    <row r="299" spans="2:22" ht="18" customHeight="1" x14ac:dyDescent="0.3">
      <c r="B299" s="168">
        <v>45781</v>
      </c>
      <c r="C299" s="169">
        <f>YEAR(Finance[[#This Row],[Date]])</f>
        <v>2025</v>
      </c>
      <c r="D299" s="170">
        <f>MONTH(Finance[[#This Row],[Date]])</f>
        <v>5</v>
      </c>
      <c r="E299" s="153" t="s">
        <v>437</v>
      </c>
      <c r="F299" s="183" t="s">
        <v>29</v>
      </c>
      <c r="G299" s="183" t="s">
        <v>57</v>
      </c>
      <c r="H299" s="184" t="s">
        <v>142</v>
      </c>
      <c r="I299" s="185" t="s">
        <v>175</v>
      </c>
      <c r="J299" s="186">
        <v>3</v>
      </c>
      <c r="K299" s="175"/>
      <c r="L299" s="176"/>
      <c r="M299" s="177"/>
      <c r="N299" s="177"/>
      <c r="O299" s="178"/>
      <c r="P299" s="178"/>
      <c r="Q299" s="177"/>
      <c r="R299" s="177"/>
      <c r="S299" s="179">
        <v>3000</v>
      </c>
      <c r="T299" s="102">
        <f>SUM(Finance[[#This Row],[Samer]:[Margins]])</f>
        <v>3000</v>
      </c>
      <c r="U299" s="103">
        <f>ABS(Finance[[#This Row],[Total (EGP)]])</f>
        <v>3000</v>
      </c>
      <c r="V299" s="180"/>
    </row>
    <row r="300" spans="2:22" ht="18" customHeight="1" x14ac:dyDescent="0.3">
      <c r="B300" s="168">
        <v>45781</v>
      </c>
      <c r="C300" s="169">
        <f>YEAR(Finance[[#This Row],[Date]])</f>
        <v>2025</v>
      </c>
      <c r="D300" s="170">
        <f>MONTH(Finance[[#This Row],[Date]])</f>
        <v>5</v>
      </c>
      <c r="E300" s="19" t="s">
        <v>438</v>
      </c>
      <c r="F300" s="6" t="s">
        <v>73</v>
      </c>
      <c r="G300" s="6" t="s">
        <v>75</v>
      </c>
      <c r="H300" s="134" t="s">
        <v>234</v>
      </c>
      <c r="I300" s="135" t="s">
        <v>185</v>
      </c>
      <c r="J300" s="136">
        <v>4</v>
      </c>
      <c r="K300" s="175"/>
      <c r="L300" s="176"/>
      <c r="M300" s="177"/>
      <c r="N300" s="177"/>
      <c r="O300" s="178"/>
      <c r="P300" s="178"/>
      <c r="Q300" s="177"/>
      <c r="R300" s="177">
        <v>-35842.9</v>
      </c>
      <c r="S300" s="179"/>
      <c r="T300" s="102">
        <f>SUM(Finance[[#This Row],[Samer]:[Margins]])</f>
        <v>-35842.9</v>
      </c>
      <c r="U300" s="103">
        <f>ABS(Finance[[#This Row],[Total (EGP)]])</f>
        <v>35842.9</v>
      </c>
      <c r="V300" s="180"/>
    </row>
    <row r="301" spans="2:22" ht="18" customHeight="1" x14ac:dyDescent="0.3">
      <c r="B301" s="168">
        <v>45781</v>
      </c>
      <c r="C301" s="169">
        <f>YEAR(Finance[[#This Row],[Date]])</f>
        <v>2025</v>
      </c>
      <c r="D301" s="170">
        <f>MONTH(Finance[[#This Row],[Date]])</f>
        <v>5</v>
      </c>
      <c r="E301" s="19" t="s">
        <v>270</v>
      </c>
      <c r="F301" s="6" t="s">
        <v>73</v>
      </c>
      <c r="G301" s="6" t="s">
        <v>75</v>
      </c>
      <c r="H301" s="134" t="s">
        <v>90</v>
      </c>
      <c r="I301" s="135" t="s">
        <v>185</v>
      </c>
      <c r="J301" s="136">
        <v>4</v>
      </c>
      <c r="K301" s="175"/>
      <c r="L301" s="176"/>
      <c r="M301" s="177"/>
      <c r="N301" s="177"/>
      <c r="O301" s="178"/>
      <c r="P301" s="178"/>
      <c r="Q301" s="177"/>
      <c r="R301" s="177">
        <f>-35842.9*0.14</f>
        <v>-5018.0060000000003</v>
      </c>
      <c r="S301" s="179"/>
      <c r="T301" s="102">
        <f>SUM(Finance[[#This Row],[Samer]:[Margins]])</f>
        <v>-5018.0060000000003</v>
      </c>
      <c r="U301" s="103">
        <f>ABS(Finance[[#This Row],[Total (EGP)]])</f>
        <v>5018.0060000000003</v>
      </c>
      <c r="V301" s="180"/>
    </row>
    <row r="302" spans="2:22" ht="18" customHeight="1" x14ac:dyDescent="0.3">
      <c r="B302" s="168">
        <v>45781</v>
      </c>
      <c r="C302" s="169">
        <f>YEAR(Finance[[#This Row],[Date]])</f>
        <v>2025</v>
      </c>
      <c r="D302" s="170">
        <f>MONTH(Finance[[#This Row],[Date]])</f>
        <v>5</v>
      </c>
      <c r="E302" s="19" t="s">
        <v>271</v>
      </c>
      <c r="F302" s="6" t="s">
        <v>84</v>
      </c>
      <c r="G302" s="6" t="s">
        <v>86</v>
      </c>
      <c r="H302" s="134" t="s">
        <v>234</v>
      </c>
      <c r="I302" s="135" t="s">
        <v>185</v>
      </c>
      <c r="J302" s="136">
        <v>4</v>
      </c>
      <c r="K302" s="175"/>
      <c r="L302" s="176"/>
      <c r="M302" s="177"/>
      <c r="N302" s="177"/>
      <c r="O302" s="178"/>
      <c r="P302" s="178"/>
      <c r="Q302" s="177"/>
      <c r="R302" s="177">
        <f>35842.9*0.03</f>
        <v>1075.287</v>
      </c>
      <c r="S302" s="179"/>
      <c r="T302" s="102">
        <f>SUM(Finance[[#This Row],[Samer]:[Margins]])</f>
        <v>1075.287</v>
      </c>
      <c r="U302" s="103">
        <f>ABS(Finance[[#This Row],[Total (EGP)]])</f>
        <v>1075.287</v>
      </c>
      <c r="V302" s="180"/>
    </row>
    <row r="303" spans="2:22" ht="18" customHeight="1" x14ac:dyDescent="0.3">
      <c r="B303" s="168">
        <v>45781</v>
      </c>
      <c r="C303" s="169">
        <f>YEAR(Finance[[#This Row],[Date]])</f>
        <v>2025</v>
      </c>
      <c r="D303" s="170">
        <f>MONTH(Finance[[#This Row],[Date]])</f>
        <v>5</v>
      </c>
      <c r="E303" s="19" t="s">
        <v>439</v>
      </c>
      <c r="F303" s="6" t="s">
        <v>73</v>
      </c>
      <c r="G303" s="6" t="s">
        <v>272</v>
      </c>
      <c r="H303" s="134" t="s">
        <v>234</v>
      </c>
      <c r="I303" s="135" t="s">
        <v>185</v>
      </c>
      <c r="J303" s="136">
        <v>5</v>
      </c>
      <c r="K303" s="175"/>
      <c r="L303" s="176"/>
      <c r="M303" s="177"/>
      <c r="N303" s="177"/>
      <c r="O303" s="178"/>
      <c r="P303" s="178"/>
      <c r="Q303" s="177"/>
      <c r="R303" s="177">
        <v>-4875</v>
      </c>
      <c r="S303" s="179"/>
      <c r="T303" s="102">
        <f>SUM(Finance[[#This Row],[Samer]:[Margins]])</f>
        <v>-4875</v>
      </c>
      <c r="U303" s="103">
        <f>ABS(Finance[[#This Row],[Total (EGP)]])</f>
        <v>4875</v>
      </c>
      <c r="V303" s="180"/>
    </row>
    <row r="304" spans="2:22" ht="18" customHeight="1" x14ac:dyDescent="0.3">
      <c r="B304" s="168">
        <v>45781</v>
      </c>
      <c r="C304" s="169">
        <f>YEAR(Finance[[#This Row],[Date]])</f>
        <v>2025</v>
      </c>
      <c r="D304" s="170">
        <f>MONTH(Finance[[#This Row],[Date]])</f>
        <v>5</v>
      </c>
      <c r="E304" s="19" t="s">
        <v>273</v>
      </c>
      <c r="F304" s="6" t="s">
        <v>73</v>
      </c>
      <c r="G304" s="6" t="s">
        <v>272</v>
      </c>
      <c r="H304" s="134" t="s">
        <v>90</v>
      </c>
      <c r="I304" s="135" t="s">
        <v>185</v>
      </c>
      <c r="J304" s="136">
        <v>5</v>
      </c>
      <c r="K304" s="175"/>
      <c r="L304" s="176"/>
      <c r="M304" s="177"/>
      <c r="N304" s="177"/>
      <c r="O304" s="178"/>
      <c r="P304" s="178"/>
      <c r="Q304" s="177"/>
      <c r="R304" s="177">
        <f>-4875*0.14</f>
        <v>-682.50000000000011</v>
      </c>
      <c r="S304" s="179"/>
      <c r="T304" s="102">
        <f>SUM(Finance[[#This Row],[Samer]:[Margins]])</f>
        <v>-682.50000000000011</v>
      </c>
      <c r="U304" s="103">
        <f>ABS(Finance[[#This Row],[Total (EGP)]])</f>
        <v>682.50000000000011</v>
      </c>
      <c r="V304" s="180"/>
    </row>
    <row r="305" spans="2:24" ht="18" customHeight="1" x14ac:dyDescent="0.3">
      <c r="B305" s="168">
        <v>45781</v>
      </c>
      <c r="C305" s="169">
        <f>YEAR(Finance[[#This Row],[Date]])</f>
        <v>2025</v>
      </c>
      <c r="D305" s="170">
        <f>MONTH(Finance[[#This Row],[Date]])</f>
        <v>5</v>
      </c>
      <c r="E305" s="19" t="s">
        <v>274</v>
      </c>
      <c r="F305" s="6" t="s">
        <v>84</v>
      </c>
      <c r="G305" s="6" t="s">
        <v>86</v>
      </c>
      <c r="H305" s="134" t="s">
        <v>234</v>
      </c>
      <c r="I305" s="135" t="s">
        <v>185</v>
      </c>
      <c r="J305" s="136">
        <v>5</v>
      </c>
      <c r="K305" s="175"/>
      <c r="L305" s="176"/>
      <c r="M305" s="177"/>
      <c r="N305" s="177"/>
      <c r="O305" s="178"/>
      <c r="P305" s="178"/>
      <c r="Q305" s="177"/>
      <c r="R305" s="177">
        <f>4875*0.03</f>
        <v>146.25</v>
      </c>
      <c r="S305" s="179"/>
      <c r="T305" s="102">
        <f>SUM(Finance[[#This Row],[Samer]:[Margins]])</f>
        <v>146.25</v>
      </c>
      <c r="U305" s="103">
        <f>ABS(Finance[[#This Row],[Total (EGP)]])</f>
        <v>146.25</v>
      </c>
      <c r="V305" s="180"/>
    </row>
    <row r="306" spans="2:24" ht="18" customHeight="1" x14ac:dyDescent="0.3">
      <c r="B306" s="168">
        <v>45781</v>
      </c>
      <c r="C306" s="169">
        <f>YEAR(Finance[[#This Row],[Date]])</f>
        <v>2025</v>
      </c>
      <c r="D306" s="170">
        <f>MONTH(Finance[[#This Row],[Date]])</f>
        <v>5</v>
      </c>
      <c r="E306" s="6" t="s">
        <v>275</v>
      </c>
      <c r="F306" s="6" t="s">
        <v>29</v>
      </c>
      <c r="G306" s="6" t="s">
        <v>95</v>
      </c>
      <c r="H306" s="48" t="s">
        <v>276</v>
      </c>
      <c r="I306" s="135" t="s">
        <v>185</v>
      </c>
      <c r="J306" s="136">
        <v>3</v>
      </c>
      <c r="K306" s="175"/>
      <c r="L306" s="176"/>
      <c r="M306" s="177"/>
      <c r="N306" s="177"/>
      <c r="O306" s="178"/>
      <c r="P306" s="178"/>
      <c r="Q306" s="177"/>
      <c r="R306" s="177">
        <v>25</v>
      </c>
      <c r="S306" s="179"/>
      <c r="T306" s="102">
        <f>SUM(Finance[[#This Row],[Samer]:[Margins]])</f>
        <v>25</v>
      </c>
      <c r="U306" s="103">
        <f>ABS(Finance[[#This Row],[Total (EGP)]])</f>
        <v>25</v>
      </c>
      <c r="V306" s="180"/>
    </row>
    <row r="307" spans="2:24" ht="18" customHeight="1" x14ac:dyDescent="0.3">
      <c r="B307" s="187">
        <v>45781</v>
      </c>
      <c r="C307" s="199">
        <f>YEAR(Finance[[#This Row],[Date]])</f>
        <v>2025</v>
      </c>
      <c r="D307" s="200">
        <f>MONTH(Finance[[#This Row],[Date]])</f>
        <v>5</v>
      </c>
      <c r="E307" s="39" t="s">
        <v>436</v>
      </c>
      <c r="F307" s="6" t="s">
        <v>29</v>
      </c>
      <c r="G307" s="6" t="s">
        <v>111</v>
      </c>
      <c r="H307" s="134" t="s">
        <v>259</v>
      </c>
      <c r="I307" s="135" t="s">
        <v>175</v>
      </c>
      <c r="J307" s="136">
        <v>3</v>
      </c>
      <c r="K307" s="193"/>
      <c r="L307" s="194"/>
      <c r="M307" s="195"/>
      <c r="N307" s="195"/>
      <c r="O307" s="196"/>
      <c r="P307" s="196"/>
      <c r="Q307" s="195"/>
      <c r="R307" s="195"/>
      <c r="S307" s="197">
        <v>20</v>
      </c>
      <c r="T307" s="102">
        <f>SUM(Finance[[#This Row],[Samer]:[Margins]])</f>
        <v>20</v>
      </c>
      <c r="U307" s="103">
        <f>ABS(Finance[[#This Row],[Total (EGP)]])</f>
        <v>20</v>
      </c>
      <c r="V307" s="198"/>
    </row>
    <row r="308" spans="2:24" ht="18" customHeight="1" x14ac:dyDescent="0.3">
      <c r="B308" s="168">
        <v>45782</v>
      </c>
      <c r="C308" s="169">
        <f>YEAR(Finance[[#This Row],[Date]])</f>
        <v>2025</v>
      </c>
      <c r="D308" s="170">
        <f>MONTH(Finance[[#This Row],[Date]])</f>
        <v>5</v>
      </c>
      <c r="E308" s="6" t="s">
        <v>452</v>
      </c>
      <c r="F308" s="6" t="s">
        <v>73</v>
      </c>
      <c r="G308" s="6" t="s">
        <v>93</v>
      </c>
      <c r="H308" s="134" t="s">
        <v>199</v>
      </c>
      <c r="I308" s="181" t="s">
        <v>447</v>
      </c>
      <c r="J308" s="174">
        <v>4</v>
      </c>
      <c r="K308" s="175"/>
      <c r="L308" s="176"/>
      <c r="M308" s="177"/>
      <c r="N308" s="177"/>
      <c r="O308" s="178"/>
      <c r="P308" s="178"/>
      <c r="Q308" s="177"/>
      <c r="R308" s="177">
        <v>-18132</v>
      </c>
      <c r="S308" s="179"/>
      <c r="T308" s="102">
        <f>SUM(Finance[[#This Row],[Samer]:[Margins]])</f>
        <v>-18132</v>
      </c>
      <c r="U308" s="103">
        <f>ABS(Finance[[#This Row],[Total (EGP)]])</f>
        <v>18132</v>
      </c>
      <c r="V308" s="180"/>
    </row>
    <row r="309" spans="2:24" ht="18" customHeight="1" x14ac:dyDescent="0.3">
      <c r="B309" s="168">
        <v>45782</v>
      </c>
      <c r="C309" s="169">
        <f>YEAR(Finance[[#This Row],[Date]])</f>
        <v>2025</v>
      </c>
      <c r="D309" s="170">
        <f>MONTH(Finance[[#This Row],[Date]])</f>
        <v>5</v>
      </c>
      <c r="E309" s="6" t="s">
        <v>453</v>
      </c>
      <c r="F309" s="6" t="s">
        <v>73</v>
      </c>
      <c r="G309" s="6" t="s">
        <v>93</v>
      </c>
      <c r="H309" s="134" t="s">
        <v>90</v>
      </c>
      <c r="I309" s="181" t="s">
        <v>447</v>
      </c>
      <c r="J309" s="174">
        <v>4</v>
      </c>
      <c r="K309" s="175"/>
      <c r="L309" s="176"/>
      <c r="M309" s="177"/>
      <c r="N309" s="177"/>
      <c r="O309" s="178"/>
      <c r="P309" s="178"/>
      <c r="Q309" s="177"/>
      <c r="R309" s="177">
        <f>-18132*0.14</f>
        <v>-2538.48</v>
      </c>
      <c r="S309" s="179"/>
      <c r="T309" s="102">
        <f>SUM(Finance[[#This Row],[Samer]:[Margins]])</f>
        <v>-2538.48</v>
      </c>
      <c r="U309" s="103">
        <f>ABS(Finance[[#This Row],[Total (EGP)]])</f>
        <v>2538.48</v>
      </c>
      <c r="V309" s="180"/>
    </row>
    <row r="310" spans="2:24" ht="18" customHeight="1" x14ac:dyDescent="0.3">
      <c r="B310" s="168">
        <v>45782</v>
      </c>
      <c r="C310" s="169">
        <f>YEAR(Finance[[#This Row],[Date]])</f>
        <v>2025</v>
      </c>
      <c r="D310" s="172">
        <f>MONTH(Finance[[#This Row],[Date]])</f>
        <v>5</v>
      </c>
      <c r="E310" s="6" t="s">
        <v>454</v>
      </c>
      <c r="F310" s="6" t="s">
        <v>84</v>
      </c>
      <c r="G310" s="6" t="s">
        <v>86</v>
      </c>
      <c r="H310" s="134" t="s">
        <v>199</v>
      </c>
      <c r="I310" s="181" t="s">
        <v>447</v>
      </c>
      <c r="J310" s="174">
        <v>4</v>
      </c>
      <c r="K310" s="175"/>
      <c r="L310" s="176"/>
      <c r="M310" s="177"/>
      <c r="N310" s="177"/>
      <c r="O310" s="178"/>
      <c r="P310" s="178"/>
      <c r="Q310" s="177"/>
      <c r="R310" s="177">
        <f>18132*0.03</f>
        <v>543.96</v>
      </c>
      <c r="S310" s="179"/>
      <c r="T310" s="102">
        <f>SUM(Finance[[#This Row],[Samer]:[Margins]])</f>
        <v>543.96</v>
      </c>
      <c r="U310" s="103">
        <f>ABS(Finance[[#This Row],[Total (EGP)]])</f>
        <v>543.96</v>
      </c>
      <c r="V310" s="180"/>
    </row>
    <row r="311" spans="2:24" ht="18" customHeight="1" x14ac:dyDescent="0.3">
      <c r="B311" s="187">
        <v>45782</v>
      </c>
      <c r="C311" s="169">
        <f>YEAR(Finance[[#This Row],[Date]])</f>
        <v>2025</v>
      </c>
      <c r="D311" s="200">
        <f>MONTH(Finance[[#This Row],[Date]])</f>
        <v>5</v>
      </c>
      <c r="E311" s="6" t="s">
        <v>167</v>
      </c>
      <c r="F311" s="6" t="s">
        <v>29</v>
      </c>
      <c r="G311" s="6" t="s">
        <v>55</v>
      </c>
      <c r="H311" s="134" t="s">
        <v>258</v>
      </c>
      <c r="I311" s="135" t="s">
        <v>175</v>
      </c>
      <c r="J311" s="136">
        <v>3</v>
      </c>
      <c r="K311" s="193"/>
      <c r="L311" s="194"/>
      <c r="M311" s="195"/>
      <c r="N311" s="195"/>
      <c r="O311" s="196"/>
      <c r="P311" s="196"/>
      <c r="Q311" s="195"/>
      <c r="R311" s="195"/>
      <c r="S311" s="197">
        <v>115</v>
      </c>
      <c r="T311" s="102">
        <f>SUM(Finance[[#This Row],[Samer]:[Margins]])</f>
        <v>115</v>
      </c>
      <c r="U311" s="103">
        <f>ABS(Finance[[#This Row],[Total (EGP)]])</f>
        <v>115</v>
      </c>
      <c r="V311" s="198"/>
    </row>
    <row r="312" spans="2:24" ht="18" customHeight="1" x14ac:dyDescent="0.3">
      <c r="B312" s="207">
        <v>45784</v>
      </c>
      <c r="C312" s="169">
        <f>YEAR(Finance[[#This Row],[Date]])</f>
        <v>2025</v>
      </c>
      <c r="D312" s="208">
        <f>MONTH(Finance[[#This Row],[Date]])</f>
        <v>5</v>
      </c>
      <c r="E312" s="209" t="s">
        <v>460</v>
      </c>
      <c r="F312" s="208" t="s">
        <v>73</v>
      </c>
      <c r="G312" s="208" t="s">
        <v>93</v>
      </c>
      <c r="H312" s="210" t="s">
        <v>199</v>
      </c>
      <c r="I312" s="211" t="s">
        <v>459</v>
      </c>
      <c r="J312" s="212">
        <v>4</v>
      </c>
      <c r="K312" s="213"/>
      <c r="L312" s="214"/>
      <c r="M312" s="215"/>
      <c r="N312" s="215"/>
      <c r="O312" s="216"/>
      <c r="P312" s="216"/>
      <c r="Q312" s="215"/>
      <c r="R312" s="215"/>
      <c r="S312" s="217">
        <f>-2900*50.47-5000*49.59036</f>
        <v>-394314.8</v>
      </c>
      <c r="T312" s="102">
        <f>SUM(Finance[[#This Row],[Samer]:[Margins]])</f>
        <v>-394314.8</v>
      </c>
      <c r="U312" s="103">
        <f>ABS(Finance[[#This Row],[Total (EGP)]])</f>
        <v>394314.8</v>
      </c>
      <c r="V312" s="226" t="s">
        <v>585</v>
      </c>
      <c r="W312" s="17" t="s">
        <v>588</v>
      </c>
      <c r="X312" s="17"/>
    </row>
    <row r="313" spans="2:24" ht="18" customHeight="1" x14ac:dyDescent="0.3">
      <c r="B313" s="168">
        <v>45784</v>
      </c>
      <c r="C313" s="169">
        <f>YEAR(Finance[[#This Row],[Date]])</f>
        <v>2025</v>
      </c>
      <c r="D313" s="170">
        <f>MONTH(Finance[[#This Row],[Date]])</f>
        <v>5</v>
      </c>
      <c r="E313" s="158" t="s">
        <v>319</v>
      </c>
      <c r="F313" s="39" t="s">
        <v>27</v>
      </c>
      <c r="G313" s="39" t="s">
        <v>50</v>
      </c>
      <c r="H313" s="39" t="s">
        <v>50</v>
      </c>
      <c r="I313" s="114" t="s">
        <v>175</v>
      </c>
      <c r="J313" s="131">
        <v>2</v>
      </c>
      <c r="K313" s="162"/>
      <c r="L313" s="163">
        <v>4200</v>
      </c>
      <c r="M313" s="177"/>
      <c r="N313" s="177"/>
      <c r="O313" s="178"/>
      <c r="P313" s="178"/>
      <c r="Q313" s="177"/>
      <c r="R313" s="177"/>
      <c r="S313" s="179"/>
      <c r="T313" s="102">
        <f>SUM(Finance[[#This Row],[Samer]:[Margins]])</f>
        <v>4200</v>
      </c>
      <c r="U313" s="103">
        <f>ABS(Finance[[#This Row],[Total (EGP)]])</f>
        <v>4200</v>
      </c>
      <c r="V313" s="180"/>
    </row>
    <row r="314" spans="2:24" ht="18" customHeight="1" x14ac:dyDescent="0.3">
      <c r="B314" s="168">
        <v>45785</v>
      </c>
      <c r="C314" s="169">
        <f>YEAR(Finance[[#This Row],[Date]])</f>
        <v>2025</v>
      </c>
      <c r="D314" s="170">
        <f>MONTH(Finance[[#This Row],[Date]])</f>
        <v>5</v>
      </c>
      <c r="E314" s="6" t="s">
        <v>465</v>
      </c>
      <c r="F314" s="6" t="s">
        <v>29</v>
      </c>
      <c r="G314" s="6" t="s">
        <v>108</v>
      </c>
      <c r="H314" s="134" t="s">
        <v>182</v>
      </c>
      <c r="I314" s="135" t="s">
        <v>175</v>
      </c>
      <c r="J314" s="136">
        <v>1</v>
      </c>
      <c r="K314" s="31"/>
      <c r="L314" s="132">
        <v>599</v>
      </c>
      <c r="M314" s="177"/>
      <c r="N314" s="177"/>
      <c r="O314" s="178"/>
      <c r="P314" s="178"/>
      <c r="Q314" s="177"/>
      <c r="R314" s="177"/>
      <c r="S314" s="179"/>
      <c r="T314" s="102">
        <f>SUM(Finance[[#This Row],[Samer]:[Margins]])</f>
        <v>599</v>
      </c>
      <c r="U314" s="103">
        <f>ABS(Finance[[#This Row],[Total (EGP)]])</f>
        <v>599</v>
      </c>
      <c r="V314" s="180"/>
    </row>
    <row r="315" spans="2:24" ht="18" customHeight="1" x14ac:dyDescent="0.3">
      <c r="B315" s="168">
        <v>45787</v>
      </c>
      <c r="C315" s="169">
        <f>YEAR(Finance[[#This Row],[Date]])</f>
        <v>2025</v>
      </c>
      <c r="D315" s="170">
        <f>MONTH(Finance[[#This Row],[Date]])</f>
        <v>5</v>
      </c>
      <c r="E315" s="39" t="s">
        <v>466</v>
      </c>
      <c r="F315" s="39" t="s">
        <v>30</v>
      </c>
      <c r="G315" s="6" t="s">
        <v>127</v>
      </c>
      <c r="H315" s="48" t="s">
        <v>176</v>
      </c>
      <c r="I315" s="135" t="s">
        <v>184</v>
      </c>
      <c r="J315" s="136">
        <v>4</v>
      </c>
      <c r="K315" s="136"/>
      <c r="L315" s="132">
        <f>78.28*50.64*1.25</f>
        <v>4955.1239999999998</v>
      </c>
      <c r="M315" s="177"/>
      <c r="N315" s="177"/>
      <c r="O315" s="178"/>
      <c r="P315" s="178"/>
      <c r="Q315" s="177"/>
      <c r="R315" s="177"/>
      <c r="S315" s="179"/>
      <c r="T315" s="102">
        <f>SUM(Finance[[#This Row],[Samer]:[Margins]])</f>
        <v>4955.1239999999998</v>
      </c>
      <c r="U315" s="103">
        <f>ABS(Finance[[#This Row],[Total (EGP)]])</f>
        <v>4955.1239999999998</v>
      </c>
      <c r="V315" s="180"/>
    </row>
    <row r="316" spans="2:24" ht="18" customHeight="1" x14ac:dyDescent="0.3">
      <c r="B316" s="168">
        <v>45787</v>
      </c>
      <c r="C316" s="169">
        <f>YEAR(Finance[[#This Row],[Date]])</f>
        <v>2025</v>
      </c>
      <c r="D316" s="170">
        <f>MONTH(Finance[[#This Row],[Date]])</f>
        <v>5</v>
      </c>
      <c r="E316" s="6" t="s">
        <v>462</v>
      </c>
      <c r="F316" s="39" t="s">
        <v>30</v>
      </c>
      <c r="G316" s="39" t="s">
        <v>127</v>
      </c>
      <c r="H316" s="48" t="s">
        <v>176</v>
      </c>
      <c r="I316" s="135" t="s">
        <v>185</v>
      </c>
      <c r="J316" s="136">
        <v>4</v>
      </c>
      <c r="K316" s="31"/>
      <c r="L316" s="132">
        <f>153*50.64*1.25</f>
        <v>9684.9</v>
      </c>
      <c r="M316" s="177"/>
      <c r="N316" s="177"/>
      <c r="O316" s="178"/>
      <c r="P316" s="178"/>
      <c r="Q316" s="177"/>
      <c r="R316" s="177"/>
      <c r="S316" s="179"/>
      <c r="T316" s="102">
        <f>SUM(Finance[[#This Row],[Samer]:[Margins]])</f>
        <v>9684.9</v>
      </c>
      <c r="U316" s="103">
        <f>ABS(Finance[[#This Row],[Total (EGP)]])</f>
        <v>9684.9</v>
      </c>
      <c r="V316" s="180"/>
    </row>
    <row r="317" spans="2:24" ht="18" customHeight="1" x14ac:dyDescent="0.3">
      <c r="B317" s="168">
        <v>45788</v>
      </c>
      <c r="C317" s="169">
        <f>YEAR(Finance[[#This Row],[Date]])</f>
        <v>2025</v>
      </c>
      <c r="D317" s="170">
        <f>MONTH(Finance[[#This Row],[Date]])</f>
        <v>5</v>
      </c>
      <c r="E317" s="171" t="s">
        <v>262</v>
      </c>
      <c r="F317" s="172" t="s">
        <v>37</v>
      </c>
      <c r="G317" s="172" t="s">
        <v>36</v>
      </c>
      <c r="H317" s="173" t="s">
        <v>206</v>
      </c>
      <c r="I317" s="181" t="s">
        <v>175</v>
      </c>
      <c r="J317" s="174">
        <v>0</v>
      </c>
      <c r="K317" s="175"/>
      <c r="L317" s="176">
        <v>4000</v>
      </c>
      <c r="M317" s="177"/>
      <c r="N317" s="177"/>
      <c r="O317" s="178"/>
      <c r="P317" s="178"/>
      <c r="Q317" s="177"/>
      <c r="R317" s="177"/>
      <c r="S317" s="179">
        <v>-4000</v>
      </c>
      <c r="T317" s="102">
        <f>SUM(Finance[[#This Row],[Samer]:[Margins]])</f>
        <v>0</v>
      </c>
      <c r="U317" s="103">
        <f>ABS(Finance[[#This Row],[Total (EGP)]])</f>
        <v>0</v>
      </c>
      <c r="V317" s="180"/>
    </row>
    <row r="318" spans="2:24" ht="18" customHeight="1" x14ac:dyDescent="0.3">
      <c r="B318" s="168">
        <v>45788</v>
      </c>
      <c r="C318" s="169">
        <f>YEAR(Finance[[#This Row],[Date]])</f>
        <v>2025</v>
      </c>
      <c r="D318" s="170">
        <f>MONTH(Finance[[#This Row],[Date]])</f>
        <v>5</v>
      </c>
      <c r="E318" s="6" t="s">
        <v>463</v>
      </c>
      <c r="F318" s="6" t="s">
        <v>29</v>
      </c>
      <c r="G318" s="6" t="s">
        <v>108</v>
      </c>
      <c r="H318" s="134" t="s">
        <v>182</v>
      </c>
      <c r="I318" s="114" t="s">
        <v>175</v>
      </c>
      <c r="J318" s="136">
        <v>4</v>
      </c>
      <c r="K318" s="31"/>
      <c r="L318" s="132">
        <v>1761.0810000000001</v>
      </c>
      <c r="M318" s="177"/>
      <c r="N318" s="177"/>
      <c r="O318" s="178"/>
      <c r="P318" s="178"/>
      <c r="Q318" s="177"/>
      <c r="R318" s="177"/>
      <c r="S318" s="179"/>
      <c r="T318" s="102">
        <f>SUM(Finance[[#This Row],[Samer]:[Margins]])</f>
        <v>1761.0810000000001</v>
      </c>
      <c r="U318" s="103">
        <f>ABS(Finance[[#This Row],[Total (EGP)]])</f>
        <v>1761.0810000000001</v>
      </c>
      <c r="V318" s="180"/>
    </row>
    <row r="319" spans="2:24" ht="18" customHeight="1" x14ac:dyDescent="0.3">
      <c r="B319" s="168">
        <v>45788</v>
      </c>
      <c r="C319" s="169">
        <f>YEAR(Finance[[#This Row],[Date]])</f>
        <v>2025</v>
      </c>
      <c r="D319" s="170">
        <f>MONTH(Finance[[#This Row],[Date]])</f>
        <v>5</v>
      </c>
      <c r="E319" s="39" t="s">
        <v>464</v>
      </c>
      <c r="F319" s="39" t="s">
        <v>29</v>
      </c>
      <c r="G319" s="39" t="s">
        <v>108</v>
      </c>
      <c r="H319" s="130" t="s">
        <v>182</v>
      </c>
      <c r="I319" s="114" t="s">
        <v>175</v>
      </c>
      <c r="J319" s="131">
        <v>4</v>
      </c>
      <c r="K319" s="137"/>
      <c r="L319" s="138">
        <v>699.98689999999999</v>
      </c>
      <c r="M319" s="177"/>
      <c r="N319" s="177"/>
      <c r="O319" s="178"/>
      <c r="P319" s="178"/>
      <c r="Q319" s="177"/>
      <c r="R319" s="177"/>
      <c r="S319" s="179"/>
      <c r="T319" s="102">
        <f>SUM(Finance[[#This Row],[Samer]:[Margins]])</f>
        <v>699.98689999999999</v>
      </c>
      <c r="U319" s="103">
        <f>ABS(Finance[[#This Row],[Total (EGP)]])</f>
        <v>699.98689999999999</v>
      </c>
      <c r="V319" s="180"/>
    </row>
    <row r="320" spans="2:24" ht="18" customHeight="1" x14ac:dyDescent="0.3">
      <c r="B320" s="168">
        <v>45789</v>
      </c>
      <c r="C320" s="169">
        <f>YEAR(Finance[[#This Row],[Date]])</f>
        <v>2025</v>
      </c>
      <c r="D320" s="170">
        <f>MONTH(Finance[[#This Row],[Date]])</f>
        <v>5</v>
      </c>
      <c r="E320" s="19" t="s">
        <v>467</v>
      </c>
      <c r="F320" s="6" t="s">
        <v>29</v>
      </c>
      <c r="G320" s="6" t="s">
        <v>108</v>
      </c>
      <c r="H320" s="134" t="s">
        <v>182</v>
      </c>
      <c r="I320" s="114" t="s">
        <v>175</v>
      </c>
      <c r="J320" s="136">
        <v>1</v>
      </c>
      <c r="K320" s="31"/>
      <c r="L320" s="132">
        <f>342.9*50.57*1.05</f>
        <v>18207.475649999997</v>
      </c>
      <c r="M320" s="177"/>
      <c r="N320" s="177"/>
      <c r="O320" s="178"/>
      <c r="P320" s="178"/>
      <c r="Q320" s="177"/>
      <c r="R320" s="177"/>
      <c r="S320" s="179"/>
      <c r="T320" s="102">
        <f>SUM(Finance[[#This Row],[Samer]:[Margins]])</f>
        <v>18207.475649999997</v>
      </c>
      <c r="U320" s="103">
        <f>ABS(Finance[[#This Row],[Total (EGP)]])</f>
        <v>18207.475649999997</v>
      </c>
      <c r="V320" s="180"/>
    </row>
    <row r="321" spans="2:22" ht="18" customHeight="1" x14ac:dyDescent="0.3">
      <c r="B321" s="168">
        <v>45789</v>
      </c>
      <c r="C321" s="169">
        <f>YEAR(Finance[[#This Row],[Date]])</f>
        <v>2025</v>
      </c>
      <c r="D321" s="170">
        <f>MONTH(Finance[[#This Row],[Date]])</f>
        <v>5</v>
      </c>
      <c r="E321" s="6" t="s">
        <v>193</v>
      </c>
      <c r="F321" s="6" t="s">
        <v>29</v>
      </c>
      <c r="G321" s="6" t="s">
        <v>95</v>
      </c>
      <c r="H321" s="134" t="s">
        <v>194</v>
      </c>
      <c r="I321" s="135" t="s">
        <v>175</v>
      </c>
      <c r="J321" s="136">
        <v>3</v>
      </c>
      <c r="K321" s="31"/>
      <c r="L321" s="132"/>
      <c r="M321" s="177"/>
      <c r="N321" s="177"/>
      <c r="O321" s="178"/>
      <c r="P321" s="178"/>
      <c r="Q321" s="177"/>
      <c r="R321" s="177">
        <v>150</v>
      </c>
      <c r="S321" s="179"/>
      <c r="T321" s="102">
        <f>SUM(Finance[[#This Row],[Samer]:[Margins]])</f>
        <v>150</v>
      </c>
      <c r="U321" s="103">
        <f>ABS(Finance[[#This Row],[Total (EGP)]])</f>
        <v>150</v>
      </c>
      <c r="V321" s="180"/>
    </row>
    <row r="322" spans="2:22" ht="18" customHeight="1" x14ac:dyDescent="0.3">
      <c r="B322" s="168">
        <v>45791</v>
      </c>
      <c r="C322" s="169">
        <f>YEAR(Finance[[#This Row],[Date]])</f>
        <v>2025</v>
      </c>
      <c r="D322" s="170">
        <f>MONTH(Finance[[#This Row],[Date]])</f>
        <v>5</v>
      </c>
      <c r="E322" s="6" t="s">
        <v>9</v>
      </c>
      <c r="F322" s="6" t="s">
        <v>30</v>
      </c>
      <c r="G322" s="6" t="s">
        <v>145</v>
      </c>
      <c r="H322" s="134" t="s">
        <v>190</v>
      </c>
      <c r="I322" s="135" t="s">
        <v>175</v>
      </c>
      <c r="J322" s="136">
        <v>4</v>
      </c>
      <c r="K322" s="175"/>
      <c r="L322" s="176">
        <v>1119.6099999999999</v>
      </c>
      <c r="M322" s="177"/>
      <c r="N322" s="177"/>
      <c r="O322" s="178"/>
      <c r="P322" s="178"/>
      <c r="Q322" s="177"/>
      <c r="R322" s="177"/>
      <c r="S322" s="179"/>
      <c r="T322" s="102">
        <f>SUM(Finance[[#This Row],[Samer]:[Margins]])</f>
        <v>1119.6099999999999</v>
      </c>
      <c r="U322" s="103">
        <f>ABS(Finance[[#This Row],[Total (EGP)]])</f>
        <v>1119.6099999999999</v>
      </c>
      <c r="V322" s="180"/>
    </row>
    <row r="323" spans="2:22" ht="18" customHeight="1" x14ac:dyDescent="0.3">
      <c r="B323" s="168">
        <v>45791</v>
      </c>
      <c r="C323" s="169">
        <f>YEAR(Finance[[#This Row],[Date]])</f>
        <v>2025</v>
      </c>
      <c r="D323" s="170">
        <f>MONTH(Finance[[#This Row],[Date]])</f>
        <v>5</v>
      </c>
      <c r="E323" s="6" t="s">
        <v>472</v>
      </c>
      <c r="F323" s="6" t="s">
        <v>30</v>
      </c>
      <c r="G323" s="6" t="s">
        <v>127</v>
      </c>
      <c r="H323" s="134" t="s">
        <v>190</v>
      </c>
      <c r="I323" s="135" t="s">
        <v>175</v>
      </c>
      <c r="J323" s="131">
        <v>4</v>
      </c>
      <c r="K323" s="31"/>
      <c r="L323" s="132">
        <f>18.4*56.2*1.25</f>
        <v>1292.5999999999999</v>
      </c>
      <c r="M323" s="177"/>
      <c r="N323" s="177"/>
      <c r="O323" s="178"/>
      <c r="P323" s="178"/>
      <c r="Q323" s="177"/>
      <c r="R323" s="177"/>
      <c r="S323" s="179"/>
      <c r="T323" s="102">
        <f>SUM(Finance[[#This Row],[Samer]:[Margins]])</f>
        <v>1292.5999999999999</v>
      </c>
      <c r="U323" s="103">
        <f>ABS(Finance[[#This Row],[Total (EGP)]])</f>
        <v>1292.5999999999999</v>
      </c>
      <c r="V323" s="180"/>
    </row>
    <row r="324" spans="2:22" ht="18" customHeight="1" x14ac:dyDescent="0.3">
      <c r="B324" s="168">
        <v>45791</v>
      </c>
      <c r="C324" s="169">
        <f>YEAR(Finance[[#This Row],[Date]])</f>
        <v>2025</v>
      </c>
      <c r="D324" s="170">
        <f>MONTH(Finance[[#This Row],[Date]])</f>
        <v>5</v>
      </c>
      <c r="E324" s="39" t="s">
        <v>473</v>
      </c>
      <c r="F324" s="39" t="s">
        <v>30</v>
      </c>
      <c r="G324" s="39" t="s">
        <v>127</v>
      </c>
      <c r="H324" s="130" t="s">
        <v>176</v>
      </c>
      <c r="I324" s="114" t="s">
        <v>177</v>
      </c>
      <c r="J324" s="131">
        <v>1</v>
      </c>
      <c r="K324" s="31"/>
      <c r="L324" s="132">
        <f>94.06*56.2*1.25</f>
        <v>6607.7150000000001</v>
      </c>
      <c r="M324" s="177"/>
      <c r="N324" s="177"/>
      <c r="O324" s="178"/>
      <c r="P324" s="178"/>
      <c r="Q324" s="177"/>
      <c r="R324" s="177"/>
      <c r="S324" s="179"/>
      <c r="T324" s="102">
        <f>SUM(Finance[[#This Row],[Samer]:[Margins]])</f>
        <v>6607.7150000000001</v>
      </c>
      <c r="U324" s="103">
        <f>ABS(Finance[[#This Row],[Total (EGP)]])</f>
        <v>6607.7150000000001</v>
      </c>
      <c r="V324" s="180"/>
    </row>
    <row r="325" spans="2:22" ht="18" customHeight="1" x14ac:dyDescent="0.3">
      <c r="B325" s="168">
        <v>45792</v>
      </c>
      <c r="C325" s="169">
        <f>YEAR(Finance[[#This Row],[Date]])</f>
        <v>2025</v>
      </c>
      <c r="D325" s="170">
        <f>MONTH(Finance[[#This Row],[Date]])</f>
        <v>5</v>
      </c>
      <c r="E325" s="39" t="s">
        <v>471</v>
      </c>
      <c r="F325" s="39" t="s">
        <v>245</v>
      </c>
      <c r="G325" s="39" t="s">
        <v>103</v>
      </c>
      <c r="H325" s="48" t="s">
        <v>199</v>
      </c>
      <c r="I325" s="114" t="s">
        <v>246</v>
      </c>
      <c r="J325" s="131">
        <v>1</v>
      </c>
      <c r="K325" s="175"/>
      <c r="L325" s="176"/>
      <c r="M325" s="177"/>
      <c r="N325" s="177"/>
      <c r="O325" s="178"/>
      <c r="P325" s="178"/>
      <c r="Q325" s="177"/>
      <c r="R325" s="177">
        <v>-26664.89</v>
      </c>
      <c r="S325" s="179"/>
      <c r="T325" s="102">
        <f>SUM(Finance[[#This Row],[Samer]:[Margins]])</f>
        <v>-26664.89</v>
      </c>
      <c r="U325" s="103">
        <f>ABS(Finance[[#This Row],[Total (EGP)]])</f>
        <v>26664.89</v>
      </c>
      <c r="V325" s="180"/>
    </row>
    <row r="326" spans="2:22" ht="18" customHeight="1" x14ac:dyDescent="0.3">
      <c r="B326" s="168">
        <v>45792</v>
      </c>
      <c r="C326" s="169">
        <f>YEAR(Finance[[#This Row],[Date]])</f>
        <v>2025</v>
      </c>
      <c r="D326" s="170">
        <f>MONTH(Finance[[#This Row],[Date]])</f>
        <v>5</v>
      </c>
      <c r="E326" s="39" t="s">
        <v>247</v>
      </c>
      <c r="F326" s="6" t="s">
        <v>73</v>
      </c>
      <c r="G326" s="6" t="s">
        <v>103</v>
      </c>
      <c r="H326" s="134" t="s">
        <v>90</v>
      </c>
      <c r="I326" s="135" t="s">
        <v>246</v>
      </c>
      <c r="J326" s="136">
        <v>1</v>
      </c>
      <c r="K326" s="175"/>
      <c r="L326" s="176"/>
      <c r="M326" s="177"/>
      <c r="N326" s="177"/>
      <c r="O326" s="178"/>
      <c r="P326" s="178"/>
      <c r="Q326" s="177"/>
      <c r="R326" s="177">
        <f>-26664.89*0.14</f>
        <v>-3733.0846000000001</v>
      </c>
      <c r="S326" s="179"/>
      <c r="T326" s="102">
        <f>SUM(Finance[[#This Row],[Samer]:[Margins]])</f>
        <v>-3733.0846000000001</v>
      </c>
      <c r="U326" s="103">
        <f>ABS(Finance[[#This Row],[Total (EGP)]])</f>
        <v>3733.0846000000001</v>
      </c>
      <c r="V326" s="180"/>
    </row>
    <row r="327" spans="2:22" ht="18" customHeight="1" x14ac:dyDescent="0.3">
      <c r="B327" s="168">
        <v>45792</v>
      </c>
      <c r="C327" s="169">
        <f>YEAR(Finance[[#This Row],[Date]])</f>
        <v>2025</v>
      </c>
      <c r="D327" s="170">
        <f>MONTH(Finance[[#This Row],[Date]])</f>
        <v>5</v>
      </c>
      <c r="E327" s="39" t="s">
        <v>248</v>
      </c>
      <c r="F327" s="6" t="s">
        <v>84</v>
      </c>
      <c r="G327" s="6" t="s">
        <v>86</v>
      </c>
      <c r="H327" s="134" t="s">
        <v>199</v>
      </c>
      <c r="I327" s="135" t="s">
        <v>246</v>
      </c>
      <c r="J327" s="136">
        <v>1</v>
      </c>
      <c r="K327" s="175"/>
      <c r="L327" s="176"/>
      <c r="M327" s="177"/>
      <c r="N327" s="177"/>
      <c r="O327" s="178"/>
      <c r="P327" s="178"/>
      <c r="Q327" s="177"/>
      <c r="R327" s="177">
        <f>26664.89*0.03</f>
        <v>799.94669999999996</v>
      </c>
      <c r="S327" s="179"/>
      <c r="T327" s="102">
        <f>SUM(Finance[[#This Row],[Samer]:[Margins]])</f>
        <v>799.94669999999996</v>
      </c>
      <c r="U327" s="103">
        <f>ABS(Finance[[#This Row],[Total (EGP)]])</f>
        <v>799.94669999999996</v>
      </c>
      <c r="V327" s="180"/>
    </row>
    <row r="328" spans="2:22" ht="18" customHeight="1" x14ac:dyDescent="0.3">
      <c r="B328" s="168">
        <v>45792</v>
      </c>
      <c r="C328" s="169">
        <f>YEAR(Finance[[#This Row],[Date]])</f>
        <v>2025</v>
      </c>
      <c r="D328" s="170">
        <f>MONTH(Finance[[#This Row],[Date]])</f>
        <v>5</v>
      </c>
      <c r="E328" s="6" t="s">
        <v>249</v>
      </c>
      <c r="F328" s="6" t="s">
        <v>29</v>
      </c>
      <c r="G328" s="6" t="s">
        <v>95</v>
      </c>
      <c r="H328" s="134" t="s">
        <v>199</v>
      </c>
      <c r="I328" s="114" t="s">
        <v>246</v>
      </c>
      <c r="J328" s="136">
        <v>3</v>
      </c>
      <c r="K328" s="175"/>
      <c r="L328" s="176"/>
      <c r="M328" s="177"/>
      <c r="N328" s="177"/>
      <c r="O328" s="178"/>
      <c r="P328" s="178"/>
      <c r="Q328" s="177"/>
      <c r="R328" s="177">
        <v>10</v>
      </c>
      <c r="S328" s="179"/>
      <c r="T328" s="102">
        <f>SUM(Finance[[#This Row],[Samer]:[Margins]])</f>
        <v>10</v>
      </c>
      <c r="U328" s="103">
        <f>ABS(Finance[[#This Row],[Total (EGP)]])</f>
        <v>10</v>
      </c>
      <c r="V328" s="180"/>
    </row>
    <row r="329" spans="2:22" ht="18" customHeight="1" x14ac:dyDescent="0.3">
      <c r="B329" s="168">
        <v>45794</v>
      </c>
      <c r="C329" s="169">
        <f>YEAR(Finance[[#This Row],[Date]])</f>
        <v>2025</v>
      </c>
      <c r="D329" s="170">
        <f>MONTH(Finance[[#This Row],[Date]])</f>
        <v>5</v>
      </c>
      <c r="E329" s="6" t="s">
        <v>474</v>
      </c>
      <c r="F329" s="39" t="s">
        <v>29</v>
      </c>
      <c r="G329" s="6" t="s">
        <v>108</v>
      </c>
      <c r="H329" s="48" t="s">
        <v>182</v>
      </c>
      <c r="I329" s="135" t="s">
        <v>175</v>
      </c>
      <c r="J329" s="136">
        <v>1</v>
      </c>
      <c r="K329" s="31"/>
      <c r="L329" s="132">
        <f>36.3*50.15*1.05</f>
        <v>1911.4672499999997</v>
      </c>
      <c r="M329" s="177"/>
      <c r="N329" s="177"/>
      <c r="O329" s="178"/>
      <c r="P329" s="178"/>
      <c r="Q329" s="177"/>
      <c r="R329" s="177"/>
      <c r="S329" s="179"/>
      <c r="T329" s="102">
        <f>SUM(Finance[[#This Row],[Samer]:[Margins]])</f>
        <v>1911.4672499999997</v>
      </c>
      <c r="U329" s="103">
        <f>ABS(Finance[[#This Row],[Total (EGP)]])</f>
        <v>1911.4672499999997</v>
      </c>
      <c r="V329" s="180"/>
    </row>
    <row r="330" spans="2:22" ht="18" customHeight="1" x14ac:dyDescent="0.3">
      <c r="B330" s="168">
        <v>45795</v>
      </c>
      <c r="C330" s="169">
        <f>YEAR(Finance[[#This Row],[Date]])</f>
        <v>2025</v>
      </c>
      <c r="D330" s="170">
        <f>MONTH(Finance[[#This Row],[Date]])</f>
        <v>5</v>
      </c>
      <c r="E330" s="171" t="s">
        <v>242</v>
      </c>
      <c r="F330" s="39" t="s">
        <v>29</v>
      </c>
      <c r="G330" s="39" t="s">
        <v>112</v>
      </c>
      <c r="H330" s="48" t="s">
        <v>243</v>
      </c>
      <c r="I330" s="114" t="s">
        <v>175</v>
      </c>
      <c r="J330" s="131">
        <v>3</v>
      </c>
      <c r="K330" s="175"/>
      <c r="L330" s="176"/>
      <c r="M330" s="177"/>
      <c r="N330" s="177"/>
      <c r="O330" s="178"/>
      <c r="P330" s="178"/>
      <c r="Q330" s="177"/>
      <c r="R330" s="177">
        <v>1402.2</v>
      </c>
      <c r="S330" s="179" t="s">
        <v>408</v>
      </c>
      <c r="T330" s="102">
        <f>SUM(Finance[[#This Row],[Samer]:[Margins]])</f>
        <v>1402.2</v>
      </c>
      <c r="U330" s="103">
        <f>ABS(Finance[[#This Row],[Total (EGP)]])</f>
        <v>1402.2</v>
      </c>
      <c r="V330" s="180"/>
    </row>
    <row r="331" spans="2:22" ht="18" customHeight="1" x14ac:dyDescent="0.3">
      <c r="B331" s="168">
        <v>45796</v>
      </c>
      <c r="C331" s="169">
        <f>YEAR(Finance[[#This Row],[Date]])</f>
        <v>2025</v>
      </c>
      <c r="D331" s="170">
        <f>MONTH(Finance[[#This Row],[Date]])</f>
        <v>5</v>
      </c>
      <c r="E331" s="153" t="s">
        <v>295</v>
      </c>
      <c r="F331" s="6" t="s">
        <v>29</v>
      </c>
      <c r="G331" s="6" t="s">
        <v>111</v>
      </c>
      <c r="H331" s="134" t="s">
        <v>296</v>
      </c>
      <c r="I331" s="114" t="s">
        <v>175</v>
      </c>
      <c r="J331" s="136">
        <v>3</v>
      </c>
      <c r="K331" s="143"/>
      <c r="L331" s="144">
        <v>1030.78</v>
      </c>
      <c r="M331" s="177"/>
      <c r="N331" s="177"/>
      <c r="O331" s="178"/>
      <c r="P331" s="178"/>
      <c r="Q331" s="177"/>
      <c r="R331" s="177"/>
      <c r="S331" s="179"/>
      <c r="T331" s="102">
        <f>SUM(Finance[[#This Row],[Samer]:[Margins]])</f>
        <v>1030.78</v>
      </c>
      <c r="U331" s="103">
        <f>ABS(Finance[[#This Row],[Total (EGP)]])</f>
        <v>1030.78</v>
      </c>
      <c r="V331" s="180"/>
    </row>
    <row r="332" spans="2:22" ht="18" customHeight="1" x14ac:dyDescent="0.3">
      <c r="B332" s="168">
        <v>45797</v>
      </c>
      <c r="C332" s="169">
        <f>YEAR(Finance[[#This Row],[Date]])</f>
        <v>2025</v>
      </c>
      <c r="D332" s="170">
        <f>MONTH(Finance[[#This Row],[Date]])</f>
        <v>5</v>
      </c>
      <c r="E332" s="153" t="s">
        <v>475</v>
      </c>
      <c r="F332" s="39" t="s">
        <v>30</v>
      </c>
      <c r="G332" s="172" t="s">
        <v>88</v>
      </c>
      <c r="H332" s="173" t="s">
        <v>272</v>
      </c>
      <c r="I332" s="114" t="s">
        <v>459</v>
      </c>
      <c r="J332" s="174">
        <v>1</v>
      </c>
      <c r="K332" s="175"/>
      <c r="L332" s="176">
        <v>43000</v>
      </c>
      <c r="M332" s="177"/>
      <c r="N332" s="177"/>
      <c r="O332" s="178"/>
      <c r="P332" s="178"/>
      <c r="Q332" s="177"/>
      <c r="R332" s="177"/>
      <c r="S332" s="179"/>
      <c r="T332" s="102">
        <f>SUM(Finance[[#This Row],[Samer]:[Margins]])</f>
        <v>43000</v>
      </c>
      <c r="U332" s="103">
        <f>ABS(Finance[[#This Row],[Total (EGP)]])</f>
        <v>43000</v>
      </c>
      <c r="V332" s="180"/>
    </row>
    <row r="333" spans="2:22" ht="18" customHeight="1" x14ac:dyDescent="0.3">
      <c r="B333" s="168">
        <v>45798</v>
      </c>
      <c r="C333" s="169">
        <f>YEAR(Finance[[#This Row],[Date]])</f>
        <v>2025</v>
      </c>
      <c r="D333" s="170">
        <f>MONTH(Finance[[#This Row],[Date]])</f>
        <v>5</v>
      </c>
      <c r="E333" s="153" t="s">
        <v>179</v>
      </c>
      <c r="F333" s="39" t="s">
        <v>37</v>
      </c>
      <c r="G333" s="39" t="s">
        <v>36</v>
      </c>
      <c r="H333" s="173"/>
      <c r="I333" s="114" t="s">
        <v>175</v>
      </c>
      <c r="J333" s="174"/>
      <c r="K333" s="175"/>
      <c r="L333" s="176">
        <v>-100000</v>
      </c>
      <c r="M333" s="177"/>
      <c r="N333" s="177"/>
      <c r="O333" s="178"/>
      <c r="P333" s="178"/>
      <c r="Q333" s="177"/>
      <c r="R333" s="177">
        <v>100000</v>
      </c>
      <c r="S333" s="179"/>
      <c r="T333" s="102">
        <f>SUM(Finance[[#This Row],[Samer]:[Margins]])</f>
        <v>0</v>
      </c>
      <c r="U333" s="103">
        <f>ABS(Finance[[#This Row],[Total (EGP)]])</f>
        <v>0</v>
      </c>
      <c r="V333" s="180"/>
    </row>
    <row r="334" spans="2:22" ht="18" customHeight="1" x14ac:dyDescent="0.3">
      <c r="B334" s="187">
        <v>45798</v>
      </c>
      <c r="C334" s="169">
        <f>YEAR(Finance[[#This Row],[Date]])</f>
        <v>2025</v>
      </c>
      <c r="D334" s="170">
        <f>MONTH(Finance[[#This Row],[Date]])</f>
        <v>5</v>
      </c>
      <c r="E334" s="188" t="s">
        <v>262</v>
      </c>
      <c r="F334" s="189" t="s">
        <v>37</v>
      </c>
      <c r="G334" s="189" t="s">
        <v>36</v>
      </c>
      <c r="H334" s="190" t="s">
        <v>206</v>
      </c>
      <c r="I334" s="191" t="s">
        <v>175</v>
      </c>
      <c r="J334" s="192">
        <v>0</v>
      </c>
      <c r="K334" s="193"/>
      <c r="L334" s="194">
        <v>4000</v>
      </c>
      <c r="M334" s="195"/>
      <c r="N334" s="195"/>
      <c r="O334" s="196"/>
      <c r="P334" s="196"/>
      <c r="Q334" s="195"/>
      <c r="R334" s="195"/>
      <c r="S334" s="197">
        <v>-4000</v>
      </c>
      <c r="T334" s="102">
        <f>SUM(Finance[[#This Row],[Samer]:[Margins]])</f>
        <v>0</v>
      </c>
      <c r="U334" s="103">
        <f>ABS(Finance[[#This Row],[Total (EGP)]])</f>
        <v>0</v>
      </c>
      <c r="V334" s="198"/>
    </row>
    <row r="335" spans="2:22" ht="18" customHeight="1" x14ac:dyDescent="0.3">
      <c r="B335" s="168">
        <v>45799</v>
      </c>
      <c r="C335" s="169">
        <f>YEAR(Finance[[#This Row],[Date]])</f>
        <v>2025</v>
      </c>
      <c r="D335" s="170">
        <f>MONTH(Finance[[#This Row],[Date]])</f>
        <v>5</v>
      </c>
      <c r="E335" s="6" t="s">
        <v>508</v>
      </c>
      <c r="F335" s="6" t="s">
        <v>29</v>
      </c>
      <c r="G335" s="6" t="s">
        <v>95</v>
      </c>
      <c r="H335" s="134" t="s">
        <v>199</v>
      </c>
      <c r="I335" s="114" t="s">
        <v>479</v>
      </c>
      <c r="J335" s="136">
        <v>3</v>
      </c>
      <c r="K335" s="175"/>
      <c r="L335" s="176"/>
      <c r="M335" s="177"/>
      <c r="N335" s="177"/>
      <c r="O335" s="178"/>
      <c r="P335" s="178"/>
      <c r="Q335" s="177"/>
      <c r="R335" s="177">
        <v>10</v>
      </c>
      <c r="S335" s="179"/>
      <c r="T335" s="102">
        <f>SUM(Finance[[#This Row],[Samer]:[Margins]])</f>
        <v>10</v>
      </c>
      <c r="U335" s="103">
        <f>ABS(Finance[[#This Row],[Total (EGP)]])</f>
        <v>10</v>
      </c>
      <c r="V335" s="180"/>
    </row>
    <row r="336" spans="2:22" ht="18" customHeight="1" x14ac:dyDescent="0.3">
      <c r="B336" s="187">
        <v>45799</v>
      </c>
      <c r="C336" s="169">
        <f>YEAR(Finance[[#This Row],[Date]])</f>
        <v>2025</v>
      </c>
      <c r="D336" s="200">
        <f>MONTH(Finance[[#This Row],[Date]])</f>
        <v>5</v>
      </c>
      <c r="E336" s="133" t="s">
        <v>477</v>
      </c>
      <c r="F336" s="6" t="s">
        <v>73</v>
      </c>
      <c r="G336" s="6" t="s">
        <v>93</v>
      </c>
      <c r="H336" s="134" t="s">
        <v>199</v>
      </c>
      <c r="I336" s="114" t="s">
        <v>479</v>
      </c>
      <c r="J336" s="136">
        <v>4</v>
      </c>
      <c r="K336" s="193"/>
      <c r="L336" s="194"/>
      <c r="M336" s="195"/>
      <c r="N336" s="195"/>
      <c r="O336" s="196"/>
      <c r="P336" s="196"/>
      <c r="Q336" s="195"/>
      <c r="R336" s="195">
        <v>-20000</v>
      </c>
      <c r="S336" s="197"/>
      <c r="T336" s="102">
        <f>SUM(Finance[[#This Row],[Samer]:[Margins]])</f>
        <v>-20000</v>
      </c>
      <c r="U336" s="103">
        <f>ABS(Finance[[#This Row],[Total (EGP)]])</f>
        <v>20000</v>
      </c>
      <c r="V336" s="198"/>
    </row>
    <row r="337" spans="2:22" ht="18" customHeight="1" x14ac:dyDescent="0.3">
      <c r="B337" s="187">
        <v>45799</v>
      </c>
      <c r="C337" s="169">
        <f>YEAR(Finance[[#This Row],[Date]])</f>
        <v>2025</v>
      </c>
      <c r="D337" s="200">
        <f>MONTH(Finance[[#This Row],[Date]])</f>
        <v>5</v>
      </c>
      <c r="E337" s="133" t="s">
        <v>478</v>
      </c>
      <c r="F337" s="6" t="s">
        <v>73</v>
      </c>
      <c r="G337" s="6" t="s">
        <v>93</v>
      </c>
      <c r="H337" s="134" t="s">
        <v>90</v>
      </c>
      <c r="I337" s="114" t="s">
        <v>479</v>
      </c>
      <c r="J337" s="136">
        <v>4</v>
      </c>
      <c r="K337" s="193"/>
      <c r="L337" s="194"/>
      <c r="M337" s="195"/>
      <c r="N337" s="195"/>
      <c r="O337" s="196"/>
      <c r="P337" s="196"/>
      <c r="Q337" s="195"/>
      <c r="R337" s="195">
        <f>-20000*0.14</f>
        <v>-2800.0000000000005</v>
      </c>
      <c r="S337" s="197"/>
      <c r="T337" s="102">
        <f>SUM(Finance[[#This Row],[Samer]:[Margins]])</f>
        <v>-2800.0000000000005</v>
      </c>
      <c r="U337" s="103">
        <f>ABS(Finance[[#This Row],[Total (EGP)]])</f>
        <v>2800.0000000000005</v>
      </c>
      <c r="V337" s="198"/>
    </row>
    <row r="338" spans="2:22" ht="18" customHeight="1" x14ac:dyDescent="0.3">
      <c r="B338" s="187">
        <v>45799</v>
      </c>
      <c r="C338" s="169">
        <f>YEAR(Finance[[#This Row],[Date]])</f>
        <v>2025</v>
      </c>
      <c r="D338" s="200">
        <f>MONTH(Finance[[#This Row],[Date]])</f>
        <v>5</v>
      </c>
      <c r="E338" s="6" t="s">
        <v>480</v>
      </c>
      <c r="F338" s="6" t="s">
        <v>73</v>
      </c>
      <c r="G338" s="6" t="s">
        <v>75</v>
      </c>
      <c r="H338" s="134" t="s">
        <v>234</v>
      </c>
      <c r="I338" s="135" t="s">
        <v>177</v>
      </c>
      <c r="J338" s="136">
        <v>4</v>
      </c>
      <c r="K338" s="193"/>
      <c r="L338" s="194"/>
      <c r="M338" s="195"/>
      <c r="N338" s="195"/>
      <c r="O338" s="196"/>
      <c r="P338" s="196"/>
      <c r="Q338" s="195">
        <v>-12376.38</v>
      </c>
      <c r="R338" s="195"/>
      <c r="S338" s="197"/>
      <c r="T338" s="102">
        <f>SUM(Finance[[#This Row],[Samer]:[Margins]])</f>
        <v>-12376.38</v>
      </c>
      <c r="U338" s="103">
        <f>ABS(Finance[[#This Row],[Total (EGP)]])</f>
        <v>12376.38</v>
      </c>
      <c r="V338" s="198"/>
    </row>
    <row r="339" spans="2:22" ht="18" customHeight="1" x14ac:dyDescent="0.3">
      <c r="B339" s="187">
        <v>45799</v>
      </c>
      <c r="C339" s="169">
        <f>YEAR(Finance[[#This Row],[Date]])</f>
        <v>2025</v>
      </c>
      <c r="D339" s="200">
        <f>MONTH(Finance[[#This Row],[Date]])</f>
        <v>5</v>
      </c>
      <c r="E339" s="6" t="s">
        <v>237</v>
      </c>
      <c r="F339" s="6" t="s">
        <v>73</v>
      </c>
      <c r="G339" s="6" t="s">
        <v>75</v>
      </c>
      <c r="H339" s="134" t="s">
        <v>90</v>
      </c>
      <c r="I339" s="135" t="s">
        <v>177</v>
      </c>
      <c r="J339" s="136">
        <v>4</v>
      </c>
      <c r="K339" s="193"/>
      <c r="L339" s="194"/>
      <c r="M339" s="195"/>
      <c r="N339" s="195"/>
      <c r="O339" s="196"/>
      <c r="P339" s="196"/>
      <c r="Q339" s="195">
        <f>-12376.38*0.14</f>
        <v>-1732.6932000000002</v>
      </c>
      <c r="R339" s="195"/>
      <c r="S339" s="197"/>
      <c r="T339" s="102">
        <f>SUM(Finance[[#This Row],[Samer]:[Margins]])</f>
        <v>-1732.6932000000002</v>
      </c>
      <c r="U339" s="103">
        <f>ABS(Finance[[#This Row],[Total (EGP)]])</f>
        <v>1732.6932000000002</v>
      </c>
      <c r="V339" s="198"/>
    </row>
    <row r="340" spans="2:22" ht="18" customHeight="1" x14ac:dyDescent="0.3">
      <c r="B340" s="187">
        <v>45799</v>
      </c>
      <c r="C340" s="169">
        <f>YEAR(Finance[[#This Row],[Date]])</f>
        <v>2025</v>
      </c>
      <c r="D340" s="200">
        <f>MONTH(Finance[[#This Row],[Date]])</f>
        <v>5</v>
      </c>
      <c r="E340" s="6" t="s">
        <v>238</v>
      </c>
      <c r="F340" s="6" t="s">
        <v>84</v>
      </c>
      <c r="G340" s="6" t="s">
        <v>86</v>
      </c>
      <c r="H340" s="134" t="s">
        <v>234</v>
      </c>
      <c r="I340" s="135" t="s">
        <v>177</v>
      </c>
      <c r="J340" s="136">
        <v>4</v>
      </c>
      <c r="K340" s="193"/>
      <c r="L340" s="194"/>
      <c r="M340" s="195"/>
      <c r="N340" s="195"/>
      <c r="O340" s="196"/>
      <c r="P340" s="196"/>
      <c r="Q340" s="195">
        <f>12376.38*0.03</f>
        <v>371.29139999999995</v>
      </c>
      <c r="R340" s="195"/>
      <c r="S340" s="197"/>
      <c r="T340" s="102">
        <f>SUM(Finance[[#This Row],[Samer]:[Margins]])</f>
        <v>371.29139999999995</v>
      </c>
      <c r="U340" s="103">
        <f>ABS(Finance[[#This Row],[Total (EGP)]])</f>
        <v>371.29139999999995</v>
      </c>
      <c r="V340" s="198"/>
    </row>
    <row r="341" spans="2:22" ht="18" customHeight="1" x14ac:dyDescent="0.3">
      <c r="B341" s="187">
        <v>45799</v>
      </c>
      <c r="C341" s="169">
        <f>YEAR(Finance[[#This Row],[Date]])</f>
        <v>2025</v>
      </c>
      <c r="D341" s="200">
        <f>MONTH(Finance[[#This Row],[Date]])</f>
        <v>5</v>
      </c>
      <c r="E341" s="6" t="s">
        <v>481</v>
      </c>
      <c r="F341" s="6" t="s">
        <v>73</v>
      </c>
      <c r="G341" s="6" t="s">
        <v>75</v>
      </c>
      <c r="H341" s="134" t="s">
        <v>234</v>
      </c>
      <c r="I341" s="135" t="s">
        <v>177</v>
      </c>
      <c r="J341" s="136">
        <v>4</v>
      </c>
      <c r="K341" s="193"/>
      <c r="L341" s="194"/>
      <c r="M341" s="195"/>
      <c r="N341" s="195"/>
      <c r="O341" s="196"/>
      <c r="P341" s="196"/>
      <c r="Q341" s="195">
        <v>-16588.54</v>
      </c>
      <c r="R341" s="195"/>
      <c r="S341" s="197"/>
      <c r="T341" s="102">
        <f>SUM(Finance[[#This Row],[Samer]:[Margins]])</f>
        <v>-16588.54</v>
      </c>
      <c r="U341" s="103">
        <f>ABS(Finance[[#This Row],[Total (EGP)]])</f>
        <v>16588.54</v>
      </c>
      <c r="V341" s="198"/>
    </row>
    <row r="342" spans="2:22" ht="18" customHeight="1" x14ac:dyDescent="0.3">
      <c r="B342" s="187">
        <v>45799</v>
      </c>
      <c r="C342" s="169">
        <f>YEAR(Finance[[#This Row],[Date]])</f>
        <v>2025</v>
      </c>
      <c r="D342" s="200">
        <f>MONTH(Finance[[#This Row],[Date]])</f>
        <v>5</v>
      </c>
      <c r="E342" s="6" t="s">
        <v>237</v>
      </c>
      <c r="F342" s="6" t="s">
        <v>73</v>
      </c>
      <c r="G342" s="6" t="s">
        <v>75</v>
      </c>
      <c r="H342" s="134" t="s">
        <v>90</v>
      </c>
      <c r="I342" s="135" t="s">
        <v>177</v>
      </c>
      <c r="J342" s="136">
        <v>4</v>
      </c>
      <c r="K342" s="193"/>
      <c r="L342" s="194"/>
      <c r="M342" s="195"/>
      <c r="N342" s="195"/>
      <c r="O342" s="196"/>
      <c r="P342" s="196"/>
      <c r="Q342" s="195">
        <f>-16588.54*0.14</f>
        <v>-2322.3956000000003</v>
      </c>
      <c r="R342" s="195"/>
      <c r="S342" s="197"/>
      <c r="T342" s="102">
        <f>SUM(Finance[[#This Row],[Samer]:[Margins]])</f>
        <v>-2322.3956000000003</v>
      </c>
      <c r="U342" s="103">
        <f>ABS(Finance[[#This Row],[Total (EGP)]])</f>
        <v>2322.3956000000003</v>
      </c>
      <c r="V342" s="198"/>
    </row>
    <row r="343" spans="2:22" ht="18" customHeight="1" x14ac:dyDescent="0.3">
      <c r="B343" s="187">
        <v>45799</v>
      </c>
      <c r="C343" s="169">
        <f>YEAR(Finance[[#This Row],[Date]])</f>
        <v>2025</v>
      </c>
      <c r="D343" s="200">
        <f>MONTH(Finance[[#This Row],[Date]])</f>
        <v>5</v>
      </c>
      <c r="E343" s="6" t="s">
        <v>238</v>
      </c>
      <c r="F343" s="6" t="s">
        <v>84</v>
      </c>
      <c r="G343" s="6" t="s">
        <v>86</v>
      </c>
      <c r="H343" s="134" t="s">
        <v>234</v>
      </c>
      <c r="I343" s="135" t="s">
        <v>177</v>
      </c>
      <c r="J343" s="136">
        <v>4</v>
      </c>
      <c r="K343" s="193"/>
      <c r="L343" s="194"/>
      <c r="M343" s="195"/>
      <c r="N343" s="195"/>
      <c r="O343" s="196"/>
      <c r="P343" s="196"/>
      <c r="Q343" s="195">
        <f>16588.54*0.03</f>
        <v>497.65620000000001</v>
      </c>
      <c r="R343" s="195"/>
      <c r="S343" s="197"/>
      <c r="T343" s="102">
        <f>SUM(Finance[[#This Row],[Samer]:[Margins]])</f>
        <v>497.65620000000001</v>
      </c>
      <c r="U343" s="103">
        <f>ABS(Finance[[#This Row],[Total (EGP)]])</f>
        <v>497.65620000000001</v>
      </c>
      <c r="V343" s="198"/>
    </row>
    <row r="344" spans="2:22" ht="18" customHeight="1" x14ac:dyDescent="0.3">
      <c r="B344" s="187">
        <v>45799</v>
      </c>
      <c r="C344" s="169">
        <f>YEAR(Finance[[#This Row],[Date]])</f>
        <v>2025</v>
      </c>
      <c r="D344" s="200">
        <f>MONTH(Finance[[#This Row],[Date]])</f>
        <v>5</v>
      </c>
      <c r="E344" s="6" t="s">
        <v>482</v>
      </c>
      <c r="F344" s="6" t="s">
        <v>73</v>
      </c>
      <c r="G344" s="6" t="s">
        <v>233</v>
      </c>
      <c r="H344" s="134" t="s">
        <v>234</v>
      </c>
      <c r="I344" s="135" t="s">
        <v>235</v>
      </c>
      <c r="J344" s="136">
        <v>1</v>
      </c>
      <c r="K344" s="193"/>
      <c r="L344" s="194"/>
      <c r="M344" s="195"/>
      <c r="N344" s="195"/>
      <c r="O344" s="196"/>
      <c r="P344" s="196"/>
      <c r="Q344" s="195">
        <v>-549.6</v>
      </c>
      <c r="R344" s="195"/>
      <c r="S344" s="197"/>
      <c r="T344" s="102">
        <f>SUM(Finance[[#This Row],[Samer]:[Margins]])</f>
        <v>-549.6</v>
      </c>
      <c r="U344" s="103">
        <f>ABS(Finance[[#This Row],[Total (EGP)]])</f>
        <v>549.6</v>
      </c>
      <c r="V344" s="198"/>
    </row>
    <row r="345" spans="2:22" ht="18" customHeight="1" x14ac:dyDescent="0.3">
      <c r="B345" s="187">
        <v>45799</v>
      </c>
      <c r="C345" s="169">
        <f>YEAR(Finance[[#This Row],[Date]])</f>
        <v>2025</v>
      </c>
      <c r="D345" s="200">
        <f>MONTH(Finance[[#This Row],[Date]])</f>
        <v>5</v>
      </c>
      <c r="E345" s="6" t="s">
        <v>237</v>
      </c>
      <c r="F345" s="6" t="s">
        <v>73</v>
      </c>
      <c r="G345" s="126" t="s">
        <v>233</v>
      </c>
      <c r="H345" s="127" t="s">
        <v>90</v>
      </c>
      <c r="I345" s="135" t="s">
        <v>235</v>
      </c>
      <c r="J345" s="129">
        <v>1</v>
      </c>
      <c r="K345" s="193"/>
      <c r="L345" s="194"/>
      <c r="M345" s="195"/>
      <c r="N345" s="195"/>
      <c r="O345" s="196"/>
      <c r="P345" s="196"/>
      <c r="Q345" s="195">
        <f>-500549.6*0.14</f>
        <v>-70076.944000000003</v>
      </c>
      <c r="R345" s="195"/>
      <c r="S345" s="197"/>
      <c r="T345" s="102">
        <f>SUM(Finance[[#This Row],[Samer]:[Margins]])</f>
        <v>-70076.944000000003</v>
      </c>
      <c r="U345" s="103">
        <f>ABS(Finance[[#This Row],[Total (EGP)]])</f>
        <v>70076.944000000003</v>
      </c>
      <c r="V345" s="198"/>
    </row>
    <row r="346" spans="2:22" ht="18" customHeight="1" x14ac:dyDescent="0.3">
      <c r="B346" s="187">
        <v>45799</v>
      </c>
      <c r="C346" s="169">
        <f>YEAR(Finance[[#This Row],[Date]])</f>
        <v>2025</v>
      </c>
      <c r="D346" s="200">
        <f>MONTH(Finance[[#This Row],[Date]])</f>
        <v>5</v>
      </c>
      <c r="E346" s="6" t="s">
        <v>238</v>
      </c>
      <c r="F346" s="6" t="s">
        <v>84</v>
      </c>
      <c r="G346" s="6" t="s">
        <v>86</v>
      </c>
      <c r="H346" s="134" t="s">
        <v>234</v>
      </c>
      <c r="I346" s="135" t="s">
        <v>235</v>
      </c>
      <c r="J346" s="129">
        <v>1</v>
      </c>
      <c r="K346" s="193"/>
      <c r="L346" s="194"/>
      <c r="M346" s="195"/>
      <c r="N346" s="195"/>
      <c r="O346" s="196"/>
      <c r="P346" s="196"/>
      <c r="Q346" s="195">
        <f>500549.6*0.03</f>
        <v>15016.487999999999</v>
      </c>
      <c r="R346" s="195"/>
      <c r="S346" s="197"/>
      <c r="T346" s="102">
        <f>SUM(Finance[[#This Row],[Samer]:[Margins]])</f>
        <v>15016.487999999999</v>
      </c>
      <c r="U346" s="103">
        <f>ABS(Finance[[#This Row],[Total (EGP)]])</f>
        <v>15016.487999999999</v>
      </c>
      <c r="V346" s="198"/>
    </row>
    <row r="347" spans="2:22" ht="18" customHeight="1" x14ac:dyDescent="0.3">
      <c r="B347" s="187">
        <v>45799</v>
      </c>
      <c r="C347" s="169">
        <f>YEAR(Finance[[#This Row],[Date]])</f>
        <v>2025</v>
      </c>
      <c r="D347" s="200">
        <f>MONTH(Finance[[#This Row],[Date]])</f>
        <v>5</v>
      </c>
      <c r="E347" s="6" t="s">
        <v>483</v>
      </c>
      <c r="F347" s="6" t="s">
        <v>73</v>
      </c>
      <c r="G347" s="6" t="s">
        <v>233</v>
      </c>
      <c r="H347" s="134" t="s">
        <v>234</v>
      </c>
      <c r="I347" s="135" t="s">
        <v>235</v>
      </c>
      <c r="J347" s="136">
        <v>1</v>
      </c>
      <c r="K347" s="193"/>
      <c r="L347" s="194"/>
      <c r="M347" s="195"/>
      <c r="N347" s="195"/>
      <c r="O347" s="196"/>
      <c r="P347" s="196"/>
      <c r="Q347" s="195">
        <v>-162238.88</v>
      </c>
      <c r="R347" s="195"/>
      <c r="S347" s="197"/>
      <c r="T347" s="102">
        <f>SUM(Finance[[#This Row],[Samer]:[Margins]])</f>
        <v>-162238.88</v>
      </c>
      <c r="U347" s="103">
        <f>ABS(Finance[[#This Row],[Total (EGP)]])</f>
        <v>162238.88</v>
      </c>
      <c r="V347" s="198"/>
    </row>
    <row r="348" spans="2:22" ht="18" customHeight="1" x14ac:dyDescent="0.3">
      <c r="B348" s="187">
        <v>45799</v>
      </c>
      <c r="C348" s="169">
        <f>YEAR(Finance[[#This Row],[Date]])</f>
        <v>2025</v>
      </c>
      <c r="D348" s="200">
        <f>MONTH(Finance[[#This Row],[Date]])</f>
        <v>5</v>
      </c>
      <c r="E348" s="188" t="s">
        <v>240</v>
      </c>
      <c r="F348" s="189" t="s">
        <v>37</v>
      </c>
      <c r="G348" s="189" t="s">
        <v>36</v>
      </c>
      <c r="H348" s="190" t="s">
        <v>181</v>
      </c>
      <c r="I348" s="191" t="s">
        <v>175</v>
      </c>
      <c r="J348" s="192">
        <v>0</v>
      </c>
      <c r="K348" s="193"/>
      <c r="L348" s="194"/>
      <c r="M348" s="195"/>
      <c r="N348" s="195"/>
      <c r="O348" s="196"/>
      <c r="P348" s="196"/>
      <c r="Q348" s="195">
        <v>250000</v>
      </c>
      <c r="R348" s="195">
        <v>-250000</v>
      </c>
      <c r="S348" s="197"/>
      <c r="T348" s="102">
        <f>SUM(Finance[[#This Row],[Samer]:[Margins]])</f>
        <v>0</v>
      </c>
      <c r="U348" s="103">
        <f>ABS(Finance[[#This Row],[Total (EGP)]])</f>
        <v>0</v>
      </c>
      <c r="V348" s="198"/>
    </row>
    <row r="349" spans="2:22" ht="18" customHeight="1" x14ac:dyDescent="0.3">
      <c r="B349" s="187">
        <v>45799</v>
      </c>
      <c r="C349" s="169">
        <f>YEAR(Finance[[#This Row],[Date]])</f>
        <v>2025</v>
      </c>
      <c r="D349" s="200">
        <f>MONTH(Finance[[#This Row],[Date]])</f>
        <v>5</v>
      </c>
      <c r="E349" s="6" t="s">
        <v>484</v>
      </c>
      <c r="F349" s="6" t="s">
        <v>30</v>
      </c>
      <c r="G349" s="6" t="s">
        <v>88</v>
      </c>
      <c r="H349" s="134" t="s">
        <v>210</v>
      </c>
      <c r="I349" s="135" t="s">
        <v>177</v>
      </c>
      <c r="J349" s="136">
        <v>4</v>
      </c>
      <c r="K349" s="31"/>
      <c r="L349" s="132">
        <f>5*975</f>
        <v>4875</v>
      </c>
      <c r="M349" s="195"/>
      <c r="N349" s="195"/>
      <c r="O349" s="196"/>
      <c r="P349" s="196"/>
      <c r="Q349" s="195"/>
      <c r="R349" s="195"/>
      <c r="S349" s="197"/>
      <c r="T349" s="102">
        <f>SUM(Finance[[#This Row],[Samer]:[Margins]])</f>
        <v>4875</v>
      </c>
      <c r="U349" s="103">
        <f>ABS(Finance[[#This Row],[Total (EGP)]])</f>
        <v>4875</v>
      </c>
      <c r="V349" s="198"/>
    </row>
    <row r="350" spans="2:22" ht="18" customHeight="1" x14ac:dyDescent="0.3">
      <c r="B350" s="187">
        <v>45799</v>
      </c>
      <c r="C350" s="169">
        <f>YEAR(Finance[[#This Row],[Date]])</f>
        <v>2025</v>
      </c>
      <c r="D350" s="200">
        <f>MONTH(Finance[[#This Row],[Date]])</f>
        <v>5</v>
      </c>
      <c r="E350" s="6" t="s">
        <v>485</v>
      </c>
      <c r="F350" s="6" t="s">
        <v>30</v>
      </c>
      <c r="G350" s="6" t="s">
        <v>88</v>
      </c>
      <c r="H350" s="134" t="s">
        <v>210</v>
      </c>
      <c r="I350" s="135" t="s">
        <v>177</v>
      </c>
      <c r="J350" s="136">
        <v>4</v>
      </c>
      <c r="K350" s="31"/>
      <c r="L350" s="132">
        <f>5*975</f>
        <v>4875</v>
      </c>
      <c r="M350" s="195"/>
      <c r="N350" s="195"/>
      <c r="O350" s="196"/>
      <c r="P350" s="196"/>
      <c r="Q350" s="195"/>
      <c r="R350" s="195"/>
      <c r="S350" s="197"/>
      <c r="T350" s="102">
        <f>SUM(Finance[[#This Row],[Samer]:[Margins]])</f>
        <v>4875</v>
      </c>
      <c r="U350" s="103">
        <f>ABS(Finance[[#This Row],[Total (EGP)]])</f>
        <v>4875</v>
      </c>
      <c r="V350" s="198"/>
    </row>
    <row r="351" spans="2:22" ht="18" customHeight="1" x14ac:dyDescent="0.3">
      <c r="B351" s="187">
        <v>45799</v>
      </c>
      <c r="C351" s="169">
        <f>YEAR(Finance[[#This Row],[Date]])</f>
        <v>2025</v>
      </c>
      <c r="D351" s="200">
        <f>MONTH(Finance[[#This Row],[Date]])</f>
        <v>5</v>
      </c>
      <c r="E351" s="188" t="s">
        <v>486</v>
      </c>
      <c r="F351" s="189" t="s">
        <v>73</v>
      </c>
      <c r="G351" s="189" t="s">
        <v>93</v>
      </c>
      <c r="H351" s="190" t="s">
        <v>199</v>
      </c>
      <c r="I351" s="191" t="s">
        <v>488</v>
      </c>
      <c r="J351" s="192">
        <v>4</v>
      </c>
      <c r="K351" s="193"/>
      <c r="L351" s="194"/>
      <c r="M351" s="195"/>
      <c r="N351" s="195"/>
      <c r="O351" s="196"/>
      <c r="P351" s="196"/>
      <c r="Q351" s="195"/>
      <c r="R351" s="195">
        <v>-875</v>
      </c>
      <c r="S351" s="197"/>
      <c r="T351" s="102">
        <f>SUM(Finance[[#This Row],[Samer]:[Margins]])</f>
        <v>-875</v>
      </c>
      <c r="U351" s="103">
        <f>ABS(Finance[[#This Row],[Total (EGP)]])</f>
        <v>875</v>
      </c>
      <c r="V351" s="198"/>
    </row>
    <row r="352" spans="2:22" ht="18" customHeight="1" x14ac:dyDescent="0.3">
      <c r="B352" s="187">
        <v>45799</v>
      </c>
      <c r="C352" s="169">
        <f>YEAR(Finance[[#This Row],[Date]])</f>
        <v>2025</v>
      </c>
      <c r="D352" s="200">
        <f>MONTH(Finance[[#This Row],[Date]])</f>
        <v>5</v>
      </c>
      <c r="E352" s="188" t="s">
        <v>487</v>
      </c>
      <c r="F352" s="189" t="s">
        <v>73</v>
      </c>
      <c r="G352" s="189" t="s">
        <v>93</v>
      </c>
      <c r="H352" s="190" t="s">
        <v>90</v>
      </c>
      <c r="I352" s="191" t="s">
        <v>488</v>
      </c>
      <c r="J352" s="192">
        <v>4</v>
      </c>
      <c r="K352" s="193"/>
      <c r="L352" s="194"/>
      <c r="M352" s="195"/>
      <c r="N352" s="195"/>
      <c r="O352" s="196"/>
      <c r="P352" s="196"/>
      <c r="Q352" s="195"/>
      <c r="R352" s="195">
        <f>-875*0.14</f>
        <v>-122.50000000000001</v>
      </c>
      <c r="S352" s="197"/>
      <c r="T352" s="102">
        <f>SUM(Finance[[#This Row],[Samer]:[Margins]])</f>
        <v>-122.50000000000001</v>
      </c>
      <c r="U352" s="103">
        <f>ABS(Finance[[#This Row],[Total (EGP)]])</f>
        <v>122.50000000000001</v>
      </c>
      <c r="V352" s="198"/>
    </row>
    <row r="353" spans="2:22" ht="18" customHeight="1" x14ac:dyDescent="0.3">
      <c r="B353" s="187">
        <v>45800</v>
      </c>
      <c r="C353" s="169">
        <f>YEAR(Finance[[#This Row],[Date]])</f>
        <v>2025</v>
      </c>
      <c r="D353" s="200">
        <f>MONTH(Finance[[#This Row],[Date]])</f>
        <v>5</v>
      </c>
      <c r="E353" s="19" t="s">
        <v>490</v>
      </c>
      <c r="F353" s="6" t="s">
        <v>29</v>
      </c>
      <c r="G353" s="6" t="s">
        <v>108</v>
      </c>
      <c r="H353" s="134" t="s">
        <v>182</v>
      </c>
      <c r="I353" s="135" t="s">
        <v>175</v>
      </c>
      <c r="J353" s="136">
        <v>3</v>
      </c>
      <c r="K353" s="31"/>
      <c r="L353" s="132">
        <f>15.99*49.95*1.05</f>
        <v>838.63552500000003</v>
      </c>
      <c r="M353" s="195"/>
      <c r="N353" s="195"/>
      <c r="O353" s="196"/>
      <c r="P353" s="196"/>
      <c r="Q353" s="195"/>
      <c r="R353" s="195"/>
      <c r="S353" s="197"/>
      <c r="T353" s="102">
        <f>SUM(Finance[[#This Row],[Samer]:[Margins]])</f>
        <v>838.63552500000003</v>
      </c>
      <c r="U353" s="103">
        <f>ABS(Finance[[#This Row],[Total (EGP)]])</f>
        <v>838.63552500000003</v>
      </c>
      <c r="V353" s="198"/>
    </row>
    <row r="354" spans="2:22" ht="18" customHeight="1" x14ac:dyDescent="0.3">
      <c r="B354" s="187">
        <v>45802</v>
      </c>
      <c r="C354" s="169">
        <f>YEAR(Finance[[#This Row],[Date]])</f>
        <v>2025</v>
      </c>
      <c r="D354" s="200">
        <f>MONTH(Finance[[#This Row],[Date]])</f>
        <v>5</v>
      </c>
      <c r="E354" s="126" t="s">
        <v>242</v>
      </c>
      <c r="F354" s="39" t="s">
        <v>29</v>
      </c>
      <c r="G354" s="39" t="s">
        <v>112</v>
      </c>
      <c r="H354" s="48" t="s">
        <v>243</v>
      </c>
      <c r="I354" s="114" t="s">
        <v>175</v>
      </c>
      <c r="J354" s="131">
        <v>3</v>
      </c>
      <c r="K354" s="193"/>
      <c r="L354" s="194"/>
      <c r="M354" s="195"/>
      <c r="N354" s="195"/>
      <c r="O354" s="196"/>
      <c r="P354" s="196"/>
      <c r="Q354" s="195"/>
      <c r="R354" s="195">
        <v>400.2</v>
      </c>
      <c r="S354" s="197"/>
      <c r="T354" s="102">
        <f>SUM(Finance[[#This Row],[Samer]:[Margins]])</f>
        <v>400.2</v>
      </c>
      <c r="U354" s="103">
        <f>ABS(Finance[[#This Row],[Total (EGP)]])</f>
        <v>400.2</v>
      </c>
      <c r="V354" s="198"/>
    </row>
    <row r="355" spans="2:22" ht="18" customHeight="1" x14ac:dyDescent="0.3">
      <c r="B355" s="187">
        <v>45803</v>
      </c>
      <c r="C355" s="169">
        <f>YEAR(Finance[[#This Row],[Date]])</f>
        <v>2025</v>
      </c>
      <c r="D355" s="200">
        <f>MONTH(Finance[[#This Row],[Date]])</f>
        <v>5</v>
      </c>
      <c r="E355" s="188" t="s">
        <v>319</v>
      </c>
      <c r="F355" s="39" t="s">
        <v>27</v>
      </c>
      <c r="G355" s="39" t="s">
        <v>50</v>
      </c>
      <c r="H355" s="39" t="s">
        <v>50</v>
      </c>
      <c r="I355" s="114" t="s">
        <v>175</v>
      </c>
      <c r="J355" s="131">
        <v>2</v>
      </c>
      <c r="K355" s="193"/>
      <c r="L355" s="194">
        <v>1500</v>
      </c>
      <c r="M355" s="195"/>
      <c r="N355" s="195"/>
      <c r="O355" s="196"/>
      <c r="P355" s="196"/>
      <c r="Q355" s="195"/>
      <c r="R355" s="195"/>
      <c r="S355" s="197"/>
      <c r="T355" s="102">
        <f>SUM(Finance[[#This Row],[Samer]:[Margins]])</f>
        <v>1500</v>
      </c>
      <c r="U355" s="103">
        <f>ABS(Finance[[#This Row],[Total (EGP)]])</f>
        <v>1500</v>
      </c>
      <c r="V355" s="198"/>
    </row>
    <row r="356" spans="2:22" ht="18" customHeight="1" x14ac:dyDescent="0.3">
      <c r="B356" s="187">
        <v>45805</v>
      </c>
      <c r="C356" s="169">
        <f>YEAR(Finance[[#This Row],[Date]])</f>
        <v>2025</v>
      </c>
      <c r="D356" s="200">
        <f>MONTH(Finance[[#This Row],[Date]])</f>
        <v>5</v>
      </c>
      <c r="E356" s="6" t="s">
        <v>491</v>
      </c>
      <c r="F356" s="6" t="s">
        <v>73</v>
      </c>
      <c r="G356" s="6" t="s">
        <v>233</v>
      </c>
      <c r="H356" s="134" t="s">
        <v>234</v>
      </c>
      <c r="I356" s="135" t="s">
        <v>235</v>
      </c>
      <c r="J356" s="136">
        <v>1</v>
      </c>
      <c r="K356" s="193"/>
      <c r="L356" s="194"/>
      <c r="M356" s="195"/>
      <c r="N356" s="195"/>
      <c r="O356" s="196"/>
      <c r="P356" s="196"/>
      <c r="Q356" s="195">
        <v>-250000</v>
      </c>
      <c r="R356" s="195"/>
      <c r="S356" s="197"/>
      <c r="T356" s="102">
        <f>SUM(Finance[[#This Row],[Samer]:[Margins]])</f>
        <v>-250000</v>
      </c>
      <c r="U356" s="103">
        <f>ABS(Finance[[#This Row],[Total (EGP)]])</f>
        <v>250000</v>
      </c>
      <c r="V356" s="198"/>
    </row>
    <row r="357" spans="2:22" ht="18" customHeight="1" x14ac:dyDescent="0.3">
      <c r="B357" s="187">
        <v>45805</v>
      </c>
      <c r="C357" s="169">
        <f>YEAR(Finance[[#This Row],[Date]])</f>
        <v>2025</v>
      </c>
      <c r="D357" s="200">
        <f>MONTH(Finance[[#This Row],[Date]])</f>
        <v>5</v>
      </c>
      <c r="E357" s="188" t="s">
        <v>240</v>
      </c>
      <c r="F357" s="189" t="s">
        <v>37</v>
      </c>
      <c r="G357" s="189" t="s">
        <v>36</v>
      </c>
      <c r="H357" s="190" t="s">
        <v>181</v>
      </c>
      <c r="I357" s="191" t="s">
        <v>175</v>
      </c>
      <c r="J357" s="192">
        <v>0</v>
      </c>
      <c r="K357" s="193"/>
      <c r="L357" s="194"/>
      <c r="M357" s="195"/>
      <c r="N357" s="195"/>
      <c r="O357" s="196"/>
      <c r="P357" s="196"/>
      <c r="Q357" s="195">
        <v>250000</v>
      </c>
      <c r="R357" s="195">
        <v>-250000</v>
      </c>
      <c r="S357" s="197"/>
      <c r="T357" s="102">
        <f>SUM(Finance[[#This Row],[Samer]:[Margins]])</f>
        <v>0</v>
      </c>
      <c r="U357" s="103">
        <f>ABS(Finance[[#This Row],[Total (EGP)]])</f>
        <v>0</v>
      </c>
      <c r="V357" s="198"/>
    </row>
    <row r="358" spans="2:22" ht="18" customHeight="1" x14ac:dyDescent="0.3">
      <c r="B358" s="187">
        <v>45805</v>
      </c>
      <c r="C358" s="169">
        <f>YEAR(Finance[[#This Row],[Date]])</f>
        <v>2025</v>
      </c>
      <c r="D358" s="200">
        <f>MONTH(Finance[[#This Row],[Date]])</f>
        <v>5</v>
      </c>
      <c r="E358" s="6" t="s">
        <v>492</v>
      </c>
      <c r="F358" s="6" t="s">
        <v>73</v>
      </c>
      <c r="G358" s="6" t="s">
        <v>272</v>
      </c>
      <c r="H358" s="134" t="s">
        <v>234</v>
      </c>
      <c r="I358" s="135" t="s">
        <v>235</v>
      </c>
      <c r="J358" s="136">
        <v>2</v>
      </c>
      <c r="K358" s="193"/>
      <c r="L358" s="194"/>
      <c r="M358" s="195"/>
      <c r="N358" s="195"/>
      <c r="O358" s="196"/>
      <c r="P358" s="196"/>
      <c r="Q358" s="195">
        <v>-54791.11</v>
      </c>
      <c r="R358" s="195"/>
      <c r="S358" s="197"/>
      <c r="T358" s="102">
        <f>SUM(Finance[[#This Row],[Samer]:[Margins]])</f>
        <v>-54791.11</v>
      </c>
      <c r="U358" s="103">
        <f>ABS(Finance[[#This Row],[Total (EGP)]])</f>
        <v>54791.11</v>
      </c>
      <c r="V358" s="198"/>
    </row>
    <row r="359" spans="2:22" ht="18" customHeight="1" x14ac:dyDescent="0.3">
      <c r="B359" s="168">
        <v>45805</v>
      </c>
      <c r="C359" s="169">
        <f>YEAR(Finance[[#This Row],[Date]])</f>
        <v>2025</v>
      </c>
      <c r="D359" s="170">
        <f>MONTH(Finance[[#This Row],[Date]])</f>
        <v>5</v>
      </c>
      <c r="E359" s="6" t="s">
        <v>237</v>
      </c>
      <c r="F359" s="6" t="s">
        <v>73</v>
      </c>
      <c r="G359" s="6" t="s">
        <v>272</v>
      </c>
      <c r="H359" s="127" t="s">
        <v>90</v>
      </c>
      <c r="I359" s="135" t="s">
        <v>235</v>
      </c>
      <c r="J359" s="129">
        <v>2</v>
      </c>
      <c r="K359" s="175"/>
      <c r="L359" s="176"/>
      <c r="M359" s="177"/>
      <c r="N359" s="177"/>
      <c r="O359" s="178"/>
      <c r="P359" s="178"/>
      <c r="Q359" s="177">
        <f>-105008*0.14</f>
        <v>-14701.12</v>
      </c>
      <c r="R359" s="177"/>
      <c r="S359" s="179"/>
      <c r="T359" s="102">
        <f>SUM(Finance[[#This Row],[Samer]:[Margins]])</f>
        <v>-14701.12</v>
      </c>
      <c r="U359" s="103">
        <f>ABS(Finance[[#This Row],[Total (EGP)]])</f>
        <v>14701.12</v>
      </c>
      <c r="V359" s="180"/>
    </row>
    <row r="360" spans="2:22" ht="18" customHeight="1" x14ac:dyDescent="0.3">
      <c r="B360" s="168">
        <v>45805</v>
      </c>
      <c r="C360" s="169">
        <f>YEAR(Finance[[#This Row],[Date]])</f>
        <v>2025</v>
      </c>
      <c r="D360" s="170">
        <f>MONTH(Finance[[#This Row],[Date]])</f>
        <v>5</v>
      </c>
      <c r="E360" s="6" t="s">
        <v>238</v>
      </c>
      <c r="F360" s="6" t="s">
        <v>84</v>
      </c>
      <c r="G360" s="6" t="s">
        <v>86</v>
      </c>
      <c r="H360" s="134" t="s">
        <v>234</v>
      </c>
      <c r="I360" s="135" t="s">
        <v>235</v>
      </c>
      <c r="J360" s="129">
        <v>2</v>
      </c>
      <c r="K360" s="175"/>
      <c r="L360" s="176"/>
      <c r="M360" s="177"/>
      <c r="N360" s="177"/>
      <c r="O360" s="178"/>
      <c r="P360" s="178"/>
      <c r="Q360" s="177">
        <f>105008*0.03</f>
        <v>3150.24</v>
      </c>
      <c r="R360" s="177"/>
      <c r="S360" s="179"/>
      <c r="T360" s="102">
        <f>SUM(Finance[[#This Row],[Samer]:[Margins]])</f>
        <v>3150.24</v>
      </c>
      <c r="U360" s="103">
        <f>ABS(Finance[[#This Row],[Total (EGP)]])</f>
        <v>3150.24</v>
      </c>
      <c r="V360" s="180"/>
    </row>
    <row r="361" spans="2:22" ht="18" customHeight="1" x14ac:dyDescent="0.3">
      <c r="B361" s="187">
        <v>45805</v>
      </c>
      <c r="C361" s="169">
        <f>YEAR(Finance[[#This Row],[Date]])</f>
        <v>2025</v>
      </c>
      <c r="D361" s="200">
        <f>MONTH(Finance[[#This Row],[Date]])</f>
        <v>5</v>
      </c>
      <c r="E361" s="6" t="s">
        <v>493</v>
      </c>
      <c r="F361" s="6" t="s">
        <v>73</v>
      </c>
      <c r="G361" s="6" t="s">
        <v>272</v>
      </c>
      <c r="H361" s="134" t="s">
        <v>234</v>
      </c>
      <c r="I361" s="135" t="s">
        <v>235</v>
      </c>
      <c r="J361" s="136">
        <v>2</v>
      </c>
      <c r="K361" s="193"/>
      <c r="L361" s="194"/>
      <c r="M361" s="195"/>
      <c r="N361" s="195"/>
      <c r="O361" s="196"/>
      <c r="P361" s="196"/>
      <c r="Q361" s="195">
        <v>-33658.01</v>
      </c>
      <c r="R361" s="195"/>
      <c r="S361" s="197"/>
      <c r="T361" s="102">
        <f>SUM(Finance[[#This Row],[Samer]:[Margins]])</f>
        <v>-33658.01</v>
      </c>
      <c r="U361" s="103">
        <f>ABS(Finance[[#This Row],[Total (EGP)]])</f>
        <v>33658.01</v>
      </c>
      <c r="V361" s="198"/>
    </row>
    <row r="362" spans="2:22" ht="18" customHeight="1" x14ac:dyDescent="0.3">
      <c r="B362" s="187">
        <v>45806</v>
      </c>
      <c r="C362" s="169">
        <f>YEAR(Finance[[#This Row],[Date]])</f>
        <v>2025</v>
      </c>
      <c r="D362" s="200">
        <f>MONTH(Finance[[#This Row],[Date]])</f>
        <v>5</v>
      </c>
      <c r="E362" s="188" t="s">
        <v>240</v>
      </c>
      <c r="F362" s="189" t="s">
        <v>37</v>
      </c>
      <c r="G362" s="189" t="s">
        <v>36</v>
      </c>
      <c r="H362" s="190" t="s">
        <v>181</v>
      </c>
      <c r="I362" s="191" t="s">
        <v>175</v>
      </c>
      <c r="J362" s="192">
        <v>0</v>
      </c>
      <c r="K362" s="193"/>
      <c r="L362" s="194"/>
      <c r="M362" s="195"/>
      <c r="N362" s="195"/>
      <c r="O362" s="196"/>
      <c r="P362" s="196"/>
      <c r="Q362" s="195">
        <v>100000</v>
      </c>
      <c r="R362" s="195">
        <v>-100000</v>
      </c>
      <c r="S362" s="197"/>
      <c r="T362" s="102">
        <f>SUM(Finance[[#This Row],[Samer]:[Margins]])</f>
        <v>0</v>
      </c>
      <c r="U362" s="103">
        <f>ABS(Finance[[#This Row],[Total (EGP)]])</f>
        <v>0</v>
      </c>
      <c r="V362" s="198"/>
    </row>
    <row r="363" spans="2:22" ht="18" customHeight="1" x14ac:dyDescent="0.3">
      <c r="B363" s="187">
        <v>45806</v>
      </c>
      <c r="C363" s="169">
        <f>YEAR(Finance[[#This Row],[Date]])</f>
        <v>2025</v>
      </c>
      <c r="D363" s="200">
        <f>MONTH(Finance[[#This Row],[Date]])</f>
        <v>5</v>
      </c>
      <c r="E363" s="6" t="s">
        <v>494</v>
      </c>
      <c r="F363" s="39" t="s">
        <v>84</v>
      </c>
      <c r="G363" s="39" t="s">
        <v>90</v>
      </c>
      <c r="H363" s="48" t="s">
        <v>143</v>
      </c>
      <c r="I363" s="149" t="s">
        <v>175</v>
      </c>
      <c r="J363" s="131">
        <v>1</v>
      </c>
      <c r="K363" s="193"/>
      <c r="L363" s="194"/>
      <c r="M363" s="195"/>
      <c r="N363" s="195"/>
      <c r="O363" s="196"/>
      <c r="P363" s="196"/>
      <c r="Q363" s="195"/>
      <c r="R363" s="195">
        <f>3733.08+0.47</f>
        <v>3733.5499999999997</v>
      </c>
      <c r="S363" s="197"/>
      <c r="T363" s="102">
        <f>SUM(Finance[[#This Row],[Samer]:[Margins]])</f>
        <v>3733.5499999999997</v>
      </c>
      <c r="U363" s="103">
        <f>ABS(Finance[[#This Row],[Total (EGP)]])</f>
        <v>3733.5499999999997</v>
      </c>
      <c r="V363" s="198"/>
    </row>
    <row r="364" spans="2:22" ht="18" customHeight="1" x14ac:dyDescent="0.3">
      <c r="B364" s="187">
        <v>45806</v>
      </c>
      <c r="C364" s="169">
        <f>YEAR(Finance[[#This Row],[Date]])</f>
        <v>2025</v>
      </c>
      <c r="D364" s="200">
        <f>MONTH(Finance[[#This Row],[Date]])</f>
        <v>5</v>
      </c>
      <c r="E364" s="6" t="s">
        <v>495</v>
      </c>
      <c r="F364" s="39" t="s">
        <v>84</v>
      </c>
      <c r="G364" s="39" t="s">
        <v>90</v>
      </c>
      <c r="H364" s="48" t="s">
        <v>143</v>
      </c>
      <c r="I364" s="149" t="s">
        <v>175</v>
      </c>
      <c r="J364" s="131">
        <v>4</v>
      </c>
      <c r="K364" s="193"/>
      <c r="L364" s="194"/>
      <c r="M364" s="195"/>
      <c r="N364" s="195"/>
      <c r="O364" s="196"/>
      <c r="P364" s="196"/>
      <c r="Q364" s="195"/>
      <c r="R364" s="195">
        <v>13701.5</v>
      </c>
      <c r="S364" s="197"/>
      <c r="T364" s="102">
        <f>SUM(Finance[[#This Row],[Samer]:[Margins]])</f>
        <v>13701.5</v>
      </c>
      <c r="U364" s="103">
        <f>ABS(Finance[[#This Row],[Total (EGP)]])</f>
        <v>13701.5</v>
      </c>
      <c r="V364" s="198"/>
    </row>
    <row r="365" spans="2:22" ht="18" customHeight="1" x14ac:dyDescent="0.3">
      <c r="B365" s="187">
        <v>45806</v>
      </c>
      <c r="C365" s="169">
        <f>YEAR(Finance[[#This Row],[Date]])</f>
        <v>2025</v>
      </c>
      <c r="D365" s="200">
        <f>MONTH(Finance[[#This Row],[Date]])</f>
        <v>5</v>
      </c>
      <c r="E365" s="6" t="s">
        <v>496</v>
      </c>
      <c r="F365" s="39" t="s">
        <v>84</v>
      </c>
      <c r="G365" s="39" t="s">
        <v>90</v>
      </c>
      <c r="H365" s="48" t="s">
        <v>143</v>
      </c>
      <c r="I365" s="149" t="s">
        <v>175</v>
      </c>
      <c r="J365" s="131">
        <v>5</v>
      </c>
      <c r="K365" s="193"/>
      <c r="L365" s="194"/>
      <c r="M365" s="195"/>
      <c r="N365" s="195"/>
      <c r="O365" s="196"/>
      <c r="P365" s="196"/>
      <c r="Q365" s="195"/>
      <c r="R365" s="195">
        <v>682.5</v>
      </c>
      <c r="S365" s="197"/>
      <c r="T365" s="102">
        <f>SUM(Finance[[#This Row],[Samer]:[Margins]])</f>
        <v>682.5</v>
      </c>
      <c r="U365" s="103">
        <f>ABS(Finance[[#This Row],[Total (EGP)]])</f>
        <v>682.5</v>
      </c>
      <c r="V365" s="198"/>
    </row>
    <row r="366" spans="2:22" ht="18" customHeight="1" x14ac:dyDescent="0.3">
      <c r="B366" s="187">
        <v>45806</v>
      </c>
      <c r="C366" s="169">
        <f>YEAR(Finance[[#This Row],[Date]])</f>
        <v>2025</v>
      </c>
      <c r="D366" s="200">
        <f>MONTH(Finance[[#This Row],[Date]])</f>
        <v>5</v>
      </c>
      <c r="E366" s="6" t="s">
        <v>497</v>
      </c>
      <c r="F366" s="39" t="s">
        <v>84</v>
      </c>
      <c r="G366" s="39" t="s">
        <v>90</v>
      </c>
      <c r="H366" s="48" t="s">
        <v>143</v>
      </c>
      <c r="I366" s="149" t="s">
        <v>175</v>
      </c>
      <c r="J366" s="131">
        <v>2</v>
      </c>
      <c r="K366" s="193"/>
      <c r="L366" s="194"/>
      <c r="M366" s="195"/>
      <c r="N366" s="195"/>
      <c r="O366" s="196"/>
      <c r="P366" s="196"/>
      <c r="Q366" s="195"/>
      <c r="R366" s="195">
        <v>74138.45</v>
      </c>
      <c r="S366" s="197"/>
      <c r="T366" s="102">
        <f>SUM(Finance[[#This Row],[Samer]:[Margins]])</f>
        <v>74138.45</v>
      </c>
      <c r="U366" s="103">
        <f>ABS(Finance[[#This Row],[Total (EGP)]])</f>
        <v>74138.45</v>
      </c>
      <c r="V366" s="198"/>
    </row>
    <row r="367" spans="2:22" ht="18" customHeight="1" x14ac:dyDescent="0.3">
      <c r="B367" s="187">
        <v>45806</v>
      </c>
      <c r="C367" s="169">
        <f>YEAR(Finance[[#This Row],[Date]])</f>
        <v>2025</v>
      </c>
      <c r="D367" s="200">
        <f>MONTH(Finance[[#This Row],[Date]])</f>
        <v>5</v>
      </c>
      <c r="E367" s="6" t="s">
        <v>221</v>
      </c>
      <c r="F367" s="39" t="s">
        <v>29</v>
      </c>
      <c r="G367" s="6" t="s">
        <v>95</v>
      </c>
      <c r="H367" s="48" t="s">
        <v>194</v>
      </c>
      <c r="I367" s="135" t="s">
        <v>175</v>
      </c>
      <c r="J367" s="136">
        <v>3</v>
      </c>
      <c r="K367" s="193"/>
      <c r="L367" s="194"/>
      <c r="M367" s="195"/>
      <c r="N367" s="195"/>
      <c r="O367" s="196"/>
      <c r="P367" s="196"/>
      <c r="Q367" s="195"/>
      <c r="R367" s="195">
        <f>92256*0.0107001</f>
        <v>987.14842560000011</v>
      </c>
      <c r="S367" s="197"/>
      <c r="T367" s="102">
        <f>SUM(Finance[[#This Row],[Samer]:[Margins]])</f>
        <v>987.14842560000011</v>
      </c>
      <c r="U367" s="103">
        <f>ABS(Finance[[#This Row],[Total (EGP)]])</f>
        <v>987.14842560000011</v>
      </c>
      <c r="V367" s="198"/>
    </row>
    <row r="368" spans="2:22" ht="18" customHeight="1" x14ac:dyDescent="0.3">
      <c r="B368" s="187">
        <v>45806</v>
      </c>
      <c r="C368" s="169">
        <f>YEAR(Finance[[#This Row],[Date]])</f>
        <v>2025</v>
      </c>
      <c r="D368" s="200">
        <f>MONTH(Finance[[#This Row],[Date]])</f>
        <v>5</v>
      </c>
      <c r="E368" s="6" t="s">
        <v>498</v>
      </c>
      <c r="F368" s="39" t="s">
        <v>84</v>
      </c>
      <c r="G368" s="6" t="s">
        <v>85</v>
      </c>
      <c r="H368" s="48" t="s">
        <v>222</v>
      </c>
      <c r="I368" s="135" t="s">
        <v>175</v>
      </c>
      <c r="J368" s="136">
        <v>3</v>
      </c>
      <c r="K368" s="193"/>
      <c r="L368" s="194"/>
      <c r="M368" s="195"/>
      <c r="N368" s="195"/>
      <c r="O368" s="196"/>
      <c r="P368" s="196"/>
      <c r="Q368" s="195"/>
      <c r="R368" s="195">
        <v>9851</v>
      </c>
      <c r="S368" s="197"/>
      <c r="T368" s="102">
        <f>SUM(Finance[[#This Row],[Samer]:[Margins]])</f>
        <v>9851</v>
      </c>
      <c r="U368" s="103">
        <f>ABS(Finance[[#This Row],[Total (EGP)]])</f>
        <v>9851</v>
      </c>
      <c r="V368" s="198"/>
    </row>
    <row r="369" spans="2:22" ht="18" customHeight="1" x14ac:dyDescent="0.3">
      <c r="B369" s="187">
        <v>45806</v>
      </c>
      <c r="C369" s="169">
        <f>YEAR(Finance[[#This Row],[Date]])</f>
        <v>2025</v>
      </c>
      <c r="D369" s="200">
        <f>MONTH(Finance[[#This Row],[Date]])</f>
        <v>5</v>
      </c>
      <c r="E369" s="6" t="s">
        <v>223</v>
      </c>
      <c r="F369" s="39" t="s">
        <v>29</v>
      </c>
      <c r="G369" s="6" t="s">
        <v>95</v>
      </c>
      <c r="H369" s="48" t="s">
        <v>194</v>
      </c>
      <c r="I369" s="135" t="s">
        <v>175</v>
      </c>
      <c r="J369" s="136">
        <v>3</v>
      </c>
      <c r="K369" s="193"/>
      <c r="L369" s="194"/>
      <c r="M369" s="195"/>
      <c r="N369" s="195"/>
      <c r="O369" s="196"/>
      <c r="P369" s="196"/>
      <c r="Q369" s="195"/>
      <c r="R369" s="195">
        <f>+R368*0.0107001</f>
        <v>105.4066851</v>
      </c>
      <c r="S369" s="197"/>
      <c r="T369" s="102">
        <f>SUM(Finance[[#This Row],[Samer]:[Margins]])</f>
        <v>105.4066851</v>
      </c>
      <c r="U369" s="103">
        <f>ABS(Finance[[#This Row],[Total (EGP)]])</f>
        <v>105.4066851</v>
      </c>
      <c r="V369" s="198"/>
    </row>
    <row r="370" spans="2:22" ht="18" customHeight="1" x14ac:dyDescent="0.3">
      <c r="B370" s="187">
        <v>45806</v>
      </c>
      <c r="C370" s="169">
        <f>YEAR(Finance[[#This Row],[Date]])</f>
        <v>2025</v>
      </c>
      <c r="D370" s="200">
        <f>MONTH(Finance[[#This Row],[Date]])</f>
        <v>5</v>
      </c>
      <c r="E370" s="171" t="s">
        <v>179</v>
      </c>
      <c r="F370" s="172" t="s">
        <v>37</v>
      </c>
      <c r="G370" s="172" t="s">
        <v>36</v>
      </c>
      <c r="H370" s="173" t="s">
        <v>181</v>
      </c>
      <c r="I370" s="181" t="s">
        <v>175</v>
      </c>
      <c r="J370" s="174">
        <v>0</v>
      </c>
      <c r="K370" s="175"/>
      <c r="L370" s="176">
        <v>-89689</v>
      </c>
      <c r="M370" s="177"/>
      <c r="N370" s="177"/>
      <c r="O370" s="178"/>
      <c r="P370" s="178"/>
      <c r="Q370" s="177"/>
      <c r="R370" s="177">
        <v>89689</v>
      </c>
      <c r="S370" s="197"/>
      <c r="T370" s="102">
        <f>SUM(Finance[[#This Row],[Samer]:[Margins]])</f>
        <v>0</v>
      </c>
      <c r="U370" s="103">
        <f>ABS(Finance[[#This Row],[Total (EGP)]])</f>
        <v>0</v>
      </c>
      <c r="V370" s="198"/>
    </row>
    <row r="371" spans="2:22" ht="18" customHeight="1" x14ac:dyDescent="0.3">
      <c r="B371" s="187">
        <v>45806</v>
      </c>
      <c r="C371" s="169">
        <f>YEAR(Finance[[#This Row],[Date]])</f>
        <v>2025</v>
      </c>
      <c r="D371" s="200">
        <f>MONTH(Finance[[#This Row],[Date]])</f>
        <v>5</v>
      </c>
      <c r="E371" s="39" t="s">
        <v>501</v>
      </c>
      <c r="F371" s="6" t="s">
        <v>34</v>
      </c>
      <c r="G371" s="6" t="s">
        <v>66</v>
      </c>
      <c r="H371" s="134" t="s">
        <v>210</v>
      </c>
      <c r="I371" s="135" t="s">
        <v>175</v>
      </c>
      <c r="J371" s="136">
        <v>1</v>
      </c>
      <c r="K371" s="31"/>
      <c r="L371" s="132">
        <f>90000*0.25</f>
        <v>22500</v>
      </c>
      <c r="M371" s="164"/>
      <c r="N371" s="164"/>
      <c r="O371" s="165"/>
      <c r="P371" s="165"/>
      <c r="Q371" s="145"/>
      <c r="R371" s="145">
        <f>38000+32300+30000*0.5+17951.2+25000</f>
        <v>128251.2</v>
      </c>
      <c r="S371" s="197"/>
      <c r="T371" s="102">
        <f>SUM(Finance[[#This Row],[Samer]:[Margins]])</f>
        <v>150751.20000000001</v>
      </c>
      <c r="U371" s="103">
        <f>ABS(Finance[[#This Row],[Total (EGP)]])</f>
        <v>150751.20000000001</v>
      </c>
      <c r="V371" s="198"/>
    </row>
    <row r="372" spans="2:22" ht="18" customHeight="1" x14ac:dyDescent="0.3">
      <c r="B372" s="187">
        <v>45806</v>
      </c>
      <c r="C372" s="169">
        <f>YEAR(Finance[[#This Row],[Date]])</f>
        <v>2025</v>
      </c>
      <c r="D372" s="200">
        <f>MONTH(Finance[[#This Row],[Date]])</f>
        <v>5</v>
      </c>
      <c r="E372" s="39" t="s">
        <v>502</v>
      </c>
      <c r="F372" s="6" t="s">
        <v>34</v>
      </c>
      <c r="G372" s="6" t="s">
        <v>66</v>
      </c>
      <c r="H372" s="134" t="s">
        <v>211</v>
      </c>
      <c r="I372" s="135" t="s">
        <v>175</v>
      </c>
      <c r="J372" s="136">
        <v>3</v>
      </c>
      <c r="K372" s="31"/>
      <c r="L372" s="132">
        <f>90000*0.3</f>
        <v>27000</v>
      </c>
      <c r="M372" s="164"/>
      <c r="N372" s="164"/>
      <c r="O372" s="165"/>
      <c r="P372" s="165"/>
      <c r="Q372" s="145"/>
      <c r="R372" s="145">
        <f>18326.1+12000+12500</f>
        <v>42826.1</v>
      </c>
      <c r="S372" s="197"/>
      <c r="T372" s="102">
        <f>SUM(Finance[[#This Row],[Samer]:[Margins]])</f>
        <v>69826.100000000006</v>
      </c>
      <c r="U372" s="103">
        <f>ABS(Finance[[#This Row],[Total (EGP)]])</f>
        <v>69826.100000000006</v>
      </c>
      <c r="V372" s="198"/>
    </row>
    <row r="373" spans="2:22" ht="18" customHeight="1" x14ac:dyDescent="0.3">
      <c r="B373" s="187">
        <v>45806</v>
      </c>
      <c r="C373" s="169">
        <f>YEAR(Finance[[#This Row],[Date]])</f>
        <v>2025</v>
      </c>
      <c r="D373" s="200">
        <f>MONTH(Finance[[#This Row],[Date]])</f>
        <v>5</v>
      </c>
      <c r="E373" s="39" t="s">
        <v>503</v>
      </c>
      <c r="F373" s="6" t="s">
        <v>34</v>
      </c>
      <c r="G373" s="6" t="s">
        <v>66</v>
      </c>
      <c r="H373" s="134" t="s">
        <v>212</v>
      </c>
      <c r="I373" s="135" t="s">
        <v>175</v>
      </c>
      <c r="J373" s="136">
        <v>4</v>
      </c>
      <c r="K373" s="31"/>
      <c r="L373" s="132">
        <f>90000*0.2</f>
        <v>18000</v>
      </c>
      <c r="M373" s="164"/>
      <c r="N373" s="164"/>
      <c r="O373" s="165"/>
      <c r="P373" s="165"/>
      <c r="Q373" s="145"/>
      <c r="R373" s="145">
        <f>22735.5+30000*0.5+20000</f>
        <v>57735.5</v>
      </c>
      <c r="S373" s="197"/>
      <c r="T373" s="102">
        <f>SUM(Finance[[#This Row],[Samer]:[Margins]])</f>
        <v>75735.5</v>
      </c>
      <c r="U373" s="103">
        <f>ABS(Finance[[#This Row],[Total (EGP)]])</f>
        <v>75735.5</v>
      </c>
      <c r="V373" s="198"/>
    </row>
    <row r="374" spans="2:22" ht="18" customHeight="1" x14ac:dyDescent="0.3">
      <c r="B374" s="187">
        <v>45806</v>
      </c>
      <c r="C374" s="169">
        <f>YEAR(Finance[[#This Row],[Date]])</f>
        <v>2025</v>
      </c>
      <c r="D374" s="200">
        <f>MONTH(Finance[[#This Row],[Date]])</f>
        <v>5</v>
      </c>
      <c r="E374" s="39" t="s">
        <v>504</v>
      </c>
      <c r="F374" s="6" t="s">
        <v>34</v>
      </c>
      <c r="G374" s="6" t="s">
        <v>66</v>
      </c>
      <c r="H374" s="134" t="s">
        <v>209</v>
      </c>
      <c r="I374" s="135" t="s">
        <v>175</v>
      </c>
      <c r="J374" s="136">
        <v>2</v>
      </c>
      <c r="K374" s="31"/>
      <c r="L374" s="132">
        <f>90000*0.25</f>
        <v>22500</v>
      </c>
      <c r="M374" s="164"/>
      <c r="N374" s="164"/>
      <c r="O374" s="165"/>
      <c r="P374" s="165"/>
      <c r="Q374" s="145"/>
      <c r="R374" s="145">
        <f>38000+17000+17000+13000+14000</f>
        <v>99000</v>
      </c>
      <c r="S374" s="197"/>
      <c r="T374" s="102">
        <f>SUM(Finance[[#This Row],[Samer]:[Margins]])</f>
        <v>121500</v>
      </c>
      <c r="U374" s="103">
        <f>ABS(Finance[[#This Row],[Total (EGP)]])</f>
        <v>121500</v>
      </c>
      <c r="V374" s="198"/>
    </row>
    <row r="375" spans="2:22" ht="18" customHeight="1" x14ac:dyDescent="0.3">
      <c r="B375" s="187">
        <v>45806</v>
      </c>
      <c r="C375" s="169">
        <f>YEAR(Finance[[#This Row],[Date]])</f>
        <v>2025</v>
      </c>
      <c r="D375" s="200">
        <f>MONTH(Finance[[#This Row],[Date]])</f>
        <v>5</v>
      </c>
      <c r="E375" s="39" t="s">
        <v>500</v>
      </c>
      <c r="F375" s="39" t="s">
        <v>29</v>
      </c>
      <c r="G375" s="39" t="s">
        <v>213</v>
      </c>
      <c r="H375" s="48" t="s">
        <v>214</v>
      </c>
      <c r="I375" s="114" t="s">
        <v>175</v>
      </c>
      <c r="J375" s="131">
        <v>3</v>
      </c>
      <c r="K375" s="31"/>
      <c r="L375" s="132">
        <v>-311</v>
      </c>
      <c r="M375" s="164"/>
      <c r="N375" s="164"/>
      <c r="O375" s="165"/>
      <c r="P375" s="165"/>
      <c r="Q375" s="145"/>
      <c r="R375" s="145">
        <f>-311*10-691</f>
        <v>-3801</v>
      </c>
      <c r="S375" s="197"/>
      <c r="T375" s="102">
        <f>SUM(Finance[[#This Row],[Samer]:[Margins]])</f>
        <v>-4112</v>
      </c>
      <c r="U375" s="103">
        <f>ABS(Finance[[#This Row],[Total (EGP)]])</f>
        <v>4112</v>
      </c>
      <c r="V375" s="198"/>
    </row>
    <row r="376" spans="2:22" ht="18" customHeight="1" x14ac:dyDescent="0.3">
      <c r="B376" s="187">
        <v>45806</v>
      </c>
      <c r="C376" s="169">
        <f>YEAR(Finance[[#This Row],[Date]])</f>
        <v>2025</v>
      </c>
      <c r="D376" s="200">
        <f>MONTH(Finance[[#This Row],[Date]])</f>
        <v>5</v>
      </c>
      <c r="E376" s="133" t="s">
        <v>506</v>
      </c>
      <c r="F376" s="6" t="s">
        <v>34</v>
      </c>
      <c r="G376" s="6" t="s">
        <v>66</v>
      </c>
      <c r="H376" s="134" t="s">
        <v>272</v>
      </c>
      <c r="I376" s="114" t="s">
        <v>175</v>
      </c>
      <c r="J376" s="136">
        <v>5</v>
      </c>
      <c r="K376" s="162"/>
      <c r="L376" s="163">
        <v>10000</v>
      </c>
      <c r="M376" s="195"/>
      <c r="N376" s="195"/>
      <c r="O376" s="196"/>
      <c r="P376" s="196"/>
      <c r="Q376" s="195"/>
      <c r="R376" s="195"/>
      <c r="S376" s="197"/>
      <c r="T376" s="102">
        <f>SUM(Finance[[#This Row],[Samer]:[Margins]])</f>
        <v>10000</v>
      </c>
      <c r="U376" s="103">
        <f>ABS(Finance[[#This Row],[Total (EGP)]])</f>
        <v>10000</v>
      </c>
      <c r="V376" s="198"/>
    </row>
    <row r="377" spans="2:22" ht="18" customHeight="1" x14ac:dyDescent="0.3">
      <c r="B377" s="187">
        <v>45806</v>
      </c>
      <c r="C377" s="169">
        <f>YEAR(Finance[[#This Row],[Date]])</f>
        <v>2025</v>
      </c>
      <c r="D377" s="200">
        <f>MONTH(Finance[[#This Row],[Date]])</f>
        <v>5</v>
      </c>
      <c r="E377" s="133" t="s">
        <v>507</v>
      </c>
      <c r="F377" s="6" t="s">
        <v>34</v>
      </c>
      <c r="G377" s="6" t="s">
        <v>66</v>
      </c>
      <c r="H377" s="134" t="s">
        <v>272</v>
      </c>
      <c r="I377" s="114" t="s">
        <v>175</v>
      </c>
      <c r="J377" s="136">
        <v>5</v>
      </c>
      <c r="K377" s="162"/>
      <c r="L377" s="163">
        <v>12000</v>
      </c>
      <c r="M377" s="195"/>
      <c r="N377" s="195"/>
      <c r="O377" s="196"/>
      <c r="P377" s="196"/>
      <c r="Q377" s="195"/>
      <c r="R377" s="195"/>
      <c r="S377" s="197"/>
      <c r="T377" s="102">
        <f>SUM(Finance[[#This Row],[Samer]:[Margins]])</f>
        <v>12000</v>
      </c>
      <c r="U377" s="103">
        <f>ABS(Finance[[#This Row],[Total (EGP)]])</f>
        <v>12000</v>
      </c>
      <c r="V377" s="198"/>
    </row>
    <row r="378" spans="2:22" ht="18" customHeight="1" x14ac:dyDescent="0.3">
      <c r="B378" s="187">
        <v>45806</v>
      </c>
      <c r="C378" s="169">
        <f>YEAR(Finance[[#This Row],[Date]])</f>
        <v>2025</v>
      </c>
      <c r="D378" s="200">
        <f>MONTH(Finance[[#This Row],[Date]])</f>
        <v>5</v>
      </c>
      <c r="E378" s="39" t="s">
        <v>208</v>
      </c>
      <c r="F378" s="6" t="s">
        <v>30</v>
      </c>
      <c r="G378" s="6" t="s">
        <v>88</v>
      </c>
      <c r="H378" s="134" t="s">
        <v>209</v>
      </c>
      <c r="I378" s="135" t="s">
        <v>175</v>
      </c>
      <c r="J378" s="136">
        <v>2</v>
      </c>
      <c r="K378" s="143"/>
      <c r="L378" s="144">
        <f>78*325</f>
        <v>25350</v>
      </c>
      <c r="M378" s="177"/>
      <c r="N378" s="177"/>
      <c r="O378" s="178"/>
      <c r="P378" s="178"/>
      <c r="Q378" s="177"/>
      <c r="R378" s="177"/>
      <c r="S378" s="197"/>
      <c r="T378" s="102">
        <f>SUM(Finance[[#This Row],[Samer]:[Margins]])</f>
        <v>25350</v>
      </c>
      <c r="U378" s="103">
        <f>ABS(Finance[[#This Row],[Total (EGP)]])</f>
        <v>25350</v>
      </c>
      <c r="V378" s="198"/>
    </row>
    <row r="379" spans="2:22" ht="18" customHeight="1" x14ac:dyDescent="0.3">
      <c r="B379" s="187">
        <v>45807</v>
      </c>
      <c r="C379" s="169">
        <f>YEAR(Finance[[#This Row],[Date]])</f>
        <v>2025</v>
      </c>
      <c r="D379" s="200">
        <f>MONTH(Finance[[#This Row],[Date]])</f>
        <v>5</v>
      </c>
      <c r="E379" s="6" t="s">
        <v>254</v>
      </c>
      <c r="F379" s="172" t="s">
        <v>29</v>
      </c>
      <c r="G379" s="6" t="s">
        <v>55</v>
      </c>
      <c r="H379" s="134" t="s">
        <v>352</v>
      </c>
      <c r="I379" s="135" t="s">
        <v>175</v>
      </c>
      <c r="J379" s="136">
        <v>3</v>
      </c>
      <c r="K379" s="193"/>
      <c r="L379" s="194"/>
      <c r="M379" s="195"/>
      <c r="N379" s="195"/>
      <c r="O379" s="196"/>
      <c r="P379" s="196"/>
      <c r="Q379" s="195"/>
      <c r="R379" s="195"/>
      <c r="S379" s="197">
        <v>7085</v>
      </c>
      <c r="T379" s="102">
        <f>SUM(Finance[[#This Row],[Samer]:[Margins]])</f>
        <v>7085</v>
      </c>
      <c r="U379" s="103">
        <f>ABS(Finance[[#This Row],[Total (EGP)]])</f>
        <v>7085</v>
      </c>
      <c r="V379" s="198"/>
    </row>
    <row r="380" spans="2:22" ht="18" customHeight="1" x14ac:dyDescent="0.3">
      <c r="B380" s="187">
        <v>45807</v>
      </c>
      <c r="C380" s="169">
        <f>YEAR(Finance[[#This Row],[Date]])</f>
        <v>2025</v>
      </c>
      <c r="D380" s="200">
        <f>MONTH(Finance[[#This Row],[Date]])</f>
        <v>5</v>
      </c>
      <c r="E380" s="6" t="s">
        <v>101</v>
      </c>
      <c r="F380" s="39" t="s">
        <v>29</v>
      </c>
      <c r="G380" s="6" t="s">
        <v>101</v>
      </c>
      <c r="H380" s="134" t="s">
        <v>74</v>
      </c>
      <c r="I380" s="135" t="s">
        <v>175</v>
      </c>
      <c r="J380" s="136">
        <v>3</v>
      </c>
      <c r="K380" s="193"/>
      <c r="L380" s="194"/>
      <c r="M380" s="195"/>
      <c r="N380" s="195"/>
      <c r="O380" s="196"/>
      <c r="P380" s="196"/>
      <c r="Q380" s="195"/>
      <c r="R380" s="195"/>
      <c r="S380" s="197">
        <v>188</v>
      </c>
      <c r="T380" s="102">
        <f>SUM(Finance[[#This Row],[Samer]:[Margins]])</f>
        <v>188</v>
      </c>
      <c r="U380" s="103">
        <f>ABS(Finance[[#This Row],[Total (EGP)]])</f>
        <v>188</v>
      </c>
      <c r="V380" s="198"/>
    </row>
    <row r="381" spans="2:22" ht="18" customHeight="1" x14ac:dyDescent="0.3">
      <c r="B381" s="187">
        <v>45807</v>
      </c>
      <c r="C381" s="169">
        <f>YEAR(Finance[[#This Row],[Date]])</f>
        <v>2025</v>
      </c>
      <c r="D381" s="200">
        <f>MONTH(Finance[[#This Row],[Date]])</f>
        <v>5</v>
      </c>
      <c r="E381" s="39" t="s">
        <v>32</v>
      </c>
      <c r="F381" s="39" t="s">
        <v>29</v>
      </c>
      <c r="G381" s="6" t="s">
        <v>32</v>
      </c>
      <c r="H381" s="134" t="s">
        <v>142</v>
      </c>
      <c r="I381" s="135" t="s">
        <v>175</v>
      </c>
      <c r="J381" s="136">
        <v>3</v>
      </c>
      <c r="K381" s="193"/>
      <c r="L381" s="194"/>
      <c r="M381" s="195"/>
      <c r="N381" s="195"/>
      <c r="O381" s="196"/>
      <c r="P381" s="196"/>
      <c r="Q381" s="195"/>
      <c r="R381" s="195"/>
      <c r="S381" s="197">
        <v>563</v>
      </c>
      <c r="T381" s="102">
        <f>SUM(Finance[[#This Row],[Samer]:[Margins]])</f>
        <v>563</v>
      </c>
      <c r="U381" s="103">
        <f>ABS(Finance[[#This Row],[Total (EGP)]])</f>
        <v>563</v>
      </c>
      <c r="V381" s="198"/>
    </row>
    <row r="382" spans="2:22" ht="18" customHeight="1" x14ac:dyDescent="0.3">
      <c r="B382" s="187">
        <v>45809</v>
      </c>
      <c r="C382" s="169">
        <f>YEAR(Finance[[#This Row],[Date]])</f>
        <v>2025</v>
      </c>
      <c r="D382" s="200">
        <f>MONTH(Finance[[#This Row],[Date]])</f>
        <v>6</v>
      </c>
      <c r="E382" s="39" t="s">
        <v>510</v>
      </c>
      <c r="F382" s="6" t="s">
        <v>29</v>
      </c>
      <c r="G382" s="6" t="s">
        <v>111</v>
      </c>
      <c r="H382" s="134" t="s">
        <v>259</v>
      </c>
      <c r="I382" s="135" t="s">
        <v>175</v>
      </c>
      <c r="J382" s="136">
        <v>3</v>
      </c>
      <c r="K382" s="193"/>
      <c r="L382" s="194"/>
      <c r="M382" s="195"/>
      <c r="N382" s="195"/>
      <c r="O382" s="196"/>
      <c r="P382" s="196"/>
      <c r="Q382" s="195"/>
      <c r="R382" s="195"/>
      <c r="S382" s="197">
        <v>20</v>
      </c>
      <c r="T382" s="102">
        <f>SUM(Finance[[#This Row],[Samer]:[Margins]])</f>
        <v>20</v>
      </c>
      <c r="U382" s="103">
        <f>ABS(Finance[[#This Row],[Total (EGP)]])</f>
        <v>20</v>
      </c>
      <c r="V382" s="198"/>
    </row>
    <row r="383" spans="2:22" ht="18" customHeight="1" x14ac:dyDescent="0.3">
      <c r="B383" s="187">
        <v>45809</v>
      </c>
      <c r="C383" s="169">
        <f>YEAR(Finance[[#This Row],[Date]])</f>
        <v>2025</v>
      </c>
      <c r="D383" s="200">
        <f>MONTH(Finance[[#This Row],[Date]])</f>
        <v>6</v>
      </c>
      <c r="E383" s="39" t="s">
        <v>511</v>
      </c>
      <c r="F383" s="39" t="s">
        <v>30</v>
      </c>
      <c r="G383" s="39" t="s">
        <v>127</v>
      </c>
      <c r="H383" s="130" t="s">
        <v>176</v>
      </c>
      <c r="I383" s="114" t="s">
        <v>177</v>
      </c>
      <c r="J383" s="131">
        <v>1</v>
      </c>
      <c r="K383" s="31"/>
      <c r="L383" s="132">
        <f>57*56.88*1.25</f>
        <v>4052.7000000000003</v>
      </c>
      <c r="M383" s="195"/>
      <c r="N383" s="195"/>
      <c r="O383" s="196"/>
      <c r="P383" s="196"/>
      <c r="Q383" s="195"/>
      <c r="R383" s="195"/>
      <c r="S383" s="197"/>
      <c r="T383" s="102">
        <f>SUM(Finance[[#This Row],[Samer]:[Margins]])</f>
        <v>4052.7000000000003</v>
      </c>
      <c r="U383" s="103">
        <f>ABS(Finance[[#This Row],[Total (EGP)]])</f>
        <v>4052.7000000000003</v>
      </c>
      <c r="V383" s="198"/>
    </row>
    <row r="384" spans="2:22" ht="18" customHeight="1" x14ac:dyDescent="0.3">
      <c r="B384" s="187">
        <v>45809</v>
      </c>
      <c r="C384" s="169">
        <f>YEAR(Finance[[#This Row],[Date]])</f>
        <v>2025</v>
      </c>
      <c r="D384" s="200">
        <f>MONTH(Finance[[#This Row],[Date]])</f>
        <v>6</v>
      </c>
      <c r="E384" s="39" t="s">
        <v>512</v>
      </c>
      <c r="F384" s="39" t="s">
        <v>30</v>
      </c>
      <c r="G384" s="39" t="s">
        <v>109</v>
      </c>
      <c r="H384" s="130" t="s">
        <v>176</v>
      </c>
      <c r="I384" s="114" t="s">
        <v>177</v>
      </c>
      <c r="J384" s="131">
        <v>1</v>
      </c>
      <c r="K384" s="175"/>
      <c r="L384" s="176">
        <f>17.66*2*49.74*1.05</f>
        <v>1844.6576400000001</v>
      </c>
      <c r="M384" s="195"/>
      <c r="N384" s="195"/>
      <c r="O384" s="196"/>
      <c r="P384" s="196"/>
      <c r="Q384" s="195"/>
      <c r="R384" s="195"/>
      <c r="S384" s="197"/>
      <c r="T384" s="102">
        <f>SUM(Finance[[#This Row],[Samer]:[Margins]])</f>
        <v>1844.6576400000001</v>
      </c>
      <c r="U384" s="103">
        <f>ABS(Finance[[#This Row],[Total (EGP)]])</f>
        <v>1844.6576400000001</v>
      </c>
      <c r="V384" s="198"/>
    </row>
    <row r="385" spans="2:22" ht="18" customHeight="1" x14ac:dyDescent="0.3">
      <c r="B385" s="187">
        <v>45809</v>
      </c>
      <c r="C385" s="169">
        <f>YEAR(Finance[[#This Row],[Date]])</f>
        <v>2025</v>
      </c>
      <c r="D385" s="200">
        <f>MONTH(Finance[[#This Row],[Date]])</f>
        <v>6</v>
      </c>
      <c r="E385" s="39" t="s">
        <v>550</v>
      </c>
      <c r="F385" s="6" t="s">
        <v>29</v>
      </c>
      <c r="G385" s="6" t="s">
        <v>95</v>
      </c>
      <c r="H385" s="134" t="s">
        <v>194</v>
      </c>
      <c r="I385" s="135" t="s">
        <v>175</v>
      </c>
      <c r="J385" s="136">
        <v>3</v>
      </c>
      <c r="K385" s="193"/>
      <c r="L385" s="194"/>
      <c r="M385" s="195"/>
      <c r="N385" s="195"/>
      <c r="O385" s="196"/>
      <c r="P385" s="196"/>
      <c r="Q385" s="195"/>
      <c r="R385" s="195">
        <f>94.8+260.7</f>
        <v>355.5</v>
      </c>
      <c r="S385" s="197"/>
      <c r="T385" s="102">
        <f>SUM(Finance[[#This Row],[Samer]:[Margins]])</f>
        <v>355.5</v>
      </c>
      <c r="U385" s="103">
        <f>ABS(Finance[[#This Row],[Total (EGP)]])</f>
        <v>355.5</v>
      </c>
      <c r="V385" s="198"/>
    </row>
    <row r="386" spans="2:22" ht="18" customHeight="1" x14ac:dyDescent="0.3">
      <c r="B386" s="218">
        <v>45809</v>
      </c>
      <c r="C386" s="169">
        <f>YEAR(Finance[[#This Row],[Date]])</f>
        <v>2025</v>
      </c>
      <c r="D386" s="220">
        <f>MONTH(Finance[[#This Row],[Date]])</f>
        <v>6</v>
      </c>
      <c r="E386" s="222" t="s">
        <v>591</v>
      </c>
      <c r="F386" s="39" t="s">
        <v>29</v>
      </c>
      <c r="G386" s="39" t="s">
        <v>108</v>
      </c>
      <c r="H386" s="130" t="s">
        <v>182</v>
      </c>
      <c r="I386" s="114" t="s">
        <v>175</v>
      </c>
      <c r="J386" s="131">
        <v>4</v>
      </c>
      <c r="K386" s="201"/>
      <c r="L386" s="202">
        <f>280*50</f>
        <v>14000</v>
      </c>
      <c r="M386" s="203"/>
      <c r="N386" s="203"/>
      <c r="O386" s="204"/>
      <c r="P386" s="204"/>
      <c r="Q386" s="203"/>
      <c r="R386" s="203"/>
      <c r="S386" s="205"/>
      <c r="T386" s="102">
        <f>SUM(Finance[[#This Row],[Samer]:[Margins]])</f>
        <v>14000</v>
      </c>
      <c r="U386" s="103">
        <f>ABS(Finance[[#This Row],[Total (EGP)]])</f>
        <v>14000</v>
      </c>
      <c r="V386" s="206"/>
    </row>
    <row r="387" spans="2:22" ht="18" customHeight="1" x14ac:dyDescent="0.3">
      <c r="B387" s="187">
        <v>45810</v>
      </c>
      <c r="C387" s="169">
        <f>YEAR(Finance[[#This Row],[Date]])</f>
        <v>2025</v>
      </c>
      <c r="D387" s="200">
        <f>MONTH(Finance[[#This Row],[Date]])</f>
        <v>6</v>
      </c>
      <c r="E387" s="6" t="s">
        <v>167</v>
      </c>
      <c r="F387" s="6" t="s">
        <v>29</v>
      </c>
      <c r="G387" s="6" t="s">
        <v>55</v>
      </c>
      <c r="H387" s="134" t="s">
        <v>258</v>
      </c>
      <c r="I387" s="135" t="s">
        <v>175</v>
      </c>
      <c r="J387" s="136">
        <v>3</v>
      </c>
      <c r="K387" s="193"/>
      <c r="L387" s="194"/>
      <c r="M387" s="195"/>
      <c r="N387" s="195"/>
      <c r="O387" s="196"/>
      <c r="P387" s="196"/>
      <c r="Q387" s="195"/>
      <c r="R387" s="195"/>
      <c r="S387" s="197">
        <v>115</v>
      </c>
      <c r="T387" s="102">
        <f>SUM(Finance[[#This Row],[Samer]:[Margins]])</f>
        <v>115</v>
      </c>
      <c r="U387" s="103">
        <f>ABS(Finance[[#This Row],[Total (EGP)]])</f>
        <v>115</v>
      </c>
      <c r="V387" s="198"/>
    </row>
    <row r="388" spans="2:22" ht="18" customHeight="1" x14ac:dyDescent="0.3">
      <c r="B388" s="187">
        <v>45810</v>
      </c>
      <c r="C388" s="169">
        <f>YEAR(Finance[[#This Row],[Date]])</f>
        <v>2025</v>
      </c>
      <c r="D388" s="200">
        <f>MONTH(Finance[[#This Row],[Date]])</f>
        <v>6</v>
      </c>
      <c r="E388" s="39" t="s">
        <v>179</v>
      </c>
      <c r="F388" s="39" t="s">
        <v>37</v>
      </c>
      <c r="G388" s="39" t="s">
        <v>36</v>
      </c>
      <c r="H388" s="48" t="s">
        <v>181</v>
      </c>
      <c r="I388" s="114" t="s">
        <v>175</v>
      </c>
      <c r="J388" s="192">
        <v>0</v>
      </c>
      <c r="K388" s="193"/>
      <c r="L388" s="194">
        <v>-85000</v>
      </c>
      <c r="M388" s="195"/>
      <c r="N388" s="195"/>
      <c r="O388" s="196"/>
      <c r="P388" s="196"/>
      <c r="Q388" s="195"/>
      <c r="R388" s="195">
        <v>85000</v>
      </c>
      <c r="S388" s="197"/>
      <c r="T388" s="102">
        <f>SUM(Finance[[#This Row],[Samer]:[Margins]])</f>
        <v>0</v>
      </c>
      <c r="U388" s="103">
        <f>ABS(Finance[[#This Row],[Total (EGP)]])</f>
        <v>0</v>
      </c>
      <c r="V388" s="198"/>
    </row>
    <row r="389" spans="2:22" ht="18" customHeight="1" x14ac:dyDescent="0.3">
      <c r="B389" s="187">
        <v>45810</v>
      </c>
      <c r="C389" s="169">
        <f>YEAR(Finance[[#This Row],[Date]])</f>
        <v>2025</v>
      </c>
      <c r="D389" s="200">
        <f>MONTH(Finance[[#This Row],[Date]])</f>
        <v>6</v>
      </c>
      <c r="E389" s="39" t="s">
        <v>551</v>
      </c>
      <c r="F389" s="6" t="s">
        <v>29</v>
      </c>
      <c r="G389" s="6" t="s">
        <v>95</v>
      </c>
      <c r="H389" s="134" t="s">
        <v>194</v>
      </c>
      <c r="I389" s="135" t="s">
        <v>175</v>
      </c>
      <c r="J389" s="136">
        <v>3</v>
      </c>
      <c r="K389" s="193"/>
      <c r="L389" s="194"/>
      <c r="M389" s="195"/>
      <c r="N389" s="195"/>
      <c r="O389" s="196"/>
      <c r="P389" s="196"/>
      <c r="Q389" s="195"/>
      <c r="R389" s="195">
        <v>300</v>
      </c>
      <c r="S389" s="197"/>
      <c r="T389" s="102">
        <f>SUM(Finance[[#This Row],[Samer]:[Margins]])</f>
        <v>300</v>
      </c>
      <c r="U389" s="103">
        <f>ABS(Finance[[#This Row],[Total (EGP)]])</f>
        <v>300</v>
      </c>
      <c r="V389" s="198"/>
    </row>
    <row r="390" spans="2:22" ht="18" customHeight="1" x14ac:dyDescent="0.3">
      <c r="B390" s="187">
        <v>45811</v>
      </c>
      <c r="C390" s="169">
        <f>YEAR(Finance[[#This Row],[Date]])</f>
        <v>2025</v>
      </c>
      <c r="D390" s="200">
        <f>MONTH(Finance[[#This Row],[Date]])</f>
        <v>6</v>
      </c>
      <c r="E390" s="6" t="s">
        <v>513</v>
      </c>
      <c r="F390" s="6" t="s">
        <v>73</v>
      </c>
      <c r="G390" s="6" t="s">
        <v>75</v>
      </c>
      <c r="H390" s="134" t="s">
        <v>234</v>
      </c>
      <c r="I390" s="135" t="s">
        <v>177</v>
      </c>
      <c r="J390" s="136">
        <v>4</v>
      </c>
      <c r="K390" s="193"/>
      <c r="L390" s="194"/>
      <c r="M390" s="195"/>
      <c r="N390" s="195"/>
      <c r="O390" s="196"/>
      <c r="P390" s="196"/>
      <c r="Q390" s="195">
        <v>-13618.72</v>
      </c>
      <c r="R390" s="195"/>
      <c r="S390" s="197"/>
      <c r="T390" s="102">
        <f>SUM(Finance[[#This Row],[Samer]:[Margins]])</f>
        <v>-13618.72</v>
      </c>
      <c r="U390" s="103">
        <f>ABS(Finance[[#This Row],[Total (EGP)]])</f>
        <v>13618.72</v>
      </c>
      <c r="V390" s="198"/>
    </row>
    <row r="391" spans="2:22" ht="18" customHeight="1" x14ac:dyDescent="0.3">
      <c r="B391" s="187">
        <v>45811</v>
      </c>
      <c r="C391" s="169">
        <f>YEAR(Finance[[#This Row],[Date]])</f>
        <v>2025</v>
      </c>
      <c r="D391" s="200">
        <f>MONTH(Finance[[#This Row],[Date]])</f>
        <v>6</v>
      </c>
      <c r="E391" s="6" t="s">
        <v>237</v>
      </c>
      <c r="F391" s="6" t="s">
        <v>73</v>
      </c>
      <c r="G391" s="6" t="s">
        <v>75</v>
      </c>
      <c r="H391" s="134" t="s">
        <v>90</v>
      </c>
      <c r="I391" s="135" t="s">
        <v>177</v>
      </c>
      <c r="J391" s="136">
        <v>4</v>
      </c>
      <c r="K391" s="193"/>
      <c r="L391" s="194"/>
      <c r="M391" s="195"/>
      <c r="N391" s="195"/>
      <c r="O391" s="196"/>
      <c r="P391" s="196"/>
      <c r="Q391" s="195">
        <f>-13618.72*0.14</f>
        <v>-1906.6208000000001</v>
      </c>
      <c r="R391" s="195"/>
      <c r="S391" s="197"/>
      <c r="T391" s="102">
        <f>SUM(Finance[[#This Row],[Samer]:[Margins]])</f>
        <v>-1906.6208000000001</v>
      </c>
      <c r="U391" s="103">
        <f>ABS(Finance[[#This Row],[Total (EGP)]])</f>
        <v>1906.6208000000001</v>
      </c>
      <c r="V391" s="198"/>
    </row>
    <row r="392" spans="2:22" ht="18" customHeight="1" x14ac:dyDescent="0.3">
      <c r="B392" s="187">
        <v>45811</v>
      </c>
      <c r="C392" s="169">
        <f>YEAR(Finance[[#This Row],[Date]])</f>
        <v>2025</v>
      </c>
      <c r="D392" s="200">
        <f>MONTH(Finance[[#This Row],[Date]])</f>
        <v>6</v>
      </c>
      <c r="E392" s="6" t="s">
        <v>238</v>
      </c>
      <c r="F392" s="6" t="s">
        <v>84</v>
      </c>
      <c r="G392" s="6" t="s">
        <v>86</v>
      </c>
      <c r="H392" s="134" t="s">
        <v>234</v>
      </c>
      <c r="I392" s="135" t="s">
        <v>177</v>
      </c>
      <c r="J392" s="136">
        <v>4</v>
      </c>
      <c r="K392" s="193"/>
      <c r="L392" s="194"/>
      <c r="M392" s="195"/>
      <c r="N392" s="195"/>
      <c r="O392" s="196"/>
      <c r="P392" s="196"/>
      <c r="Q392" s="195">
        <f>13618.72*0.03</f>
        <v>408.56159999999994</v>
      </c>
      <c r="R392" s="195"/>
      <c r="S392" s="197"/>
      <c r="T392" s="102">
        <f>SUM(Finance[[#This Row],[Samer]:[Margins]])</f>
        <v>408.56159999999994</v>
      </c>
      <c r="U392" s="103">
        <f>ABS(Finance[[#This Row],[Total (EGP)]])</f>
        <v>408.56159999999994</v>
      </c>
      <c r="V392" s="198"/>
    </row>
    <row r="393" spans="2:22" ht="18" customHeight="1" x14ac:dyDescent="0.3">
      <c r="B393" s="187">
        <v>45811</v>
      </c>
      <c r="C393" s="169">
        <f>YEAR(Finance[[#This Row],[Date]])</f>
        <v>2025</v>
      </c>
      <c r="D393" s="200">
        <f>MONTH(Finance[[#This Row],[Date]])</f>
        <v>6</v>
      </c>
      <c r="E393" s="6" t="s">
        <v>514</v>
      </c>
      <c r="F393" s="6" t="s">
        <v>73</v>
      </c>
      <c r="G393" s="6" t="s">
        <v>233</v>
      </c>
      <c r="H393" s="134" t="s">
        <v>234</v>
      </c>
      <c r="I393" s="135" t="s">
        <v>235</v>
      </c>
      <c r="J393" s="136">
        <v>1</v>
      </c>
      <c r="K393" s="193"/>
      <c r="L393" s="194"/>
      <c r="M393" s="195"/>
      <c r="N393" s="195"/>
      <c r="O393" s="196"/>
      <c r="P393" s="196"/>
      <c r="Q393" s="195">
        <v>-117420.61</v>
      </c>
      <c r="R393" s="195"/>
      <c r="S393" s="197"/>
      <c r="T393" s="102">
        <f>SUM(Finance[[#This Row],[Samer]:[Margins]])</f>
        <v>-117420.61</v>
      </c>
      <c r="U393" s="103">
        <f>ABS(Finance[[#This Row],[Total (EGP)]])</f>
        <v>117420.61</v>
      </c>
      <c r="V393" s="198"/>
    </row>
    <row r="394" spans="2:22" ht="18" customHeight="1" x14ac:dyDescent="0.3">
      <c r="B394" s="187">
        <v>45811</v>
      </c>
      <c r="C394" s="169">
        <f>YEAR(Finance[[#This Row],[Date]])</f>
        <v>2025</v>
      </c>
      <c r="D394" s="200">
        <f>MONTH(Finance[[#This Row],[Date]])</f>
        <v>6</v>
      </c>
      <c r="E394" s="6" t="s">
        <v>237</v>
      </c>
      <c r="F394" s="6" t="s">
        <v>73</v>
      </c>
      <c r="G394" s="126" t="s">
        <v>233</v>
      </c>
      <c r="H394" s="127" t="s">
        <v>90</v>
      </c>
      <c r="I394" s="135" t="s">
        <v>235</v>
      </c>
      <c r="J394" s="129">
        <v>1</v>
      </c>
      <c r="K394" s="193"/>
      <c r="L394" s="194" t="s">
        <v>408</v>
      </c>
      <c r="M394" s="195"/>
      <c r="N394" s="195"/>
      <c r="O394" s="196"/>
      <c r="P394" s="196"/>
      <c r="Q394" s="195">
        <f>-529659.49*0.14</f>
        <v>-74152.328600000008</v>
      </c>
      <c r="R394" s="195"/>
      <c r="S394" s="197"/>
      <c r="T394" s="102">
        <f>SUM(Finance[[#This Row],[Samer]:[Margins]])</f>
        <v>-74152.328600000008</v>
      </c>
      <c r="U394" s="103">
        <f>ABS(Finance[[#This Row],[Total (EGP)]])</f>
        <v>74152.328600000008</v>
      </c>
      <c r="V394" s="198"/>
    </row>
    <row r="395" spans="2:22" ht="18" customHeight="1" x14ac:dyDescent="0.3">
      <c r="B395" s="187">
        <v>45811</v>
      </c>
      <c r="C395" s="169">
        <f>YEAR(Finance[[#This Row],[Date]])</f>
        <v>2025</v>
      </c>
      <c r="D395" s="200">
        <f>MONTH(Finance[[#This Row],[Date]])</f>
        <v>6</v>
      </c>
      <c r="E395" s="6" t="s">
        <v>238</v>
      </c>
      <c r="F395" s="6" t="s">
        <v>84</v>
      </c>
      <c r="G395" s="6" t="s">
        <v>86</v>
      </c>
      <c r="H395" s="134" t="s">
        <v>234</v>
      </c>
      <c r="I395" s="135" t="s">
        <v>235</v>
      </c>
      <c r="J395" s="129">
        <v>1</v>
      </c>
      <c r="K395" s="193"/>
      <c r="L395" s="194"/>
      <c r="M395" s="195"/>
      <c r="N395" s="195"/>
      <c r="O395" s="196"/>
      <c r="P395" s="196"/>
      <c r="Q395" s="195">
        <f>529659.49*0.03</f>
        <v>15889.784699999998</v>
      </c>
      <c r="R395" s="195"/>
      <c r="S395" s="197"/>
      <c r="T395" s="102">
        <f>SUM(Finance[[#This Row],[Samer]:[Margins]])</f>
        <v>15889.784699999998</v>
      </c>
      <c r="U395" s="103">
        <f>ABS(Finance[[#This Row],[Total (EGP)]])</f>
        <v>15889.784699999998</v>
      </c>
      <c r="V395" s="198"/>
    </row>
    <row r="396" spans="2:22" ht="18" customHeight="1" x14ac:dyDescent="0.3">
      <c r="B396" s="187">
        <v>45811</v>
      </c>
      <c r="C396" s="169">
        <f>YEAR(Finance[[#This Row],[Date]])</f>
        <v>2025</v>
      </c>
      <c r="D396" s="200">
        <f>MONTH(Finance[[#This Row],[Date]])</f>
        <v>6</v>
      </c>
      <c r="E396" s="6" t="s">
        <v>515</v>
      </c>
      <c r="F396" s="6" t="s">
        <v>73</v>
      </c>
      <c r="G396" s="6" t="s">
        <v>233</v>
      </c>
      <c r="H396" s="134" t="s">
        <v>234</v>
      </c>
      <c r="I396" s="135" t="s">
        <v>235</v>
      </c>
      <c r="J396" s="136">
        <v>1</v>
      </c>
      <c r="K396" s="193"/>
      <c r="L396" s="194"/>
      <c r="M396" s="195"/>
      <c r="N396" s="195"/>
      <c r="O396" s="196"/>
      <c r="P396" s="196"/>
      <c r="Q396" s="195">
        <v>-59200.07</v>
      </c>
      <c r="R396" s="195"/>
      <c r="S396" s="197"/>
      <c r="T396" s="102">
        <f>SUM(Finance[[#This Row],[Samer]:[Margins]])</f>
        <v>-59200.07</v>
      </c>
      <c r="U396" s="103">
        <f>ABS(Finance[[#This Row],[Total (EGP)]])</f>
        <v>59200.07</v>
      </c>
      <c r="V396" s="198"/>
    </row>
    <row r="397" spans="2:22" ht="18" customHeight="1" x14ac:dyDescent="0.3">
      <c r="B397" s="187">
        <v>45812</v>
      </c>
      <c r="C397" s="169">
        <f>YEAR(Finance[[#This Row],[Date]])</f>
        <v>2025</v>
      </c>
      <c r="D397" s="200">
        <f>MONTH(Finance[[#This Row],[Date]])</f>
        <v>6</v>
      </c>
      <c r="E397" s="188" t="s">
        <v>516</v>
      </c>
      <c r="F397" s="189" t="s">
        <v>37</v>
      </c>
      <c r="G397" s="189" t="s">
        <v>36</v>
      </c>
      <c r="H397" s="190" t="s">
        <v>181</v>
      </c>
      <c r="I397" s="191" t="s">
        <v>175</v>
      </c>
      <c r="J397" s="192">
        <v>0</v>
      </c>
      <c r="K397" s="193"/>
      <c r="L397" s="194"/>
      <c r="M397" s="195"/>
      <c r="N397" s="195"/>
      <c r="O397" s="196"/>
      <c r="P397" s="196"/>
      <c r="Q397" s="195">
        <v>200000</v>
      </c>
      <c r="R397" s="195">
        <v>-195000</v>
      </c>
      <c r="S397" s="197">
        <v>-5000</v>
      </c>
      <c r="T397" s="102">
        <f>SUM(Finance[[#This Row],[Samer]:[Margins]])</f>
        <v>0</v>
      </c>
      <c r="U397" s="103">
        <f>ABS(Finance[[#This Row],[Total (EGP)]])</f>
        <v>0</v>
      </c>
      <c r="V397" s="198"/>
    </row>
    <row r="398" spans="2:22" ht="18" customHeight="1" x14ac:dyDescent="0.3">
      <c r="B398" s="187">
        <v>45812</v>
      </c>
      <c r="C398" s="169">
        <f>YEAR(Finance[[#This Row],[Date]])</f>
        <v>2025</v>
      </c>
      <c r="D398" s="200">
        <f>MONTH(Finance[[#This Row],[Date]])</f>
        <v>6</v>
      </c>
      <c r="E398" s="6" t="s">
        <v>340</v>
      </c>
      <c r="F398" s="39" t="s">
        <v>29</v>
      </c>
      <c r="G398" s="39" t="s">
        <v>213</v>
      </c>
      <c r="H398" s="48" t="s">
        <v>214</v>
      </c>
      <c r="I398" s="114" t="s">
        <v>175</v>
      </c>
      <c r="J398" s="131">
        <v>3</v>
      </c>
      <c r="K398" s="193"/>
      <c r="L398" s="194"/>
      <c r="M398" s="195"/>
      <c r="N398" s="195"/>
      <c r="O398" s="196"/>
      <c r="P398" s="196"/>
      <c r="Q398" s="195">
        <v>50000</v>
      </c>
      <c r="R398" s="195"/>
      <c r="S398" s="197"/>
      <c r="T398" s="102">
        <f>SUM(Finance[[#This Row],[Samer]:[Margins]])</f>
        <v>50000</v>
      </c>
      <c r="U398" s="103">
        <f>ABS(Finance[[#This Row],[Total (EGP)]])</f>
        <v>50000</v>
      </c>
      <c r="V398" s="198"/>
    </row>
    <row r="399" spans="2:22" ht="18" customHeight="1" x14ac:dyDescent="0.3">
      <c r="B399" s="187">
        <v>45812</v>
      </c>
      <c r="C399" s="169">
        <f>YEAR(Finance[[#This Row],[Date]])</f>
        <v>2025</v>
      </c>
      <c r="D399" s="200">
        <f>MONTH(Finance[[#This Row],[Date]])</f>
        <v>6</v>
      </c>
      <c r="E399" s="6" t="s">
        <v>553</v>
      </c>
      <c r="F399" s="6" t="s">
        <v>73</v>
      </c>
      <c r="G399" s="6" t="s">
        <v>103</v>
      </c>
      <c r="H399" s="134" t="s">
        <v>199</v>
      </c>
      <c r="I399" s="135" t="s">
        <v>200</v>
      </c>
      <c r="J399" s="136">
        <v>4</v>
      </c>
      <c r="K399" s="175"/>
      <c r="L399" s="176"/>
      <c r="M399" s="177"/>
      <c r="N399" s="177"/>
      <c r="O399" s="178"/>
      <c r="P399" s="178"/>
      <c r="Q399" s="177"/>
      <c r="R399" s="177">
        <v>-13125</v>
      </c>
      <c r="S399" s="197"/>
      <c r="T399" s="102">
        <f>SUM(Finance[[#This Row],[Samer]:[Margins]])</f>
        <v>-13125</v>
      </c>
      <c r="U399" s="103">
        <f>ABS(Finance[[#This Row],[Total (EGP)]])</f>
        <v>13125</v>
      </c>
      <c r="V399" s="198"/>
    </row>
    <row r="400" spans="2:22" ht="18" customHeight="1" x14ac:dyDescent="0.3">
      <c r="B400" s="187">
        <v>45812</v>
      </c>
      <c r="C400" s="169">
        <f>YEAR(Finance[[#This Row],[Date]])</f>
        <v>2025</v>
      </c>
      <c r="D400" s="200">
        <f>MONTH(Finance[[#This Row],[Date]])</f>
        <v>6</v>
      </c>
      <c r="E400" s="6" t="s">
        <v>374</v>
      </c>
      <c r="F400" s="6" t="s">
        <v>73</v>
      </c>
      <c r="G400" s="6" t="s">
        <v>103</v>
      </c>
      <c r="H400" s="134" t="s">
        <v>90</v>
      </c>
      <c r="I400" s="135" t="s">
        <v>200</v>
      </c>
      <c r="J400" s="136">
        <v>4</v>
      </c>
      <c r="K400" s="175"/>
      <c r="L400" s="176"/>
      <c r="M400" s="177"/>
      <c r="N400" s="177"/>
      <c r="O400" s="178"/>
      <c r="P400" s="178"/>
      <c r="Q400" s="177"/>
      <c r="R400" s="177">
        <f>-13125*0.14</f>
        <v>-1837.5000000000002</v>
      </c>
      <c r="S400" s="197"/>
      <c r="T400" s="102">
        <f>SUM(Finance[[#This Row],[Samer]:[Margins]])</f>
        <v>-1837.5000000000002</v>
      </c>
      <c r="U400" s="103">
        <f>ABS(Finance[[#This Row],[Total (EGP)]])</f>
        <v>1837.5000000000002</v>
      </c>
      <c r="V400" s="198"/>
    </row>
    <row r="401" spans="2:22" ht="18" customHeight="1" x14ac:dyDescent="0.3">
      <c r="B401" s="187">
        <v>45812</v>
      </c>
      <c r="C401" s="169">
        <f>YEAR(Finance[[#This Row],[Date]])</f>
        <v>2025</v>
      </c>
      <c r="D401" s="200">
        <f>MONTH(Finance[[#This Row],[Date]])</f>
        <v>6</v>
      </c>
      <c r="E401" s="6" t="s">
        <v>375</v>
      </c>
      <c r="F401" s="6" t="s">
        <v>84</v>
      </c>
      <c r="G401" s="6" t="s">
        <v>86</v>
      </c>
      <c r="H401" s="134" t="s">
        <v>199</v>
      </c>
      <c r="I401" s="135" t="s">
        <v>200</v>
      </c>
      <c r="J401" s="136">
        <v>4</v>
      </c>
      <c r="K401" s="175"/>
      <c r="L401" s="176"/>
      <c r="M401" s="177"/>
      <c r="N401" s="177"/>
      <c r="O401" s="178"/>
      <c r="P401" s="178"/>
      <c r="Q401" s="177"/>
      <c r="R401" s="177">
        <f>13125*0.03</f>
        <v>393.75</v>
      </c>
      <c r="S401" s="197"/>
      <c r="T401" s="102">
        <f>SUM(Finance[[#This Row],[Samer]:[Margins]])</f>
        <v>393.75</v>
      </c>
      <c r="U401" s="103">
        <f>ABS(Finance[[#This Row],[Total (EGP)]])</f>
        <v>393.75</v>
      </c>
      <c r="V401" s="198"/>
    </row>
    <row r="402" spans="2:22" ht="18" customHeight="1" x14ac:dyDescent="0.3">
      <c r="B402" s="187">
        <v>45812</v>
      </c>
      <c r="C402" s="169">
        <f>YEAR(Finance[[#This Row],[Date]])</f>
        <v>2025</v>
      </c>
      <c r="D402" s="200">
        <f>MONTH(Finance[[#This Row],[Date]])</f>
        <v>6</v>
      </c>
      <c r="E402" s="6" t="s">
        <v>244</v>
      </c>
      <c r="F402" s="6" t="s">
        <v>29</v>
      </c>
      <c r="G402" s="6" t="s">
        <v>95</v>
      </c>
      <c r="H402" s="134" t="s">
        <v>194</v>
      </c>
      <c r="I402" s="135" t="s">
        <v>200</v>
      </c>
      <c r="J402" s="136">
        <v>3</v>
      </c>
      <c r="K402" s="175"/>
      <c r="L402" s="176"/>
      <c r="M402" s="177"/>
      <c r="N402" s="177"/>
      <c r="O402" s="178"/>
      <c r="P402" s="178"/>
      <c r="Q402" s="177"/>
      <c r="R402" s="177">
        <v>10</v>
      </c>
      <c r="S402" s="197"/>
      <c r="T402" s="102">
        <f>SUM(Finance[[#This Row],[Samer]:[Margins]])</f>
        <v>10</v>
      </c>
      <c r="U402" s="103">
        <f>ABS(Finance[[#This Row],[Total (EGP)]])</f>
        <v>10</v>
      </c>
      <c r="V402" s="198"/>
    </row>
    <row r="403" spans="2:22" ht="18" customHeight="1" x14ac:dyDescent="0.3">
      <c r="B403" s="218">
        <v>45812</v>
      </c>
      <c r="C403" s="169">
        <f>YEAR(Finance[[#This Row],[Date]])</f>
        <v>2025</v>
      </c>
      <c r="D403" s="200">
        <f>MONTH(Finance[[#This Row],[Date]])</f>
        <v>6</v>
      </c>
      <c r="E403" s="221" t="s">
        <v>295</v>
      </c>
      <c r="F403" s="39" t="s">
        <v>29</v>
      </c>
      <c r="G403" s="6" t="s">
        <v>111</v>
      </c>
      <c r="H403" s="134" t="s">
        <v>296</v>
      </c>
      <c r="I403" s="114" t="s">
        <v>175</v>
      </c>
      <c r="J403" s="136">
        <v>3</v>
      </c>
      <c r="K403" s="201"/>
      <c r="L403" s="202"/>
      <c r="M403" s="203"/>
      <c r="N403" s="203"/>
      <c r="O403" s="204"/>
      <c r="P403" s="204"/>
      <c r="Q403" s="203"/>
      <c r="R403" s="203"/>
      <c r="S403" s="205">
        <v>414</v>
      </c>
      <c r="T403" s="102">
        <f>SUM(Finance[[#This Row],[Samer]:[Margins]])</f>
        <v>414</v>
      </c>
      <c r="U403" s="103">
        <f>ABS(Finance[[#This Row],[Total (EGP)]])</f>
        <v>414</v>
      </c>
      <c r="V403" s="206"/>
    </row>
    <row r="404" spans="2:22" ht="18" customHeight="1" x14ac:dyDescent="0.3">
      <c r="B404" s="168">
        <v>45816</v>
      </c>
      <c r="C404" s="169">
        <f>YEAR(Finance[[#This Row],[Date]])</f>
        <v>2025</v>
      </c>
      <c r="D404" s="200">
        <f>MONTH(Finance[[#This Row],[Date]])</f>
        <v>6</v>
      </c>
      <c r="E404" s="6" t="s">
        <v>524</v>
      </c>
      <c r="F404" s="6" t="s">
        <v>29</v>
      </c>
      <c r="G404" s="6" t="s">
        <v>108</v>
      </c>
      <c r="H404" s="134" t="s">
        <v>182</v>
      </c>
      <c r="I404" s="135" t="s">
        <v>175</v>
      </c>
      <c r="J404" s="136">
        <v>1</v>
      </c>
      <c r="K404" s="31"/>
      <c r="L404" s="132">
        <v>599</v>
      </c>
      <c r="M404" s="177"/>
      <c r="N404" s="177"/>
      <c r="O404" s="178"/>
      <c r="P404" s="178"/>
      <c r="Q404" s="177"/>
      <c r="R404" s="177"/>
      <c r="S404" s="197"/>
      <c r="T404" s="102">
        <f>SUM(Finance[[#This Row],[Samer]:[Margins]])</f>
        <v>599</v>
      </c>
      <c r="U404" s="103">
        <f>ABS(Finance[[#This Row],[Total (EGP)]])</f>
        <v>599</v>
      </c>
      <c r="V404" s="198"/>
    </row>
    <row r="405" spans="2:22" ht="18" customHeight="1" x14ac:dyDescent="0.3">
      <c r="B405" s="168">
        <v>45818</v>
      </c>
      <c r="C405" s="169">
        <f>YEAR(Finance[[#This Row],[Date]])</f>
        <v>2025</v>
      </c>
      <c r="D405" s="200">
        <f>MONTH(Finance[[#This Row],[Date]])</f>
        <v>6</v>
      </c>
      <c r="E405" s="39" t="s">
        <v>525</v>
      </c>
      <c r="F405" s="39" t="s">
        <v>30</v>
      </c>
      <c r="G405" s="6" t="s">
        <v>127</v>
      </c>
      <c r="H405" s="48" t="s">
        <v>176</v>
      </c>
      <c r="I405" s="135" t="s">
        <v>184</v>
      </c>
      <c r="J405" s="136">
        <v>4</v>
      </c>
      <c r="K405" s="136"/>
      <c r="L405" s="132">
        <f>78.28*49.75*1.25</f>
        <v>4868.0374999999995</v>
      </c>
      <c r="M405" s="177"/>
      <c r="N405" s="177"/>
      <c r="O405" s="178"/>
      <c r="P405" s="178"/>
      <c r="Q405" s="177"/>
      <c r="R405" s="177"/>
      <c r="S405" s="197"/>
      <c r="T405" s="102">
        <f>SUM(Finance[[#This Row],[Samer]:[Margins]])</f>
        <v>4868.0374999999995</v>
      </c>
      <c r="U405" s="103">
        <f>ABS(Finance[[#This Row],[Total (EGP)]])</f>
        <v>4868.0374999999995</v>
      </c>
      <c r="V405" s="198"/>
    </row>
    <row r="406" spans="2:22" ht="18" customHeight="1" x14ac:dyDescent="0.3">
      <c r="B406" s="168">
        <v>45818</v>
      </c>
      <c r="C406" s="169">
        <f>YEAR(Finance[[#This Row],[Date]])</f>
        <v>2025</v>
      </c>
      <c r="D406" s="200">
        <f>MONTH(Finance[[#This Row],[Date]])</f>
        <v>6</v>
      </c>
      <c r="E406" s="6" t="s">
        <v>526</v>
      </c>
      <c r="F406" s="39" t="s">
        <v>30</v>
      </c>
      <c r="G406" s="39" t="s">
        <v>127</v>
      </c>
      <c r="H406" s="48" t="s">
        <v>176</v>
      </c>
      <c r="I406" s="135" t="s">
        <v>185</v>
      </c>
      <c r="J406" s="136">
        <v>4</v>
      </c>
      <c r="K406" s="31"/>
      <c r="L406" s="132">
        <f>153*49.75*1.25</f>
        <v>9514.6875</v>
      </c>
      <c r="M406" s="177"/>
      <c r="N406" s="177"/>
      <c r="O406" s="178"/>
      <c r="P406" s="178"/>
      <c r="Q406" s="177"/>
      <c r="R406" s="177"/>
      <c r="S406" s="197"/>
      <c r="T406" s="102">
        <f>SUM(Finance[[#This Row],[Samer]:[Margins]])</f>
        <v>9514.6875</v>
      </c>
      <c r="U406" s="103">
        <f>ABS(Finance[[#This Row],[Total (EGP)]])</f>
        <v>9514.6875</v>
      </c>
      <c r="V406" s="198"/>
    </row>
    <row r="407" spans="2:22" ht="18" customHeight="1" x14ac:dyDescent="0.3">
      <c r="B407" s="168">
        <v>45818</v>
      </c>
      <c r="C407" s="169">
        <f>YEAR(Finance[[#This Row],[Date]])</f>
        <v>2025</v>
      </c>
      <c r="D407" s="200">
        <f>MONTH(Finance[[#This Row],[Date]])</f>
        <v>6</v>
      </c>
      <c r="E407" s="153" t="s">
        <v>295</v>
      </c>
      <c r="F407" s="6" t="s">
        <v>29</v>
      </c>
      <c r="G407" s="6" t="s">
        <v>111</v>
      </c>
      <c r="H407" s="134" t="s">
        <v>296</v>
      </c>
      <c r="I407" s="114" t="s">
        <v>175</v>
      </c>
      <c r="J407" s="136">
        <v>3</v>
      </c>
      <c r="K407" s="143"/>
      <c r="L407" s="144">
        <v>1030.78</v>
      </c>
      <c r="M407" s="195"/>
      <c r="N407" s="195"/>
      <c r="O407" s="196"/>
      <c r="P407" s="196"/>
      <c r="Q407" s="195"/>
      <c r="R407" s="195"/>
      <c r="S407" s="197"/>
      <c r="T407" s="102">
        <f>SUM(Finance[[#This Row],[Samer]:[Margins]])</f>
        <v>1030.78</v>
      </c>
      <c r="U407" s="103">
        <f>ABS(Finance[[#This Row],[Total (EGP)]])</f>
        <v>1030.78</v>
      </c>
      <c r="V407" s="198"/>
    </row>
    <row r="408" spans="2:22" ht="18" customHeight="1" x14ac:dyDescent="0.3">
      <c r="B408" s="187">
        <v>45819</v>
      </c>
      <c r="C408" s="169">
        <f>YEAR(Finance[[#This Row],[Date]])</f>
        <v>2025</v>
      </c>
      <c r="D408" s="200">
        <f>MONTH(Finance[[#This Row],[Date]])</f>
        <v>6</v>
      </c>
      <c r="E408" s="6" t="s">
        <v>519</v>
      </c>
      <c r="F408" s="6" t="s">
        <v>73</v>
      </c>
      <c r="G408" s="6" t="s">
        <v>93</v>
      </c>
      <c r="H408" s="134" t="s">
        <v>62</v>
      </c>
      <c r="I408" s="114" t="s">
        <v>520</v>
      </c>
      <c r="J408" s="136">
        <v>4</v>
      </c>
      <c r="K408" s="193"/>
      <c r="L408" s="194"/>
      <c r="M408" s="195"/>
      <c r="N408" s="195"/>
      <c r="O408" s="196"/>
      <c r="P408" s="196"/>
      <c r="Q408" s="195">
        <f>-2625-20969-9284.5+0.14</f>
        <v>-32878.36</v>
      </c>
      <c r="R408" s="195"/>
      <c r="S408" s="197"/>
      <c r="T408" s="102">
        <f>SUM(Finance[[#This Row],[Samer]:[Margins]])</f>
        <v>-32878.36</v>
      </c>
      <c r="U408" s="103">
        <f>ABS(Finance[[#This Row],[Total (EGP)]])</f>
        <v>32878.36</v>
      </c>
      <c r="V408" s="198"/>
    </row>
    <row r="409" spans="2:22" ht="18" customHeight="1" x14ac:dyDescent="0.3">
      <c r="B409" s="187">
        <v>45819</v>
      </c>
      <c r="C409" s="169">
        <f>YEAR(Finance[[#This Row],[Date]])</f>
        <v>2025</v>
      </c>
      <c r="D409" s="200">
        <f>MONTH(Finance[[#This Row],[Date]])</f>
        <v>6</v>
      </c>
      <c r="E409" s="6" t="s">
        <v>517</v>
      </c>
      <c r="F409" s="6" t="s">
        <v>73</v>
      </c>
      <c r="G409" s="6" t="s">
        <v>93</v>
      </c>
      <c r="H409" s="134" t="s">
        <v>90</v>
      </c>
      <c r="I409" s="114" t="s">
        <v>520</v>
      </c>
      <c r="J409" s="136">
        <v>4</v>
      </c>
      <c r="K409" s="193"/>
      <c r="L409" s="194"/>
      <c r="M409" s="195"/>
      <c r="N409" s="195"/>
      <c r="O409" s="196"/>
      <c r="P409" s="196"/>
      <c r="Q409" s="195">
        <f>-32878.5*0.14</f>
        <v>-4602.9900000000007</v>
      </c>
      <c r="R409" s="195"/>
      <c r="S409" s="197"/>
      <c r="T409" s="102">
        <f>SUM(Finance[[#This Row],[Samer]:[Margins]])</f>
        <v>-4602.9900000000007</v>
      </c>
      <c r="U409" s="103">
        <f>ABS(Finance[[#This Row],[Total (EGP)]])</f>
        <v>4602.9900000000007</v>
      </c>
      <c r="V409" s="198"/>
    </row>
    <row r="410" spans="2:22" ht="18" customHeight="1" x14ac:dyDescent="0.3">
      <c r="B410" s="187">
        <v>45819</v>
      </c>
      <c r="C410" s="169">
        <f>YEAR(Finance[[#This Row],[Date]])</f>
        <v>2025</v>
      </c>
      <c r="D410" s="200">
        <f>MONTH(Finance[[#This Row],[Date]])</f>
        <v>6</v>
      </c>
      <c r="E410" s="6" t="s">
        <v>518</v>
      </c>
      <c r="F410" s="6" t="s">
        <v>84</v>
      </c>
      <c r="G410" s="6" t="s">
        <v>86</v>
      </c>
      <c r="H410" s="134" t="s">
        <v>523</v>
      </c>
      <c r="I410" s="114" t="s">
        <v>520</v>
      </c>
      <c r="J410" s="136">
        <v>4</v>
      </c>
      <c r="K410" s="193"/>
      <c r="L410" s="194"/>
      <c r="M410" s="195"/>
      <c r="N410" s="195"/>
      <c r="O410" s="196"/>
      <c r="P410" s="196"/>
      <c r="Q410" s="195">
        <f>32878.5*0.03</f>
        <v>986.35500000000002</v>
      </c>
      <c r="R410" s="195"/>
      <c r="S410" s="197"/>
      <c r="T410" s="102">
        <f>SUM(Finance[[#This Row],[Samer]:[Margins]])</f>
        <v>986.35500000000002</v>
      </c>
      <c r="U410" s="103">
        <f>ABS(Finance[[#This Row],[Total (EGP)]])</f>
        <v>986.35500000000002</v>
      </c>
      <c r="V410" s="198"/>
    </row>
    <row r="411" spans="2:22" ht="18" customHeight="1" x14ac:dyDescent="0.3">
      <c r="B411" s="187">
        <v>45819</v>
      </c>
      <c r="C411" s="169">
        <f>YEAR(Finance[[#This Row],[Date]])</f>
        <v>2025</v>
      </c>
      <c r="D411" s="200">
        <f>MONTH(Finance[[#This Row],[Date]])</f>
        <v>6</v>
      </c>
      <c r="E411" s="189" t="s">
        <v>522</v>
      </c>
      <c r="F411" s="189" t="s">
        <v>37</v>
      </c>
      <c r="G411" s="189" t="s">
        <v>36</v>
      </c>
      <c r="H411" s="190" t="s">
        <v>181</v>
      </c>
      <c r="I411" s="191" t="s">
        <v>175</v>
      </c>
      <c r="J411" s="192">
        <v>0</v>
      </c>
      <c r="K411" s="193"/>
      <c r="L411" s="194"/>
      <c r="M411" s="195"/>
      <c r="N411" s="195"/>
      <c r="O411" s="196"/>
      <c r="P411" s="196"/>
      <c r="Q411" s="195">
        <v>36495</v>
      </c>
      <c r="R411" s="195">
        <v>-36000</v>
      </c>
      <c r="S411" s="197">
        <v>-495</v>
      </c>
      <c r="T411" s="102">
        <f>SUM(Finance[[#This Row],[Samer]:[Margins]])</f>
        <v>0</v>
      </c>
      <c r="U411" s="103">
        <f>ABS(Finance[[#This Row],[Total (EGP)]])</f>
        <v>0</v>
      </c>
      <c r="V411" s="198"/>
    </row>
    <row r="412" spans="2:22" ht="18" customHeight="1" x14ac:dyDescent="0.3">
      <c r="B412" s="168">
        <v>45819</v>
      </c>
      <c r="C412" s="169">
        <f>YEAR(Finance[[#This Row],[Date]])</f>
        <v>2025</v>
      </c>
      <c r="D412" s="200">
        <f>MONTH(Finance[[#This Row],[Date]])</f>
        <v>6</v>
      </c>
      <c r="E412" s="6" t="s">
        <v>527</v>
      </c>
      <c r="F412" s="6" t="s">
        <v>29</v>
      </c>
      <c r="G412" s="6" t="s">
        <v>108</v>
      </c>
      <c r="H412" s="134" t="s">
        <v>182</v>
      </c>
      <c r="I412" s="114" t="s">
        <v>175</v>
      </c>
      <c r="J412" s="136">
        <v>4</v>
      </c>
      <c r="K412" s="31"/>
      <c r="L412" s="132">
        <v>1761.0810000000001</v>
      </c>
      <c r="M412" s="177"/>
      <c r="N412" s="177"/>
      <c r="O412" s="178"/>
      <c r="P412" s="178"/>
      <c r="Q412" s="177"/>
      <c r="R412" s="177"/>
      <c r="S412" s="197"/>
      <c r="T412" s="102">
        <f>SUM(Finance[[#This Row],[Samer]:[Margins]])</f>
        <v>1761.0810000000001</v>
      </c>
      <c r="U412" s="103">
        <f>ABS(Finance[[#This Row],[Total (EGP)]])</f>
        <v>1761.0810000000001</v>
      </c>
      <c r="V412" s="198"/>
    </row>
    <row r="413" spans="2:22" ht="18" customHeight="1" x14ac:dyDescent="0.3">
      <c r="B413" s="168">
        <v>45819</v>
      </c>
      <c r="C413" s="169">
        <f>YEAR(Finance[[#This Row],[Date]])</f>
        <v>2025</v>
      </c>
      <c r="D413" s="200">
        <f>MONTH(Finance[[#This Row],[Date]])</f>
        <v>6</v>
      </c>
      <c r="E413" s="39" t="s">
        <v>528</v>
      </c>
      <c r="F413" s="39" t="s">
        <v>29</v>
      </c>
      <c r="G413" s="39" t="s">
        <v>108</v>
      </c>
      <c r="H413" s="130" t="s">
        <v>182</v>
      </c>
      <c r="I413" s="114" t="s">
        <v>175</v>
      </c>
      <c r="J413" s="131">
        <v>4</v>
      </c>
      <c r="K413" s="137"/>
      <c r="L413" s="138">
        <v>699.98689999999999</v>
      </c>
      <c r="M413" s="177"/>
      <c r="N413" s="177"/>
      <c r="O413" s="178"/>
      <c r="P413" s="178"/>
      <c r="Q413" s="177"/>
      <c r="R413" s="177"/>
      <c r="S413" s="197"/>
      <c r="T413" s="102">
        <f>SUM(Finance[[#This Row],[Samer]:[Margins]])</f>
        <v>699.98689999999999</v>
      </c>
      <c r="U413" s="103">
        <f>ABS(Finance[[#This Row],[Total (EGP)]])</f>
        <v>699.98689999999999</v>
      </c>
      <c r="V413" s="198"/>
    </row>
    <row r="414" spans="2:22" ht="18" customHeight="1" x14ac:dyDescent="0.3">
      <c r="B414" s="168">
        <v>45820</v>
      </c>
      <c r="C414" s="169">
        <f>YEAR(Finance[[#This Row],[Date]])</f>
        <v>2025</v>
      </c>
      <c r="D414" s="200">
        <f>MONTH(Finance[[#This Row],[Date]])</f>
        <v>6</v>
      </c>
      <c r="E414" s="19" t="s">
        <v>529</v>
      </c>
      <c r="F414" s="6" t="s">
        <v>29</v>
      </c>
      <c r="G414" s="6" t="s">
        <v>108</v>
      </c>
      <c r="H414" s="134" t="s">
        <v>182</v>
      </c>
      <c r="I414" s="114" t="s">
        <v>175</v>
      </c>
      <c r="J414" s="136">
        <v>1</v>
      </c>
      <c r="K414" s="31"/>
      <c r="L414" s="132">
        <f>342.9*49.75*1.05</f>
        <v>17912.238749999997</v>
      </c>
      <c r="M414" s="177"/>
      <c r="N414" s="177"/>
      <c r="O414" s="178"/>
      <c r="P414" s="178"/>
      <c r="Q414" s="177"/>
      <c r="R414" s="177"/>
      <c r="S414" s="197"/>
      <c r="T414" s="102">
        <f>SUM(Finance[[#This Row],[Samer]:[Margins]])</f>
        <v>17912.238749999997</v>
      </c>
      <c r="U414" s="103">
        <f>ABS(Finance[[#This Row],[Total (EGP)]])</f>
        <v>17912.238749999997</v>
      </c>
      <c r="V414" s="198"/>
    </row>
    <row r="415" spans="2:22" ht="18" customHeight="1" x14ac:dyDescent="0.3">
      <c r="B415" s="168">
        <v>45820</v>
      </c>
      <c r="C415" s="169">
        <f>YEAR(Finance[[#This Row],[Date]])</f>
        <v>2025</v>
      </c>
      <c r="D415" s="200">
        <f>MONTH(Finance[[#This Row],[Date]])</f>
        <v>6</v>
      </c>
      <c r="E415" s="6" t="s">
        <v>193</v>
      </c>
      <c r="F415" s="6" t="s">
        <v>29</v>
      </c>
      <c r="G415" s="6" t="s">
        <v>95</v>
      </c>
      <c r="H415" s="134" t="s">
        <v>194</v>
      </c>
      <c r="I415" s="135" t="s">
        <v>175</v>
      </c>
      <c r="J415" s="136">
        <v>3</v>
      </c>
      <c r="K415" s="31"/>
      <c r="L415" s="132"/>
      <c r="M415" s="177"/>
      <c r="N415" s="177"/>
      <c r="O415" s="178"/>
      <c r="P415" s="178"/>
      <c r="Q415" s="177"/>
      <c r="R415" s="177">
        <v>150</v>
      </c>
      <c r="S415" s="197"/>
      <c r="T415" s="102">
        <f>SUM(Finance[[#This Row],[Samer]:[Margins]])</f>
        <v>150</v>
      </c>
      <c r="U415" s="103">
        <f>ABS(Finance[[#This Row],[Total (EGP)]])</f>
        <v>150</v>
      </c>
      <c r="V415" s="198"/>
    </row>
    <row r="416" spans="2:22" ht="18" customHeight="1" x14ac:dyDescent="0.3">
      <c r="B416" s="168">
        <v>45822</v>
      </c>
      <c r="C416" s="169">
        <f>YEAR(Finance[[#This Row],[Date]])</f>
        <v>2025</v>
      </c>
      <c r="D416" s="200">
        <f>MONTH(Finance[[#This Row],[Date]])</f>
        <v>6</v>
      </c>
      <c r="E416" s="6" t="s">
        <v>530</v>
      </c>
      <c r="F416" s="6" t="s">
        <v>30</v>
      </c>
      <c r="G416" s="6" t="s">
        <v>127</v>
      </c>
      <c r="H416" s="134" t="s">
        <v>190</v>
      </c>
      <c r="I416" s="135" t="s">
        <v>175</v>
      </c>
      <c r="J416" s="131">
        <v>4</v>
      </c>
      <c r="K416" s="31"/>
      <c r="L416" s="132">
        <f>18.4*57.52*1.25</f>
        <v>1322.96</v>
      </c>
      <c r="M416" s="177"/>
      <c r="N416" s="177"/>
      <c r="O416" s="178"/>
      <c r="P416" s="178"/>
      <c r="Q416" s="177"/>
      <c r="R416" s="177"/>
      <c r="S416" s="197"/>
      <c r="T416" s="102">
        <f>SUM(Finance[[#This Row],[Samer]:[Margins]])</f>
        <v>1322.96</v>
      </c>
      <c r="U416" s="103">
        <f>ABS(Finance[[#This Row],[Total (EGP)]])</f>
        <v>1322.96</v>
      </c>
      <c r="V416" s="198"/>
    </row>
    <row r="417" spans="2:22" ht="18" customHeight="1" x14ac:dyDescent="0.3">
      <c r="B417" s="168">
        <v>45822</v>
      </c>
      <c r="C417" s="169">
        <f>YEAR(Finance[[#This Row],[Date]])</f>
        <v>2025</v>
      </c>
      <c r="D417" s="200">
        <f>MONTH(Finance[[#This Row],[Date]])</f>
        <v>6</v>
      </c>
      <c r="E417" s="39" t="s">
        <v>531</v>
      </c>
      <c r="F417" s="39" t="s">
        <v>30</v>
      </c>
      <c r="G417" s="39" t="s">
        <v>127</v>
      </c>
      <c r="H417" s="130" t="s">
        <v>176</v>
      </c>
      <c r="I417" s="114" t="s">
        <v>177</v>
      </c>
      <c r="J417" s="131">
        <v>1</v>
      </c>
      <c r="K417" s="31"/>
      <c r="L417" s="132">
        <f>94.06*57.52*1.25</f>
        <v>6762.9140000000007</v>
      </c>
      <c r="M417" s="177"/>
      <c r="N417" s="177"/>
      <c r="O417" s="178"/>
      <c r="P417" s="178"/>
      <c r="Q417" s="177"/>
      <c r="R417" s="177"/>
      <c r="S417" s="197"/>
      <c r="T417" s="102">
        <f>SUM(Finance[[#This Row],[Samer]:[Margins]])</f>
        <v>6762.9140000000007</v>
      </c>
      <c r="U417" s="103">
        <f>ABS(Finance[[#This Row],[Total (EGP)]])</f>
        <v>6762.9140000000007</v>
      </c>
      <c r="V417" s="198"/>
    </row>
    <row r="418" spans="2:22" ht="18" customHeight="1" x14ac:dyDescent="0.3">
      <c r="B418" s="187">
        <v>45824</v>
      </c>
      <c r="C418" s="169">
        <f>YEAR(Finance[[#This Row],[Date]])</f>
        <v>2025</v>
      </c>
      <c r="D418" s="200">
        <f>MONTH(Finance[[#This Row],[Date]])</f>
        <v>6</v>
      </c>
      <c r="E418" s="19" t="s">
        <v>532</v>
      </c>
      <c r="F418" s="6" t="s">
        <v>73</v>
      </c>
      <c r="G418" s="6" t="s">
        <v>75</v>
      </c>
      <c r="H418" s="134" t="s">
        <v>234</v>
      </c>
      <c r="I418" s="135" t="s">
        <v>185</v>
      </c>
      <c r="J418" s="136">
        <v>4</v>
      </c>
      <c r="K418" s="193"/>
      <c r="L418" s="194"/>
      <c r="M418" s="195"/>
      <c r="N418" s="195"/>
      <c r="O418" s="196"/>
      <c r="P418" s="196"/>
      <c r="Q418" s="195"/>
      <c r="R418" s="195">
        <f>-18434.9-0.02</f>
        <v>-18434.920000000002</v>
      </c>
      <c r="S418" s="197"/>
      <c r="T418" s="102">
        <f>SUM(Finance[[#This Row],[Samer]:[Margins]])</f>
        <v>-18434.920000000002</v>
      </c>
      <c r="U418" s="103">
        <f>ABS(Finance[[#This Row],[Total (EGP)]])</f>
        <v>18434.920000000002</v>
      </c>
      <c r="V418" s="198"/>
    </row>
    <row r="419" spans="2:22" ht="18" customHeight="1" x14ac:dyDescent="0.3">
      <c r="B419" s="187">
        <v>45824</v>
      </c>
      <c r="C419" s="169">
        <f>YEAR(Finance[[#This Row],[Date]])</f>
        <v>2025</v>
      </c>
      <c r="D419" s="200">
        <f>MONTH(Finance[[#This Row],[Date]])</f>
        <v>6</v>
      </c>
      <c r="E419" s="19" t="s">
        <v>270</v>
      </c>
      <c r="F419" s="6" t="s">
        <v>73</v>
      </c>
      <c r="G419" s="6" t="s">
        <v>75</v>
      </c>
      <c r="H419" s="134" t="s">
        <v>90</v>
      </c>
      <c r="I419" s="135" t="s">
        <v>185</v>
      </c>
      <c r="J419" s="136">
        <v>4</v>
      </c>
      <c r="K419" s="193"/>
      <c r="L419" s="194"/>
      <c r="M419" s="195"/>
      <c r="N419" s="195"/>
      <c r="O419" s="196"/>
      <c r="P419" s="196"/>
      <c r="Q419" s="195"/>
      <c r="R419" s="195">
        <f>-18434.9*0.14</f>
        <v>-2580.8860000000004</v>
      </c>
      <c r="S419" s="197"/>
      <c r="T419" s="102">
        <f>SUM(Finance[[#This Row],[Samer]:[Margins]])</f>
        <v>-2580.8860000000004</v>
      </c>
      <c r="U419" s="103">
        <f>ABS(Finance[[#This Row],[Total (EGP)]])</f>
        <v>2580.8860000000004</v>
      </c>
      <c r="V419" s="198"/>
    </row>
    <row r="420" spans="2:22" ht="18" customHeight="1" x14ac:dyDescent="0.3">
      <c r="B420" s="187">
        <v>45824</v>
      </c>
      <c r="C420" s="169">
        <f>YEAR(Finance[[#This Row],[Date]])</f>
        <v>2025</v>
      </c>
      <c r="D420" s="200">
        <f>MONTH(Finance[[#This Row],[Date]])</f>
        <v>6</v>
      </c>
      <c r="E420" s="19" t="s">
        <v>271</v>
      </c>
      <c r="F420" s="6" t="s">
        <v>84</v>
      </c>
      <c r="G420" s="6" t="s">
        <v>86</v>
      </c>
      <c r="H420" s="134" t="s">
        <v>234</v>
      </c>
      <c r="I420" s="135" t="s">
        <v>185</v>
      </c>
      <c r="J420" s="136">
        <v>4</v>
      </c>
      <c r="K420" s="193"/>
      <c r="L420" s="194"/>
      <c r="M420" s="195"/>
      <c r="N420" s="195"/>
      <c r="O420" s="196"/>
      <c r="P420" s="196"/>
      <c r="Q420" s="195"/>
      <c r="R420" s="195">
        <f>18434.9*0.03</f>
        <v>553.04700000000003</v>
      </c>
      <c r="S420" s="197"/>
      <c r="T420" s="102">
        <f>SUM(Finance[[#This Row],[Samer]:[Margins]])</f>
        <v>553.04700000000003</v>
      </c>
      <c r="U420" s="103">
        <f>ABS(Finance[[#This Row],[Total (EGP)]])</f>
        <v>553.04700000000003</v>
      </c>
      <c r="V420" s="198"/>
    </row>
    <row r="421" spans="2:22" ht="18" customHeight="1" x14ac:dyDescent="0.3">
      <c r="B421" s="187">
        <v>45824</v>
      </c>
      <c r="C421" s="169">
        <f>YEAR(Finance[[#This Row],[Date]])</f>
        <v>2025</v>
      </c>
      <c r="D421" s="200">
        <f>MONTH(Finance[[#This Row],[Date]])</f>
        <v>6</v>
      </c>
      <c r="E421" s="19" t="s">
        <v>533</v>
      </c>
      <c r="F421" s="6" t="s">
        <v>73</v>
      </c>
      <c r="G421" s="6" t="s">
        <v>272</v>
      </c>
      <c r="H421" s="134" t="s">
        <v>234</v>
      </c>
      <c r="I421" s="135" t="s">
        <v>185</v>
      </c>
      <c r="J421" s="136">
        <v>5</v>
      </c>
      <c r="K421" s="193"/>
      <c r="L421" s="194"/>
      <c r="M421" s="195"/>
      <c r="N421" s="195"/>
      <c r="O421" s="196"/>
      <c r="P421" s="196"/>
      <c r="Q421" s="195"/>
      <c r="R421" s="195">
        <v>-4875</v>
      </c>
      <c r="S421" s="197"/>
      <c r="T421" s="102">
        <f>SUM(Finance[[#This Row],[Samer]:[Margins]])</f>
        <v>-4875</v>
      </c>
      <c r="U421" s="103">
        <f>ABS(Finance[[#This Row],[Total (EGP)]])</f>
        <v>4875</v>
      </c>
      <c r="V421" s="198"/>
    </row>
    <row r="422" spans="2:22" ht="18" customHeight="1" x14ac:dyDescent="0.3">
      <c r="B422" s="187">
        <v>45824</v>
      </c>
      <c r="C422" s="169">
        <f>YEAR(Finance[[#This Row],[Date]])</f>
        <v>2025</v>
      </c>
      <c r="D422" s="200">
        <f>MONTH(Finance[[#This Row],[Date]])</f>
        <v>6</v>
      </c>
      <c r="E422" s="19" t="s">
        <v>273</v>
      </c>
      <c r="F422" s="6" t="s">
        <v>73</v>
      </c>
      <c r="G422" s="6" t="s">
        <v>272</v>
      </c>
      <c r="H422" s="134" t="s">
        <v>90</v>
      </c>
      <c r="I422" s="135" t="s">
        <v>185</v>
      </c>
      <c r="J422" s="136">
        <v>5</v>
      </c>
      <c r="K422" s="193"/>
      <c r="L422" s="194"/>
      <c r="M422" s="195"/>
      <c r="N422" s="195"/>
      <c r="O422" s="196"/>
      <c r="P422" s="196"/>
      <c r="Q422" s="195"/>
      <c r="R422" s="195">
        <f>-4875*0.14</f>
        <v>-682.50000000000011</v>
      </c>
      <c r="S422" s="197"/>
      <c r="T422" s="102">
        <f>SUM(Finance[[#This Row],[Samer]:[Margins]])</f>
        <v>-682.50000000000011</v>
      </c>
      <c r="U422" s="103">
        <f>ABS(Finance[[#This Row],[Total (EGP)]])</f>
        <v>682.50000000000011</v>
      </c>
      <c r="V422" s="198"/>
    </row>
    <row r="423" spans="2:22" ht="18" customHeight="1" x14ac:dyDescent="0.3">
      <c r="B423" s="187">
        <v>45824</v>
      </c>
      <c r="C423" s="169">
        <f>YEAR(Finance[[#This Row],[Date]])</f>
        <v>2025</v>
      </c>
      <c r="D423" s="200">
        <f>MONTH(Finance[[#This Row],[Date]])</f>
        <v>6</v>
      </c>
      <c r="E423" s="19" t="s">
        <v>274</v>
      </c>
      <c r="F423" s="6" t="s">
        <v>84</v>
      </c>
      <c r="G423" s="6" t="s">
        <v>86</v>
      </c>
      <c r="H423" s="134" t="s">
        <v>234</v>
      </c>
      <c r="I423" s="135" t="s">
        <v>185</v>
      </c>
      <c r="J423" s="136">
        <v>5</v>
      </c>
      <c r="K423" s="193"/>
      <c r="L423" s="194"/>
      <c r="M423" s="195"/>
      <c r="N423" s="195"/>
      <c r="O423" s="196"/>
      <c r="P423" s="196"/>
      <c r="Q423" s="195"/>
      <c r="R423" s="195">
        <f>4875*0.03</f>
        <v>146.25</v>
      </c>
      <c r="S423" s="197"/>
      <c r="T423" s="102">
        <f>SUM(Finance[[#This Row],[Samer]:[Margins]])</f>
        <v>146.25</v>
      </c>
      <c r="U423" s="103">
        <f>ABS(Finance[[#This Row],[Total (EGP)]])</f>
        <v>146.25</v>
      </c>
      <c r="V423" s="198"/>
    </row>
    <row r="424" spans="2:22" ht="18" customHeight="1" x14ac:dyDescent="0.3">
      <c r="B424" s="187">
        <v>45824</v>
      </c>
      <c r="C424" s="169">
        <f>YEAR(Finance[[#This Row],[Date]])</f>
        <v>2025</v>
      </c>
      <c r="D424" s="200">
        <f>MONTH(Finance[[#This Row],[Date]])</f>
        <v>6</v>
      </c>
      <c r="E424" s="19" t="s">
        <v>534</v>
      </c>
      <c r="F424" s="6" t="s">
        <v>73</v>
      </c>
      <c r="G424" s="6" t="s">
        <v>75</v>
      </c>
      <c r="H424" s="134" t="s">
        <v>234</v>
      </c>
      <c r="I424" s="135" t="s">
        <v>185</v>
      </c>
      <c r="J424" s="136">
        <v>4</v>
      </c>
      <c r="K424" s="193"/>
      <c r="L424" s="194"/>
      <c r="M424" s="195"/>
      <c r="N424" s="195"/>
      <c r="O424" s="196"/>
      <c r="P424" s="196"/>
      <c r="Q424" s="195"/>
      <c r="R424" s="195">
        <v>-34012.78</v>
      </c>
      <c r="S424" s="197"/>
      <c r="T424" s="102">
        <f>SUM(Finance[[#This Row],[Samer]:[Margins]])</f>
        <v>-34012.78</v>
      </c>
      <c r="U424" s="103">
        <f>ABS(Finance[[#This Row],[Total (EGP)]])</f>
        <v>34012.78</v>
      </c>
      <c r="V424" s="198"/>
    </row>
    <row r="425" spans="2:22" ht="18" customHeight="1" x14ac:dyDescent="0.3">
      <c r="B425" s="187">
        <v>45824</v>
      </c>
      <c r="C425" s="169">
        <f>YEAR(Finance[[#This Row],[Date]])</f>
        <v>2025</v>
      </c>
      <c r="D425" s="200">
        <f>MONTH(Finance[[#This Row],[Date]])</f>
        <v>6</v>
      </c>
      <c r="E425" s="19" t="s">
        <v>270</v>
      </c>
      <c r="F425" s="6" t="s">
        <v>73</v>
      </c>
      <c r="G425" s="6" t="s">
        <v>75</v>
      </c>
      <c r="H425" s="134" t="s">
        <v>90</v>
      </c>
      <c r="I425" s="135" t="s">
        <v>185</v>
      </c>
      <c r="J425" s="136">
        <v>4</v>
      </c>
      <c r="K425" s="193"/>
      <c r="L425" s="194"/>
      <c r="M425" s="195"/>
      <c r="N425" s="195"/>
      <c r="O425" s="196"/>
      <c r="P425" s="196"/>
      <c r="Q425" s="195"/>
      <c r="R425" s="195">
        <f>-34012.78*0.14</f>
        <v>-4761.7892000000002</v>
      </c>
      <c r="S425" s="197"/>
      <c r="T425" s="102">
        <f>SUM(Finance[[#This Row],[Samer]:[Margins]])</f>
        <v>-4761.7892000000002</v>
      </c>
      <c r="U425" s="103">
        <f>ABS(Finance[[#This Row],[Total (EGP)]])</f>
        <v>4761.7892000000002</v>
      </c>
      <c r="V425" s="198"/>
    </row>
    <row r="426" spans="2:22" ht="18" customHeight="1" x14ac:dyDescent="0.3">
      <c r="B426" s="187">
        <v>45824</v>
      </c>
      <c r="C426" s="169">
        <f>YEAR(Finance[[#This Row],[Date]])</f>
        <v>2025</v>
      </c>
      <c r="D426" s="200">
        <f>MONTH(Finance[[#This Row],[Date]])</f>
        <v>6</v>
      </c>
      <c r="E426" s="19" t="s">
        <v>271</v>
      </c>
      <c r="F426" s="6" t="s">
        <v>84</v>
      </c>
      <c r="G426" s="6" t="s">
        <v>86</v>
      </c>
      <c r="H426" s="134" t="s">
        <v>234</v>
      </c>
      <c r="I426" s="135" t="s">
        <v>185</v>
      </c>
      <c r="J426" s="136">
        <v>4</v>
      </c>
      <c r="K426" s="193"/>
      <c r="L426" s="194"/>
      <c r="M426" s="195"/>
      <c r="N426" s="195"/>
      <c r="O426" s="196"/>
      <c r="P426" s="196"/>
      <c r="Q426" s="195"/>
      <c r="R426" s="195">
        <f>34012.78*0.03</f>
        <v>1020.3833999999999</v>
      </c>
      <c r="S426" s="197"/>
      <c r="T426" s="102">
        <f>SUM(Finance[[#This Row],[Samer]:[Margins]])</f>
        <v>1020.3833999999999</v>
      </c>
      <c r="U426" s="103">
        <f>ABS(Finance[[#This Row],[Total (EGP)]])</f>
        <v>1020.3833999999999</v>
      </c>
      <c r="V426" s="198"/>
    </row>
    <row r="427" spans="2:22" ht="18" customHeight="1" x14ac:dyDescent="0.3">
      <c r="B427" s="187">
        <v>45824</v>
      </c>
      <c r="C427" s="169">
        <f>YEAR(Finance[[#This Row],[Date]])</f>
        <v>2025</v>
      </c>
      <c r="D427" s="200">
        <f>MONTH(Finance[[#This Row],[Date]])</f>
        <v>6</v>
      </c>
      <c r="E427" s="19" t="s">
        <v>535</v>
      </c>
      <c r="F427" s="6" t="s">
        <v>73</v>
      </c>
      <c r="G427" s="6" t="s">
        <v>272</v>
      </c>
      <c r="H427" s="134" t="s">
        <v>234</v>
      </c>
      <c r="I427" s="135" t="s">
        <v>185</v>
      </c>
      <c r="J427" s="136">
        <v>5</v>
      </c>
      <c r="K427" s="193"/>
      <c r="L427" s="194"/>
      <c r="M427" s="195"/>
      <c r="N427" s="195"/>
      <c r="O427" s="196"/>
      <c r="P427" s="196"/>
      <c r="Q427" s="195"/>
      <c r="R427" s="195">
        <v>-4875</v>
      </c>
      <c r="S427" s="197"/>
      <c r="T427" s="102">
        <f>SUM(Finance[[#This Row],[Samer]:[Margins]])</f>
        <v>-4875</v>
      </c>
      <c r="U427" s="103">
        <f>ABS(Finance[[#This Row],[Total (EGP)]])</f>
        <v>4875</v>
      </c>
      <c r="V427" s="198"/>
    </row>
    <row r="428" spans="2:22" ht="18" customHeight="1" x14ac:dyDescent="0.3">
      <c r="B428" s="187">
        <v>45824</v>
      </c>
      <c r="C428" s="169">
        <f>YEAR(Finance[[#This Row],[Date]])</f>
        <v>2025</v>
      </c>
      <c r="D428" s="200">
        <f>MONTH(Finance[[#This Row],[Date]])</f>
        <v>6</v>
      </c>
      <c r="E428" s="19" t="s">
        <v>273</v>
      </c>
      <c r="F428" s="6" t="s">
        <v>73</v>
      </c>
      <c r="G428" s="6" t="s">
        <v>272</v>
      </c>
      <c r="H428" s="134" t="s">
        <v>90</v>
      </c>
      <c r="I428" s="135" t="s">
        <v>185</v>
      </c>
      <c r="J428" s="136">
        <v>5</v>
      </c>
      <c r="K428" s="193"/>
      <c r="L428" s="194"/>
      <c r="M428" s="195"/>
      <c r="N428" s="195"/>
      <c r="O428" s="196"/>
      <c r="P428" s="196"/>
      <c r="Q428" s="195"/>
      <c r="R428" s="195">
        <f>-4875*0.14</f>
        <v>-682.50000000000011</v>
      </c>
      <c r="S428" s="197"/>
      <c r="T428" s="102">
        <f>SUM(Finance[[#This Row],[Samer]:[Margins]])</f>
        <v>-682.50000000000011</v>
      </c>
      <c r="U428" s="103">
        <f>ABS(Finance[[#This Row],[Total (EGP)]])</f>
        <v>682.50000000000011</v>
      </c>
      <c r="V428" s="198"/>
    </row>
    <row r="429" spans="2:22" ht="18" customHeight="1" x14ac:dyDescent="0.3">
      <c r="B429" s="187">
        <v>45824</v>
      </c>
      <c r="C429" s="169">
        <f>YEAR(Finance[[#This Row],[Date]])</f>
        <v>2025</v>
      </c>
      <c r="D429" s="200">
        <f>MONTH(Finance[[#This Row],[Date]])</f>
        <v>6</v>
      </c>
      <c r="E429" s="19" t="s">
        <v>274</v>
      </c>
      <c r="F429" s="6" t="s">
        <v>84</v>
      </c>
      <c r="G429" s="6" t="s">
        <v>86</v>
      </c>
      <c r="H429" s="134" t="s">
        <v>234</v>
      </c>
      <c r="I429" s="135" t="s">
        <v>185</v>
      </c>
      <c r="J429" s="136">
        <v>5</v>
      </c>
      <c r="K429" s="193"/>
      <c r="L429" s="194"/>
      <c r="M429" s="195"/>
      <c r="N429" s="195"/>
      <c r="O429" s="196"/>
      <c r="P429" s="196"/>
      <c r="Q429" s="195"/>
      <c r="R429" s="195">
        <f>4875*0.03</f>
        <v>146.25</v>
      </c>
      <c r="S429" s="197"/>
      <c r="T429" s="102">
        <f>SUM(Finance[[#This Row],[Samer]:[Margins]])</f>
        <v>146.25</v>
      </c>
      <c r="U429" s="103">
        <f>ABS(Finance[[#This Row],[Total (EGP)]])</f>
        <v>146.25</v>
      </c>
      <c r="V429" s="198"/>
    </row>
    <row r="430" spans="2:22" ht="18" customHeight="1" x14ac:dyDescent="0.3">
      <c r="B430" s="187">
        <v>45824</v>
      </c>
      <c r="C430" s="169">
        <f>YEAR(Finance[[#This Row],[Date]])</f>
        <v>2025</v>
      </c>
      <c r="D430" s="200">
        <f>MONTH(Finance[[#This Row],[Date]])</f>
        <v>6</v>
      </c>
      <c r="E430" s="6" t="s">
        <v>275</v>
      </c>
      <c r="F430" s="6" t="s">
        <v>29</v>
      </c>
      <c r="G430" s="6" t="s">
        <v>95</v>
      </c>
      <c r="H430" s="48" t="s">
        <v>276</v>
      </c>
      <c r="I430" s="135" t="s">
        <v>185</v>
      </c>
      <c r="J430" s="136">
        <v>3</v>
      </c>
      <c r="K430" s="193"/>
      <c r="L430" s="194"/>
      <c r="M430" s="195"/>
      <c r="N430" s="195"/>
      <c r="O430" s="196"/>
      <c r="P430" s="196"/>
      <c r="Q430" s="195"/>
      <c r="R430" s="195">
        <v>25</v>
      </c>
      <c r="S430" s="197"/>
      <c r="T430" s="102">
        <f>SUM(Finance[[#This Row],[Samer]:[Margins]])</f>
        <v>25</v>
      </c>
      <c r="U430" s="103">
        <f>ABS(Finance[[#This Row],[Total (EGP)]])</f>
        <v>25</v>
      </c>
      <c r="V430" s="198"/>
    </row>
    <row r="431" spans="2:22" ht="18" customHeight="1" x14ac:dyDescent="0.3">
      <c r="B431" s="218">
        <v>45824</v>
      </c>
      <c r="C431" s="169">
        <f>YEAR(Finance[[#This Row],[Date]])</f>
        <v>2025</v>
      </c>
      <c r="D431" s="200">
        <f>MONTH(Finance[[#This Row],[Date]])</f>
        <v>6</v>
      </c>
      <c r="E431" s="221" t="s">
        <v>557</v>
      </c>
      <c r="F431" s="39" t="s">
        <v>29</v>
      </c>
      <c r="G431" s="6" t="s">
        <v>56</v>
      </c>
      <c r="H431" s="48" t="s">
        <v>142</v>
      </c>
      <c r="I431" s="135" t="s">
        <v>175</v>
      </c>
      <c r="J431" s="131">
        <v>3</v>
      </c>
      <c r="K431" s="201"/>
      <c r="L431" s="202"/>
      <c r="M431" s="203"/>
      <c r="N431" s="203"/>
      <c r="O431" s="204"/>
      <c r="P431" s="204"/>
      <c r="Q431" s="203"/>
      <c r="R431" s="203"/>
      <c r="S431" s="205">
        <v>350</v>
      </c>
      <c r="T431" s="102">
        <f>SUM(Finance[[#This Row],[Samer]:[Margins]])</f>
        <v>350</v>
      </c>
      <c r="U431" s="103">
        <f>ABS(Finance[[#This Row],[Total (EGP)]])</f>
        <v>350</v>
      </c>
      <c r="V431" s="206"/>
    </row>
    <row r="432" spans="2:22" ht="18" customHeight="1" x14ac:dyDescent="0.3">
      <c r="B432" s="187">
        <v>45825</v>
      </c>
      <c r="C432" s="169">
        <f>YEAR(Finance[[#This Row],[Date]])</f>
        <v>2025</v>
      </c>
      <c r="D432" s="200">
        <f>MONTH(Finance[[#This Row],[Date]])</f>
        <v>6</v>
      </c>
      <c r="E432" s="6" t="s">
        <v>547</v>
      </c>
      <c r="F432" s="39" t="s">
        <v>29</v>
      </c>
      <c r="G432" s="6" t="s">
        <v>108</v>
      </c>
      <c r="H432" s="48" t="s">
        <v>182</v>
      </c>
      <c r="I432" s="135" t="s">
        <v>175</v>
      </c>
      <c r="J432" s="136">
        <v>1</v>
      </c>
      <c r="K432" s="31"/>
      <c r="L432" s="132">
        <f>36.3*50.74*1.05</f>
        <v>1933.9550999999999</v>
      </c>
      <c r="M432" s="195"/>
      <c r="N432" s="195"/>
      <c r="O432" s="196"/>
      <c r="P432" s="196"/>
      <c r="Q432" s="195"/>
      <c r="R432" s="195"/>
      <c r="S432" s="197"/>
      <c r="T432" s="102">
        <f>SUM(Finance[[#This Row],[Samer]:[Margins]])</f>
        <v>1933.9550999999999</v>
      </c>
      <c r="U432" s="103">
        <f>ABS(Finance[[#This Row],[Total (EGP)]])</f>
        <v>1933.9550999999999</v>
      </c>
      <c r="V432" s="198"/>
    </row>
    <row r="433" spans="1:24" ht="18" customHeight="1" x14ac:dyDescent="0.3">
      <c r="B433" s="187">
        <v>45826</v>
      </c>
      <c r="C433" s="169">
        <f>YEAR(Finance[[#This Row],[Date]])</f>
        <v>2025</v>
      </c>
      <c r="D433" s="200">
        <f>MONTH(Finance[[#This Row],[Date]])</f>
        <v>6</v>
      </c>
      <c r="E433" s="39" t="s">
        <v>242</v>
      </c>
      <c r="F433" s="39" t="s">
        <v>29</v>
      </c>
      <c r="G433" s="39" t="s">
        <v>112</v>
      </c>
      <c r="H433" s="48" t="s">
        <v>243</v>
      </c>
      <c r="I433" s="114" t="s">
        <v>175</v>
      </c>
      <c r="J433" s="131">
        <v>3</v>
      </c>
      <c r="K433" s="193"/>
      <c r="L433" s="194"/>
      <c r="M433" s="195"/>
      <c r="N433" s="195"/>
      <c r="O433" s="196"/>
      <c r="P433" s="196"/>
      <c r="Q433" s="195"/>
      <c r="R433" s="195">
        <v>2000</v>
      </c>
      <c r="S433" s="197"/>
      <c r="T433" s="102">
        <f>SUM(Finance[[#This Row],[Samer]:[Margins]])</f>
        <v>2000</v>
      </c>
      <c r="U433" s="103">
        <f>ABS(Finance[[#This Row],[Total (EGP)]])</f>
        <v>2000</v>
      </c>
      <c r="V433" s="198"/>
    </row>
    <row r="434" spans="1:24" ht="18" customHeight="1" x14ac:dyDescent="0.3">
      <c r="B434" s="187">
        <v>45827</v>
      </c>
      <c r="C434" s="169">
        <f>YEAR(Finance[[#This Row],[Date]])</f>
        <v>2025</v>
      </c>
      <c r="D434" s="200">
        <f>MONTH(Finance[[#This Row],[Date]])</f>
        <v>6</v>
      </c>
      <c r="E434" s="133" t="s">
        <v>499</v>
      </c>
      <c r="F434" s="6" t="s">
        <v>34</v>
      </c>
      <c r="G434" s="6" t="s">
        <v>66</v>
      </c>
      <c r="H434" s="134" t="s">
        <v>272</v>
      </c>
      <c r="I434" s="114" t="s">
        <v>175</v>
      </c>
      <c r="J434" s="136">
        <v>5</v>
      </c>
      <c r="K434" s="162"/>
      <c r="L434" s="163">
        <v>8000</v>
      </c>
      <c r="M434" s="164"/>
      <c r="N434" s="164"/>
      <c r="O434" s="165"/>
      <c r="P434" s="165"/>
      <c r="Q434" s="164"/>
      <c r="R434" s="164"/>
      <c r="S434" s="197"/>
      <c r="T434" s="102">
        <f>SUM(Finance[[#This Row],[Samer]:[Margins]])</f>
        <v>8000</v>
      </c>
      <c r="U434" s="103">
        <f>ABS(Finance[[#This Row],[Total (EGP)]])</f>
        <v>8000</v>
      </c>
      <c r="V434" s="198"/>
    </row>
    <row r="435" spans="1:24" ht="18" customHeight="1" x14ac:dyDescent="0.3">
      <c r="B435" s="187">
        <v>45827</v>
      </c>
      <c r="C435" s="169">
        <f>YEAR(Finance[[#This Row],[Date]])</f>
        <v>2025</v>
      </c>
      <c r="D435" s="200">
        <f>MONTH(Finance[[#This Row],[Date]])</f>
        <v>6</v>
      </c>
      <c r="E435" s="39" t="s">
        <v>539</v>
      </c>
      <c r="F435" s="39" t="s">
        <v>30</v>
      </c>
      <c r="G435" s="39" t="s">
        <v>540</v>
      </c>
      <c r="H435" s="48" t="s">
        <v>176</v>
      </c>
      <c r="I435" s="114" t="s">
        <v>488</v>
      </c>
      <c r="J435" s="192">
        <v>4</v>
      </c>
      <c r="K435" s="193"/>
      <c r="L435" s="194">
        <f>60*50.74*1.1</f>
        <v>3348.84</v>
      </c>
      <c r="M435" s="195"/>
      <c r="N435" s="195"/>
      <c r="O435" s="196"/>
      <c r="P435" s="196"/>
      <c r="Q435" s="195"/>
      <c r="R435" s="195"/>
      <c r="S435" s="197"/>
      <c r="T435" s="102">
        <f>SUM(Finance[[#This Row],[Samer]:[Margins]])</f>
        <v>3348.84</v>
      </c>
      <c r="U435" s="103">
        <f>ABS(Finance[[#This Row],[Total (EGP)]])</f>
        <v>3348.84</v>
      </c>
      <c r="V435" s="198"/>
    </row>
    <row r="436" spans="1:24" ht="18" customHeight="1" x14ac:dyDescent="0.3">
      <c r="B436" s="187">
        <v>45827</v>
      </c>
      <c r="C436" s="169">
        <f>YEAR(Finance[[#This Row],[Date]])</f>
        <v>2025</v>
      </c>
      <c r="D436" s="200">
        <f>MONTH(Finance[[#This Row],[Date]])</f>
        <v>6</v>
      </c>
      <c r="E436" s="39" t="s">
        <v>541</v>
      </c>
      <c r="F436" s="6" t="s">
        <v>73</v>
      </c>
      <c r="G436" s="6" t="s">
        <v>75</v>
      </c>
      <c r="H436" s="134" t="s">
        <v>199</v>
      </c>
      <c r="I436" s="114" t="s">
        <v>488</v>
      </c>
      <c r="J436" s="192">
        <v>4</v>
      </c>
      <c r="K436" s="193"/>
      <c r="L436" s="194"/>
      <c r="M436" s="195"/>
      <c r="N436" s="195"/>
      <c r="O436" s="196"/>
      <c r="P436" s="196"/>
      <c r="Q436" s="195"/>
      <c r="R436" s="195">
        <v>-3348.84</v>
      </c>
      <c r="S436" s="197"/>
      <c r="T436" s="102">
        <f>SUM(Finance[[#This Row],[Samer]:[Margins]])</f>
        <v>-3348.84</v>
      </c>
      <c r="U436" s="103">
        <f>ABS(Finance[[#This Row],[Total (EGP)]])</f>
        <v>3348.84</v>
      </c>
      <c r="V436" s="198"/>
    </row>
    <row r="437" spans="1:24" ht="18" customHeight="1" x14ac:dyDescent="0.3">
      <c r="B437" s="187">
        <v>45827</v>
      </c>
      <c r="C437" s="169">
        <f>YEAR(Finance[[#This Row],[Date]])</f>
        <v>2025</v>
      </c>
      <c r="D437" s="200">
        <f>MONTH(Finance[[#This Row],[Date]])</f>
        <v>6</v>
      </c>
      <c r="E437" s="39" t="s">
        <v>542</v>
      </c>
      <c r="F437" s="6" t="s">
        <v>73</v>
      </c>
      <c r="G437" s="6" t="s">
        <v>75</v>
      </c>
      <c r="H437" s="134" t="s">
        <v>90</v>
      </c>
      <c r="I437" s="114" t="s">
        <v>488</v>
      </c>
      <c r="J437" s="192">
        <v>4</v>
      </c>
      <c r="K437" s="193"/>
      <c r="L437" s="194"/>
      <c r="M437" s="195"/>
      <c r="N437" s="195"/>
      <c r="O437" s="196"/>
      <c r="P437" s="196"/>
      <c r="Q437" s="195"/>
      <c r="R437" s="195">
        <f>-3348.84*0.14</f>
        <v>-468.83760000000007</v>
      </c>
      <c r="S437" s="197"/>
      <c r="T437" s="102">
        <f>SUM(Finance[[#This Row],[Samer]:[Margins]])</f>
        <v>-468.83760000000007</v>
      </c>
      <c r="U437" s="103">
        <f>ABS(Finance[[#This Row],[Total (EGP)]])</f>
        <v>468.83760000000007</v>
      </c>
      <c r="V437" s="198"/>
    </row>
    <row r="438" spans="1:24" s="17" customFormat="1" ht="18" customHeight="1" x14ac:dyDescent="0.3">
      <c r="A438" s="2"/>
      <c r="B438" s="187">
        <v>45827</v>
      </c>
      <c r="C438" s="169">
        <f>YEAR(Finance[[#This Row],[Date]])</f>
        <v>2025</v>
      </c>
      <c r="D438" s="200">
        <f>MONTH(Finance[[#This Row],[Date]])</f>
        <v>6</v>
      </c>
      <c r="E438" s="39" t="s">
        <v>543</v>
      </c>
      <c r="F438" s="39" t="s">
        <v>30</v>
      </c>
      <c r="G438" s="39" t="s">
        <v>127</v>
      </c>
      <c r="H438" s="48" t="s">
        <v>176</v>
      </c>
      <c r="I438" s="114" t="s">
        <v>545</v>
      </c>
      <c r="J438" s="192">
        <v>4</v>
      </c>
      <c r="K438" s="193"/>
      <c r="L438" s="194">
        <f>120*50.74*1.1</f>
        <v>6697.68</v>
      </c>
      <c r="M438" s="195"/>
      <c r="N438" s="195"/>
      <c r="O438" s="196"/>
      <c r="P438" s="196"/>
      <c r="Q438" s="195"/>
      <c r="R438" s="195"/>
      <c r="S438" s="197"/>
      <c r="T438" s="102">
        <f>SUM(Finance[[#This Row],[Samer]:[Margins]])</f>
        <v>6697.68</v>
      </c>
      <c r="U438" s="103">
        <f>ABS(Finance[[#This Row],[Total (EGP)]])</f>
        <v>6697.68</v>
      </c>
      <c r="V438" s="198"/>
      <c r="W438" s="2"/>
      <c r="X438" s="2"/>
    </row>
    <row r="439" spans="1:24" ht="18" customHeight="1" x14ac:dyDescent="0.3">
      <c r="B439" s="187">
        <v>45827</v>
      </c>
      <c r="C439" s="169">
        <f>YEAR(Finance[[#This Row],[Date]])</f>
        <v>2025</v>
      </c>
      <c r="D439" s="200">
        <f>MONTH(Finance[[#This Row],[Date]])</f>
        <v>6</v>
      </c>
      <c r="E439" s="39" t="s">
        <v>544</v>
      </c>
      <c r="F439" s="39" t="s">
        <v>30</v>
      </c>
      <c r="G439" s="39" t="s">
        <v>145</v>
      </c>
      <c r="H439" s="48" t="s">
        <v>176</v>
      </c>
      <c r="I439" s="114" t="s">
        <v>545</v>
      </c>
      <c r="J439" s="192">
        <v>4</v>
      </c>
      <c r="K439" s="193"/>
      <c r="L439" s="194">
        <f>22*50.74*1.1</f>
        <v>1227.9080000000001</v>
      </c>
      <c r="M439" s="195"/>
      <c r="N439" s="195"/>
      <c r="O439" s="196"/>
      <c r="P439" s="196"/>
      <c r="Q439" s="195"/>
      <c r="R439" s="195"/>
      <c r="S439" s="197"/>
      <c r="T439" s="102">
        <f>SUM(Finance[[#This Row],[Samer]:[Margins]])</f>
        <v>1227.9080000000001</v>
      </c>
      <c r="U439" s="103">
        <f>ABS(Finance[[#This Row],[Total (EGP)]])</f>
        <v>1227.9080000000001</v>
      </c>
      <c r="V439" s="198"/>
    </row>
    <row r="440" spans="1:24" ht="18" customHeight="1" x14ac:dyDescent="0.3">
      <c r="B440" s="227">
        <v>45827</v>
      </c>
      <c r="C440" s="169">
        <f>YEAR(Finance[[#This Row],[Date]])</f>
        <v>2025</v>
      </c>
      <c r="D440" s="200">
        <f>MONTH(Finance[[#This Row],[Date]])</f>
        <v>6</v>
      </c>
      <c r="E440" s="25" t="s">
        <v>556</v>
      </c>
      <c r="F440" s="25" t="s">
        <v>37</v>
      </c>
      <c r="G440" s="25" t="s">
        <v>36</v>
      </c>
      <c r="H440" s="228" t="s">
        <v>181</v>
      </c>
      <c r="I440" s="229" t="s">
        <v>175</v>
      </c>
      <c r="J440" s="230">
        <v>0</v>
      </c>
      <c r="K440" s="231"/>
      <c r="L440" s="232"/>
      <c r="M440" s="233"/>
      <c r="N440" s="233"/>
      <c r="O440" s="234"/>
      <c r="P440" s="234"/>
      <c r="Q440" s="233"/>
      <c r="R440" s="233">
        <f>-2900*50.47</f>
        <v>-146363</v>
      </c>
      <c r="S440" s="235">
        <v>146363</v>
      </c>
      <c r="T440" s="102">
        <f>SUM(Finance[[#This Row],[Samer]:[Margins]])</f>
        <v>0</v>
      </c>
      <c r="U440" s="103">
        <f>ABS(Finance[[#This Row],[Total (EGP)]])</f>
        <v>0</v>
      </c>
      <c r="V440" s="236"/>
      <c r="W440" s="17"/>
      <c r="X440" s="17"/>
    </row>
    <row r="441" spans="1:24" ht="18" customHeight="1" x14ac:dyDescent="0.3">
      <c r="B441" s="187">
        <v>45830</v>
      </c>
      <c r="C441" s="169">
        <f>YEAR(Finance[[#This Row],[Date]])</f>
        <v>2025</v>
      </c>
      <c r="D441" s="200">
        <f>MONTH(Finance[[#This Row],[Date]])</f>
        <v>6</v>
      </c>
      <c r="E441" s="6" t="s">
        <v>546</v>
      </c>
      <c r="F441" s="6" t="s">
        <v>73</v>
      </c>
      <c r="G441" s="6" t="s">
        <v>233</v>
      </c>
      <c r="H441" s="134" t="s">
        <v>234</v>
      </c>
      <c r="I441" s="135" t="s">
        <v>235</v>
      </c>
      <c r="J441" s="136">
        <v>1</v>
      </c>
      <c r="K441" s="193"/>
      <c r="L441" s="194"/>
      <c r="M441" s="195"/>
      <c r="N441" s="195"/>
      <c r="O441" s="196"/>
      <c r="P441" s="196"/>
      <c r="Q441" s="195">
        <v>-250000</v>
      </c>
      <c r="R441" s="195"/>
      <c r="S441" s="197"/>
      <c r="T441" s="102">
        <f>SUM(Finance[[#This Row],[Samer]:[Margins]])</f>
        <v>-250000</v>
      </c>
      <c r="U441" s="103">
        <f>ABS(Finance[[#This Row],[Total (EGP)]])</f>
        <v>250000</v>
      </c>
      <c r="V441" s="198"/>
    </row>
    <row r="442" spans="1:24" ht="18" customHeight="1" x14ac:dyDescent="0.3">
      <c r="B442" s="187">
        <v>45830</v>
      </c>
      <c r="C442" s="169">
        <f>YEAR(Finance[[#This Row],[Date]])</f>
        <v>2025</v>
      </c>
      <c r="D442" s="200">
        <f>MONTH(Finance[[#This Row],[Date]])</f>
        <v>6</v>
      </c>
      <c r="E442" s="188" t="s">
        <v>516</v>
      </c>
      <c r="F442" s="189" t="s">
        <v>37</v>
      </c>
      <c r="G442" s="189" t="s">
        <v>36</v>
      </c>
      <c r="H442" s="190" t="s">
        <v>181</v>
      </c>
      <c r="I442" s="191" t="s">
        <v>175</v>
      </c>
      <c r="J442" s="192">
        <v>0</v>
      </c>
      <c r="K442" s="193"/>
      <c r="L442" s="194"/>
      <c r="M442" s="195"/>
      <c r="N442" s="195"/>
      <c r="O442" s="196"/>
      <c r="P442" s="196"/>
      <c r="Q442" s="195">
        <v>250000</v>
      </c>
      <c r="R442" s="195">
        <v>-250000</v>
      </c>
      <c r="S442" s="197"/>
      <c r="T442" s="102">
        <f>SUM(Finance[[#This Row],[Samer]:[Margins]])</f>
        <v>0</v>
      </c>
      <c r="U442" s="103">
        <f>ABS(Finance[[#This Row],[Total (EGP)]])</f>
        <v>0</v>
      </c>
      <c r="V442" s="198"/>
    </row>
    <row r="443" spans="1:24" ht="18" customHeight="1" x14ac:dyDescent="0.3">
      <c r="B443" s="187">
        <v>45831</v>
      </c>
      <c r="C443" s="169">
        <f>YEAR(Finance[[#This Row],[Date]])</f>
        <v>2025</v>
      </c>
      <c r="D443" s="200">
        <f>MONTH(Finance[[#This Row],[Date]])</f>
        <v>6</v>
      </c>
      <c r="E443" s="19" t="s">
        <v>548</v>
      </c>
      <c r="F443" s="6" t="s">
        <v>29</v>
      </c>
      <c r="G443" s="6" t="s">
        <v>108</v>
      </c>
      <c r="H443" s="134" t="s">
        <v>182</v>
      </c>
      <c r="I443" s="135" t="s">
        <v>175</v>
      </c>
      <c r="J443" s="136">
        <v>3</v>
      </c>
      <c r="K443" s="31"/>
      <c r="L443" s="132">
        <f>15.99*50.02*1.05</f>
        <v>839.81079000000011</v>
      </c>
      <c r="M443" s="195"/>
      <c r="N443" s="195"/>
      <c r="O443" s="196"/>
      <c r="P443" s="196"/>
      <c r="Q443" s="195"/>
      <c r="R443" s="195"/>
      <c r="S443" s="197"/>
      <c r="T443" s="102">
        <f>SUM(Finance[[#This Row],[Samer]:[Margins]])</f>
        <v>839.81079000000011</v>
      </c>
      <c r="U443" s="103">
        <f>ABS(Finance[[#This Row],[Total (EGP)]])</f>
        <v>839.81079000000011</v>
      </c>
      <c r="V443" s="198"/>
    </row>
    <row r="444" spans="1:24" ht="18" customHeight="1" x14ac:dyDescent="0.3">
      <c r="B444" s="187">
        <v>45832</v>
      </c>
      <c r="C444" s="169">
        <f>YEAR(Finance[[#This Row],[Date]])</f>
        <v>2025</v>
      </c>
      <c r="D444" s="200">
        <f>MONTH(Finance[[#This Row],[Date]])</f>
        <v>6</v>
      </c>
      <c r="E444" s="133" t="s">
        <v>601</v>
      </c>
      <c r="F444" s="6" t="s">
        <v>73</v>
      </c>
      <c r="G444" s="6" t="s">
        <v>93</v>
      </c>
      <c r="H444" s="134" t="s">
        <v>199</v>
      </c>
      <c r="I444" s="114" t="s">
        <v>479</v>
      </c>
      <c r="J444" s="136">
        <v>4</v>
      </c>
      <c r="K444" s="193"/>
      <c r="L444" s="194"/>
      <c r="M444" s="195"/>
      <c r="N444" s="195"/>
      <c r="O444" s="196"/>
      <c r="P444" s="196"/>
      <c r="Q444" s="195"/>
      <c r="R444" s="195">
        <v>-481.33</v>
      </c>
      <c r="S444" s="197"/>
      <c r="T444" s="102">
        <f>SUM(Finance[[#This Row],[Samer]:[Margins]])</f>
        <v>-481.33</v>
      </c>
      <c r="U444" s="103">
        <f>ABS(Finance[[#This Row],[Total (EGP)]])</f>
        <v>481.33</v>
      </c>
      <c r="V444" s="198"/>
    </row>
    <row r="445" spans="1:24" ht="18" customHeight="1" x14ac:dyDescent="0.3">
      <c r="B445" s="187">
        <v>45832</v>
      </c>
      <c r="C445" s="169">
        <f>YEAR(Finance[[#This Row],[Date]])</f>
        <v>2025</v>
      </c>
      <c r="D445" s="200">
        <f>MONTH(Finance[[#This Row],[Date]])</f>
        <v>6</v>
      </c>
      <c r="E445" s="6" t="s">
        <v>508</v>
      </c>
      <c r="F445" s="6" t="s">
        <v>29</v>
      </c>
      <c r="G445" s="6" t="s">
        <v>95</v>
      </c>
      <c r="H445" s="134" t="s">
        <v>199</v>
      </c>
      <c r="I445" s="114" t="s">
        <v>479</v>
      </c>
      <c r="J445" s="136">
        <v>3</v>
      </c>
      <c r="K445" s="193"/>
      <c r="L445" s="194"/>
      <c r="M445" s="195"/>
      <c r="N445" s="195"/>
      <c r="O445" s="196"/>
      <c r="P445" s="196"/>
      <c r="Q445" s="195"/>
      <c r="R445" s="195">
        <v>10</v>
      </c>
      <c r="S445" s="197"/>
      <c r="T445" s="102">
        <f>SUM(Finance[[#This Row],[Samer]:[Margins]])</f>
        <v>10</v>
      </c>
      <c r="U445" s="103">
        <f>ABS(Finance[[#This Row],[Total (EGP)]])</f>
        <v>10</v>
      </c>
      <c r="V445" s="198"/>
    </row>
    <row r="446" spans="1:24" ht="18" customHeight="1" x14ac:dyDescent="0.3">
      <c r="B446" s="187">
        <v>45833</v>
      </c>
      <c r="C446" s="169">
        <f>YEAR(Finance[[#This Row],[Date]])</f>
        <v>2025</v>
      </c>
      <c r="D446" s="200">
        <f>MONTH(Finance[[#This Row],[Date]])</f>
        <v>6</v>
      </c>
      <c r="E446" s="39" t="s">
        <v>295</v>
      </c>
      <c r="F446" s="39" t="s">
        <v>29</v>
      </c>
      <c r="G446" s="6" t="s">
        <v>111</v>
      </c>
      <c r="H446" s="134" t="s">
        <v>296</v>
      </c>
      <c r="I446" s="114" t="s">
        <v>175</v>
      </c>
      <c r="J446" s="136">
        <v>3</v>
      </c>
      <c r="K446" s="143"/>
      <c r="L446" s="144">
        <v>1030.78</v>
      </c>
      <c r="M446" s="195"/>
      <c r="N446" s="195"/>
      <c r="O446" s="196"/>
      <c r="P446" s="196"/>
      <c r="Q446" s="195"/>
      <c r="R446" s="195"/>
      <c r="S446" s="197"/>
      <c r="T446" s="102">
        <f>SUM(Finance[[#This Row],[Samer]:[Margins]])</f>
        <v>1030.78</v>
      </c>
      <c r="U446" s="103">
        <f>ABS(Finance[[#This Row],[Total (EGP)]])</f>
        <v>1030.78</v>
      </c>
      <c r="V446" s="198"/>
    </row>
    <row r="447" spans="1:24" ht="18" customHeight="1" x14ac:dyDescent="0.3">
      <c r="B447" s="187">
        <v>45837</v>
      </c>
      <c r="C447" s="169">
        <f>YEAR(Finance[[#This Row],[Date]])</f>
        <v>2025</v>
      </c>
      <c r="D447" s="200">
        <f>MONTH(Finance[[#This Row],[Date]])</f>
        <v>6</v>
      </c>
      <c r="E447" s="6" t="s">
        <v>554</v>
      </c>
      <c r="F447" s="6" t="s">
        <v>73</v>
      </c>
      <c r="G447" s="6" t="s">
        <v>233</v>
      </c>
      <c r="H447" s="134" t="s">
        <v>234</v>
      </c>
      <c r="I447" s="135" t="s">
        <v>235</v>
      </c>
      <c r="J447" s="136">
        <v>1</v>
      </c>
      <c r="K447" s="193"/>
      <c r="L447" s="194"/>
      <c r="M447" s="195"/>
      <c r="N447" s="195"/>
      <c r="O447" s="196"/>
      <c r="P447" s="196"/>
      <c r="Q447" s="195">
        <v>-54450</v>
      </c>
      <c r="R447" s="195"/>
      <c r="S447" s="197"/>
      <c r="T447" s="102">
        <f>SUM(Finance[[#This Row],[Samer]:[Margins]])</f>
        <v>-54450</v>
      </c>
      <c r="U447" s="103">
        <f>ABS(Finance[[#This Row],[Total (EGP)]])</f>
        <v>54450</v>
      </c>
      <c r="V447" s="198"/>
    </row>
    <row r="448" spans="1:24" ht="18" customHeight="1" x14ac:dyDescent="0.3">
      <c r="B448" s="187">
        <v>45837</v>
      </c>
      <c r="C448" s="169">
        <f>YEAR(Finance[[#This Row],[Date]])</f>
        <v>2025</v>
      </c>
      <c r="D448" s="200">
        <f>MONTH(Finance[[#This Row],[Date]])</f>
        <v>6</v>
      </c>
      <c r="E448" s="39" t="s">
        <v>549</v>
      </c>
      <c r="F448" s="6" t="s">
        <v>29</v>
      </c>
      <c r="G448" s="6" t="s">
        <v>23</v>
      </c>
      <c r="H448" s="134" t="s">
        <v>142</v>
      </c>
      <c r="I448" s="135" t="s">
        <v>175</v>
      </c>
      <c r="J448" s="136">
        <v>3</v>
      </c>
      <c r="K448" s="201"/>
      <c r="L448" s="202"/>
      <c r="M448" s="203"/>
      <c r="N448" s="203"/>
      <c r="O448" s="204"/>
      <c r="P448" s="204"/>
      <c r="Q448" s="203">
        <v>54450</v>
      </c>
      <c r="R448" s="203"/>
      <c r="S448" s="205"/>
      <c r="T448" s="102">
        <f>SUM(Finance[[#This Row],[Samer]:[Margins]])</f>
        <v>54450</v>
      </c>
      <c r="U448" s="103">
        <f>ABS(Finance[[#This Row],[Total (EGP)]])</f>
        <v>54450</v>
      </c>
      <c r="V448" s="206"/>
    </row>
    <row r="449" spans="2:22" ht="18" customHeight="1" x14ac:dyDescent="0.3">
      <c r="B449" s="187">
        <v>45838</v>
      </c>
      <c r="C449" s="169">
        <f>YEAR(Finance[[#This Row],[Date]])</f>
        <v>2025</v>
      </c>
      <c r="D449" s="200">
        <f>MONTH(Finance[[#This Row],[Date]])</f>
        <v>6</v>
      </c>
      <c r="E449" s="6" t="s">
        <v>555</v>
      </c>
      <c r="F449" s="6" t="s">
        <v>73</v>
      </c>
      <c r="G449" s="6" t="s">
        <v>233</v>
      </c>
      <c r="H449" s="134" t="s">
        <v>234</v>
      </c>
      <c r="I449" s="135" t="s">
        <v>235</v>
      </c>
      <c r="J449" s="136">
        <v>1</v>
      </c>
      <c r="K449" s="193"/>
      <c r="L449" s="194"/>
      <c r="M449" s="195"/>
      <c r="N449" s="195"/>
      <c r="O449" s="196"/>
      <c r="P449" s="196"/>
      <c r="Q449" s="195">
        <f>-141959.82-0.09</f>
        <v>-141959.91</v>
      </c>
      <c r="R449" s="195"/>
      <c r="S449" s="197"/>
      <c r="T449" s="102">
        <f>SUM(Finance[[#This Row],[Samer]:[Margins]])</f>
        <v>-141959.91</v>
      </c>
      <c r="U449" s="103">
        <f>ABS(Finance[[#This Row],[Total (EGP)]])</f>
        <v>141959.91</v>
      </c>
      <c r="V449" s="198"/>
    </row>
    <row r="450" spans="2:22" ht="18" customHeight="1" x14ac:dyDescent="0.3">
      <c r="B450" s="187">
        <v>45838</v>
      </c>
      <c r="C450" s="169">
        <f>YEAR(Finance[[#This Row],[Date]])</f>
        <v>2025</v>
      </c>
      <c r="D450" s="200">
        <f>MONTH(Finance[[#This Row],[Date]])</f>
        <v>6</v>
      </c>
      <c r="E450" s="6" t="s">
        <v>237</v>
      </c>
      <c r="F450" s="6" t="s">
        <v>73</v>
      </c>
      <c r="G450" s="126" t="s">
        <v>233</v>
      </c>
      <c r="H450" s="127" t="s">
        <v>90</v>
      </c>
      <c r="I450" s="135" t="s">
        <v>235</v>
      </c>
      <c r="J450" s="129">
        <v>1</v>
      </c>
      <c r="K450" s="193"/>
      <c r="L450" s="194"/>
      <c r="M450" s="195"/>
      <c r="N450" s="195"/>
      <c r="O450" s="196"/>
      <c r="P450" s="196"/>
      <c r="Q450" s="195">
        <f>-505609.89*0.14</f>
        <v>-70785.384600000005</v>
      </c>
      <c r="R450" s="195"/>
      <c r="S450" s="197"/>
      <c r="T450" s="102">
        <f>SUM(Finance[[#This Row],[Samer]:[Margins]])</f>
        <v>-70785.384600000005</v>
      </c>
      <c r="U450" s="103">
        <f>ABS(Finance[[#This Row],[Total (EGP)]])</f>
        <v>70785.384600000005</v>
      </c>
      <c r="V450" s="198"/>
    </row>
    <row r="451" spans="2:22" ht="18" customHeight="1" x14ac:dyDescent="0.3">
      <c r="B451" s="187">
        <v>45838</v>
      </c>
      <c r="C451" s="169">
        <f>YEAR(Finance[[#This Row],[Date]])</f>
        <v>2025</v>
      </c>
      <c r="D451" s="200">
        <f>MONTH(Finance[[#This Row],[Date]])</f>
        <v>6</v>
      </c>
      <c r="E451" s="6" t="s">
        <v>238</v>
      </c>
      <c r="F451" s="6" t="s">
        <v>84</v>
      </c>
      <c r="G451" s="6" t="s">
        <v>86</v>
      </c>
      <c r="H451" s="134" t="s">
        <v>234</v>
      </c>
      <c r="I451" s="135" t="s">
        <v>235</v>
      </c>
      <c r="J451" s="129">
        <v>1</v>
      </c>
      <c r="K451" s="193"/>
      <c r="L451" s="194"/>
      <c r="M451" s="195"/>
      <c r="N451" s="195"/>
      <c r="O451" s="196"/>
      <c r="P451" s="196"/>
      <c r="Q451" s="195">
        <f>505609.89*0.03</f>
        <v>15168.296699999999</v>
      </c>
      <c r="R451" s="195"/>
      <c r="S451" s="197"/>
      <c r="T451" s="102">
        <f>SUM(Finance[[#This Row],[Samer]:[Margins]])</f>
        <v>15168.296699999999</v>
      </c>
      <c r="U451" s="103">
        <f>ABS(Finance[[#This Row],[Total (EGP)]])</f>
        <v>15168.296699999999</v>
      </c>
      <c r="V451" s="198"/>
    </row>
    <row r="452" spans="2:22" ht="18" customHeight="1" x14ac:dyDescent="0.3">
      <c r="B452" s="187">
        <v>45838</v>
      </c>
      <c r="C452" s="169">
        <f>YEAR(Finance[[#This Row],[Date]])</f>
        <v>2025</v>
      </c>
      <c r="D452" s="200">
        <f>MONTH(Finance[[#This Row],[Date]])</f>
        <v>6</v>
      </c>
      <c r="E452" s="188" t="s">
        <v>516</v>
      </c>
      <c r="F452" s="189" t="s">
        <v>37</v>
      </c>
      <c r="G452" s="189" t="s">
        <v>36</v>
      </c>
      <c r="H452" s="190" t="s">
        <v>181</v>
      </c>
      <c r="I452" s="191" t="s">
        <v>175</v>
      </c>
      <c r="J452" s="192">
        <v>0</v>
      </c>
      <c r="K452" s="193"/>
      <c r="L452" s="194"/>
      <c r="M452" s="195"/>
      <c r="N452" s="195"/>
      <c r="O452" s="196"/>
      <c r="P452" s="196"/>
      <c r="Q452" s="195">
        <f>197576.91+0.09</f>
        <v>197577</v>
      </c>
      <c r="R452" s="195">
        <v>-190000</v>
      </c>
      <c r="S452" s="197">
        <f>-7576.91-0.09</f>
        <v>-7577</v>
      </c>
      <c r="T452" s="102">
        <f>SUM(Finance[[#This Row],[Samer]:[Margins]])</f>
        <v>0</v>
      </c>
      <c r="U452" s="103">
        <f>ABS(Finance[[#This Row],[Total (EGP)]])</f>
        <v>0</v>
      </c>
      <c r="V452" s="198"/>
    </row>
    <row r="453" spans="2:22" ht="18" customHeight="1" x14ac:dyDescent="0.3">
      <c r="B453" s="187">
        <v>45838</v>
      </c>
      <c r="C453" s="169">
        <f>YEAR(Finance[[#This Row],[Date]])</f>
        <v>2025</v>
      </c>
      <c r="D453" s="200">
        <f>MONTH(Finance[[#This Row],[Date]])</f>
        <v>6</v>
      </c>
      <c r="E453" s="6" t="s">
        <v>254</v>
      </c>
      <c r="F453" s="172" t="s">
        <v>29</v>
      </c>
      <c r="G453" s="6" t="s">
        <v>55</v>
      </c>
      <c r="H453" s="134" t="s">
        <v>352</v>
      </c>
      <c r="I453" s="135" t="s">
        <v>175</v>
      </c>
      <c r="J453" s="136">
        <v>3</v>
      </c>
      <c r="K453" s="193"/>
      <c r="L453" s="194"/>
      <c r="M453" s="195"/>
      <c r="N453" s="195"/>
      <c r="O453" s="196"/>
      <c r="P453" s="196"/>
      <c r="Q453" s="195"/>
      <c r="R453" s="195"/>
      <c r="S453" s="197">
        <v>7677.5</v>
      </c>
      <c r="T453" s="102">
        <f>SUM(Finance[[#This Row],[Samer]:[Margins]])</f>
        <v>7677.5</v>
      </c>
      <c r="U453" s="103">
        <f>ABS(Finance[[#This Row],[Total (EGP)]])</f>
        <v>7677.5</v>
      </c>
      <c r="V453" s="198"/>
    </row>
    <row r="454" spans="2:22" ht="18" customHeight="1" x14ac:dyDescent="0.3">
      <c r="B454" s="218">
        <v>45838</v>
      </c>
      <c r="C454" s="169">
        <f>YEAR(Finance[[#This Row],[Date]])</f>
        <v>2025</v>
      </c>
      <c r="D454" s="200">
        <f>MONTH(Finance[[#This Row],[Date]])</f>
        <v>6</v>
      </c>
      <c r="E454" s="6" t="s">
        <v>101</v>
      </c>
      <c r="F454" s="39" t="s">
        <v>29</v>
      </c>
      <c r="G454" s="6" t="s">
        <v>101</v>
      </c>
      <c r="H454" s="134" t="s">
        <v>74</v>
      </c>
      <c r="I454" s="135" t="s">
        <v>175</v>
      </c>
      <c r="J454" s="136">
        <v>3</v>
      </c>
      <c r="K454" s="201"/>
      <c r="L454" s="202"/>
      <c r="M454" s="203"/>
      <c r="N454" s="203"/>
      <c r="O454" s="204"/>
      <c r="P454" s="204"/>
      <c r="Q454" s="203"/>
      <c r="R454" s="203"/>
      <c r="S454" s="205">
        <v>625</v>
      </c>
      <c r="T454" s="102">
        <f>SUM(Finance[[#This Row],[Samer]:[Margins]])</f>
        <v>625</v>
      </c>
      <c r="U454" s="103">
        <f>ABS(Finance[[#This Row],[Total (EGP)]])</f>
        <v>625</v>
      </c>
      <c r="V454" s="206"/>
    </row>
    <row r="455" spans="2:22" ht="18" customHeight="1" x14ac:dyDescent="0.3">
      <c r="B455" s="218">
        <v>45838</v>
      </c>
      <c r="C455" s="169">
        <f>YEAR(Finance[[#This Row],[Date]])</f>
        <v>2025</v>
      </c>
      <c r="D455" s="200">
        <f>MONTH(Finance[[#This Row],[Date]])</f>
        <v>6</v>
      </c>
      <c r="E455" s="39" t="s">
        <v>32</v>
      </c>
      <c r="F455" s="39" t="s">
        <v>29</v>
      </c>
      <c r="G455" s="6" t="s">
        <v>32</v>
      </c>
      <c r="H455" s="134" t="s">
        <v>142</v>
      </c>
      <c r="I455" s="135" t="s">
        <v>175</v>
      </c>
      <c r="J455" s="136">
        <v>3</v>
      </c>
      <c r="K455" s="201"/>
      <c r="L455" s="202"/>
      <c r="M455" s="203"/>
      <c r="N455" s="203"/>
      <c r="O455" s="204"/>
      <c r="P455" s="204"/>
      <c r="Q455" s="203"/>
      <c r="R455" s="203"/>
      <c r="S455" s="205">
        <v>70</v>
      </c>
      <c r="T455" s="102">
        <f>SUM(Finance[[#This Row],[Samer]:[Margins]])</f>
        <v>70</v>
      </c>
      <c r="U455" s="103">
        <f>ABS(Finance[[#This Row],[Total (EGP)]])</f>
        <v>70</v>
      </c>
      <c r="V455" s="206"/>
    </row>
    <row r="456" spans="2:22" ht="18" customHeight="1" x14ac:dyDescent="0.3">
      <c r="B456" s="218">
        <v>45838</v>
      </c>
      <c r="C456" s="169">
        <f>YEAR(Finance[[#This Row],[Date]])</f>
        <v>2025</v>
      </c>
      <c r="D456" s="200">
        <f>MONTH(Finance[[#This Row],[Date]])</f>
        <v>6</v>
      </c>
      <c r="E456" s="6" t="s">
        <v>167</v>
      </c>
      <c r="F456" s="6" t="s">
        <v>29</v>
      </c>
      <c r="G456" s="6" t="s">
        <v>55</v>
      </c>
      <c r="H456" s="134" t="s">
        <v>258</v>
      </c>
      <c r="I456" s="135" t="s">
        <v>175</v>
      </c>
      <c r="J456" s="136">
        <v>3</v>
      </c>
      <c r="K456" s="201"/>
      <c r="L456" s="202"/>
      <c r="M456" s="203"/>
      <c r="N456" s="203"/>
      <c r="O456" s="204"/>
      <c r="P456" s="204"/>
      <c r="Q456" s="203"/>
      <c r="R456" s="203"/>
      <c r="S456" s="205">
        <v>115</v>
      </c>
      <c r="T456" s="102">
        <f>SUM(Finance[[#This Row],[Samer]:[Margins]])</f>
        <v>115</v>
      </c>
      <c r="U456" s="103">
        <f>ABS(Finance[[#This Row],[Total (EGP)]])</f>
        <v>115</v>
      </c>
      <c r="V456" s="206"/>
    </row>
    <row r="457" spans="2:22" ht="18" customHeight="1" x14ac:dyDescent="0.3">
      <c r="B457" s="218">
        <v>45838</v>
      </c>
      <c r="C457" s="169">
        <f>YEAR(Finance[[#This Row],[Date]])</f>
        <v>2025</v>
      </c>
      <c r="D457" s="200">
        <f>MONTH(Finance[[#This Row],[Date]])</f>
        <v>6</v>
      </c>
      <c r="E457" s="6" t="s">
        <v>566</v>
      </c>
      <c r="F457" s="39" t="s">
        <v>84</v>
      </c>
      <c r="G457" s="39" t="s">
        <v>90</v>
      </c>
      <c r="H457" s="48" t="s">
        <v>143</v>
      </c>
      <c r="I457" s="149" t="s">
        <v>175</v>
      </c>
      <c r="J457" s="131">
        <v>1</v>
      </c>
      <c r="K457" s="193"/>
      <c r="L457" s="194"/>
      <c r="M457" s="195"/>
      <c r="N457" s="195"/>
      <c r="O457" s="196"/>
      <c r="P457" s="196"/>
      <c r="Q457" s="195"/>
      <c r="R457" s="195">
        <v>0</v>
      </c>
      <c r="S457" s="197"/>
      <c r="T457" s="102">
        <f>SUM(Finance[[#This Row],[Samer]:[Margins]])</f>
        <v>0</v>
      </c>
      <c r="U457" s="103">
        <f>ABS(Finance[[#This Row],[Total (EGP)]])</f>
        <v>0</v>
      </c>
      <c r="V457" s="206"/>
    </row>
    <row r="458" spans="2:22" ht="18" customHeight="1" x14ac:dyDescent="0.3">
      <c r="B458" s="218">
        <v>45838</v>
      </c>
      <c r="C458" s="169">
        <f>YEAR(Finance[[#This Row],[Date]])</f>
        <v>2025</v>
      </c>
      <c r="D458" s="200">
        <f>MONTH(Finance[[#This Row],[Date]])</f>
        <v>6</v>
      </c>
      <c r="E458" s="6" t="s">
        <v>567</v>
      </c>
      <c r="F458" s="39" t="s">
        <v>84</v>
      </c>
      <c r="G458" s="39" t="s">
        <v>90</v>
      </c>
      <c r="H458" s="48" t="s">
        <v>143</v>
      </c>
      <c r="I458" s="149" t="s">
        <v>175</v>
      </c>
      <c r="J458" s="131">
        <v>4</v>
      </c>
      <c r="K458" s="193"/>
      <c r="L458" s="194"/>
      <c r="M458" s="195"/>
      <c r="N458" s="195"/>
      <c r="O458" s="196"/>
      <c r="P458" s="196"/>
      <c r="Q458" s="195"/>
      <c r="R458" s="195">
        <v>32238.89</v>
      </c>
      <c r="S458" s="197"/>
      <c r="T458" s="102">
        <f>SUM(Finance[[#This Row],[Samer]:[Margins]])</f>
        <v>32238.89</v>
      </c>
      <c r="U458" s="103">
        <f>ABS(Finance[[#This Row],[Total (EGP)]])</f>
        <v>32238.89</v>
      </c>
      <c r="V458" s="206"/>
    </row>
    <row r="459" spans="2:22" ht="18" customHeight="1" x14ac:dyDescent="0.3">
      <c r="B459" s="218">
        <v>45838</v>
      </c>
      <c r="C459" s="169">
        <f>YEAR(Finance[[#This Row],[Date]])</f>
        <v>2025</v>
      </c>
      <c r="D459" s="200">
        <f>MONTH(Finance[[#This Row],[Date]])</f>
        <v>6</v>
      </c>
      <c r="E459" s="6" t="s">
        <v>568</v>
      </c>
      <c r="F459" s="39" t="s">
        <v>84</v>
      </c>
      <c r="G459" s="39" t="s">
        <v>90</v>
      </c>
      <c r="H459" s="48" t="s">
        <v>143</v>
      </c>
      <c r="I459" s="149" t="s">
        <v>175</v>
      </c>
      <c r="J459" s="131">
        <v>5</v>
      </c>
      <c r="K459" s="193"/>
      <c r="L459" s="194"/>
      <c r="M459" s="195"/>
      <c r="N459" s="195"/>
      <c r="O459" s="196"/>
      <c r="P459" s="196"/>
      <c r="Q459" s="195"/>
      <c r="R459" s="195">
        <v>682.5</v>
      </c>
      <c r="S459" s="197"/>
      <c r="T459" s="102">
        <f>SUM(Finance[[#This Row],[Samer]:[Margins]])</f>
        <v>682.5</v>
      </c>
      <c r="U459" s="103">
        <f>ABS(Finance[[#This Row],[Total (EGP)]])</f>
        <v>682.5</v>
      </c>
      <c r="V459" s="206"/>
    </row>
    <row r="460" spans="2:22" ht="18" customHeight="1" x14ac:dyDescent="0.3">
      <c r="B460" s="218">
        <v>45838</v>
      </c>
      <c r="C460" s="169">
        <f>YEAR(Finance[[#This Row],[Date]])</f>
        <v>2025</v>
      </c>
      <c r="D460" s="200">
        <f>MONTH(Finance[[#This Row],[Date]])</f>
        <v>6</v>
      </c>
      <c r="E460" s="6" t="s">
        <v>569</v>
      </c>
      <c r="F460" s="39" t="s">
        <v>84</v>
      </c>
      <c r="G460" s="39" t="s">
        <v>90</v>
      </c>
      <c r="H460" s="48" t="s">
        <v>143</v>
      </c>
      <c r="I460" s="149" t="s">
        <v>175</v>
      </c>
      <c r="J460" s="131">
        <v>2</v>
      </c>
      <c r="K460" s="193"/>
      <c r="L460" s="194"/>
      <c r="M460" s="195"/>
      <c r="N460" s="195"/>
      <c r="O460" s="196"/>
      <c r="P460" s="196"/>
      <c r="Q460" s="195"/>
      <c r="R460" s="195">
        <v>70741.61</v>
      </c>
      <c r="S460" s="197"/>
      <c r="T460" s="102">
        <f>SUM(Finance[[#This Row],[Samer]:[Margins]])</f>
        <v>70741.61</v>
      </c>
      <c r="U460" s="103">
        <f>ABS(Finance[[#This Row],[Total (EGP)]])</f>
        <v>70741.61</v>
      </c>
      <c r="V460" s="206"/>
    </row>
    <row r="461" spans="2:22" ht="18" customHeight="1" x14ac:dyDescent="0.3">
      <c r="B461" s="218">
        <v>45838</v>
      </c>
      <c r="C461" s="169">
        <f>YEAR(Finance[[#This Row],[Date]])</f>
        <v>2025</v>
      </c>
      <c r="D461" s="200">
        <f>MONTH(Finance[[#This Row],[Date]])</f>
        <v>6</v>
      </c>
      <c r="E461" s="6" t="s">
        <v>221</v>
      </c>
      <c r="F461" s="39" t="s">
        <v>29</v>
      </c>
      <c r="G461" s="6" t="s">
        <v>95</v>
      </c>
      <c r="H461" s="48" t="s">
        <v>194</v>
      </c>
      <c r="I461" s="135" t="s">
        <v>175</v>
      </c>
      <c r="J461" s="136">
        <v>3</v>
      </c>
      <c r="K461" s="193"/>
      <c r="L461" s="194"/>
      <c r="M461" s="195"/>
      <c r="N461" s="195"/>
      <c r="O461" s="196"/>
      <c r="P461" s="196"/>
      <c r="Q461" s="195"/>
      <c r="R461" s="195">
        <f>103663*0.0107001</f>
        <v>1109.2044663000001</v>
      </c>
      <c r="S461" s="197"/>
      <c r="T461" s="102">
        <f>SUM(Finance[[#This Row],[Samer]:[Margins]])</f>
        <v>1109.2044663000001</v>
      </c>
      <c r="U461" s="103">
        <f>ABS(Finance[[#This Row],[Total (EGP)]])</f>
        <v>1109.2044663000001</v>
      </c>
      <c r="V461" s="206"/>
    </row>
    <row r="462" spans="2:22" ht="18" customHeight="1" x14ac:dyDescent="0.3">
      <c r="B462" s="218">
        <v>45838</v>
      </c>
      <c r="C462" s="169">
        <f>YEAR(Finance[[#This Row],[Date]])</f>
        <v>2025</v>
      </c>
      <c r="D462" s="200">
        <f>MONTH(Finance[[#This Row],[Date]])</f>
        <v>6</v>
      </c>
      <c r="E462" s="6" t="s">
        <v>570</v>
      </c>
      <c r="F462" s="39" t="s">
        <v>84</v>
      </c>
      <c r="G462" s="6" t="s">
        <v>85</v>
      </c>
      <c r="H462" s="48" t="s">
        <v>222</v>
      </c>
      <c r="I462" s="135" t="s">
        <v>175</v>
      </c>
      <c r="J462" s="136">
        <v>3</v>
      </c>
      <c r="K462" s="193"/>
      <c r="L462" s="194"/>
      <c r="M462" s="195"/>
      <c r="N462" s="195"/>
      <c r="O462" s="196"/>
      <c r="P462" s="196"/>
      <c r="Q462" s="195"/>
      <c r="R462" s="195">
        <v>9851</v>
      </c>
      <c r="S462" s="197"/>
      <c r="T462" s="102">
        <f>SUM(Finance[[#This Row],[Samer]:[Margins]])</f>
        <v>9851</v>
      </c>
      <c r="U462" s="103">
        <f>ABS(Finance[[#This Row],[Total (EGP)]])</f>
        <v>9851</v>
      </c>
      <c r="V462" s="206"/>
    </row>
    <row r="463" spans="2:22" ht="18" customHeight="1" x14ac:dyDescent="0.3">
      <c r="B463" s="218">
        <v>45838</v>
      </c>
      <c r="C463" s="169">
        <f>YEAR(Finance[[#This Row],[Date]])</f>
        <v>2025</v>
      </c>
      <c r="D463" s="200">
        <f>MONTH(Finance[[#This Row],[Date]])</f>
        <v>6</v>
      </c>
      <c r="E463" s="6" t="s">
        <v>223</v>
      </c>
      <c r="F463" s="39" t="s">
        <v>29</v>
      </c>
      <c r="G463" s="6" t="s">
        <v>95</v>
      </c>
      <c r="H463" s="48" t="s">
        <v>194</v>
      </c>
      <c r="I463" s="135" t="s">
        <v>175</v>
      </c>
      <c r="J463" s="136">
        <v>3</v>
      </c>
      <c r="K463" s="193"/>
      <c r="L463" s="194"/>
      <c r="M463" s="195"/>
      <c r="N463" s="195"/>
      <c r="O463" s="196"/>
      <c r="P463" s="196"/>
      <c r="Q463" s="195"/>
      <c r="R463" s="195">
        <f>+R462*0.0107001</f>
        <v>105.4066851</v>
      </c>
      <c r="S463" s="197"/>
      <c r="T463" s="102">
        <f>SUM(Finance[[#This Row],[Samer]:[Margins]])</f>
        <v>105.4066851</v>
      </c>
      <c r="U463" s="103">
        <f>ABS(Finance[[#This Row],[Total (EGP)]])</f>
        <v>105.4066851</v>
      </c>
      <c r="V463" s="206"/>
    </row>
    <row r="464" spans="2:22" ht="18" customHeight="1" x14ac:dyDescent="0.3">
      <c r="B464" s="218">
        <v>45838</v>
      </c>
      <c r="C464" s="169">
        <f>YEAR(Finance[[#This Row],[Date]])</f>
        <v>2025</v>
      </c>
      <c r="D464" s="200">
        <f>MONTH(Finance[[#This Row],[Date]])</f>
        <v>6</v>
      </c>
      <c r="E464" s="171" t="s">
        <v>179</v>
      </c>
      <c r="F464" s="172" t="s">
        <v>37</v>
      </c>
      <c r="G464" s="172" t="s">
        <v>36</v>
      </c>
      <c r="H464" s="173" t="s">
        <v>181</v>
      </c>
      <c r="I464" s="181" t="s">
        <v>175</v>
      </c>
      <c r="J464" s="174">
        <v>0</v>
      </c>
      <c r="K464" s="175"/>
      <c r="L464" s="176">
        <v>-89689</v>
      </c>
      <c r="M464" s="177"/>
      <c r="N464" s="177"/>
      <c r="O464" s="178"/>
      <c r="P464" s="178"/>
      <c r="Q464" s="177"/>
      <c r="R464" s="177">
        <v>89689</v>
      </c>
      <c r="S464" s="197"/>
      <c r="T464" s="102">
        <f>SUM(Finance[[#This Row],[Samer]:[Margins]])</f>
        <v>0</v>
      </c>
      <c r="U464" s="103">
        <f>ABS(Finance[[#This Row],[Total (EGP)]])</f>
        <v>0</v>
      </c>
      <c r="V464" s="206"/>
    </row>
    <row r="465" spans="2:22" ht="18" customHeight="1" x14ac:dyDescent="0.3">
      <c r="B465" s="218">
        <v>45838</v>
      </c>
      <c r="C465" s="169">
        <f>YEAR(Finance[[#This Row],[Date]])</f>
        <v>2025</v>
      </c>
      <c r="D465" s="200">
        <f>MONTH(Finance[[#This Row],[Date]])</f>
        <v>6</v>
      </c>
      <c r="E465" s="39" t="s">
        <v>571</v>
      </c>
      <c r="F465" s="6" t="s">
        <v>34</v>
      </c>
      <c r="G465" s="6" t="s">
        <v>66</v>
      </c>
      <c r="H465" s="134" t="s">
        <v>210</v>
      </c>
      <c r="I465" s="135" t="s">
        <v>175</v>
      </c>
      <c r="J465" s="136">
        <v>1</v>
      </c>
      <c r="K465" s="31"/>
      <c r="L465" s="132">
        <f>90000*0.25</f>
        <v>22500</v>
      </c>
      <c r="M465" s="164"/>
      <c r="N465" s="164"/>
      <c r="O465" s="165"/>
      <c r="P465" s="165"/>
      <c r="Q465" s="145"/>
      <c r="R465" s="145">
        <f>37962+32300+30000*0.5+17594+25000</f>
        <v>127856</v>
      </c>
      <c r="S465" s="197"/>
      <c r="T465" s="102">
        <f>SUM(Finance[[#This Row],[Samer]:[Margins]])</f>
        <v>150356</v>
      </c>
      <c r="U465" s="103">
        <f>ABS(Finance[[#This Row],[Total (EGP)]])</f>
        <v>150356</v>
      </c>
      <c r="V465" s="206"/>
    </row>
    <row r="466" spans="2:22" ht="18" customHeight="1" x14ac:dyDescent="0.3">
      <c r="B466" s="218">
        <v>45838</v>
      </c>
      <c r="C466" s="169">
        <f>YEAR(Finance[[#This Row],[Date]])</f>
        <v>2025</v>
      </c>
      <c r="D466" s="200">
        <f>MONTH(Finance[[#This Row],[Date]])</f>
        <v>6</v>
      </c>
      <c r="E466" s="39" t="s">
        <v>572</v>
      </c>
      <c r="F466" s="6" t="s">
        <v>34</v>
      </c>
      <c r="G466" s="6" t="s">
        <v>66</v>
      </c>
      <c r="H466" s="134" t="s">
        <v>211</v>
      </c>
      <c r="I466" s="135" t="s">
        <v>175</v>
      </c>
      <c r="J466" s="136">
        <v>3</v>
      </c>
      <c r="K466" s="31"/>
      <c r="L466" s="132">
        <f>90000*0.3</f>
        <v>27000</v>
      </c>
      <c r="M466" s="164"/>
      <c r="N466" s="164"/>
      <c r="O466" s="165"/>
      <c r="P466" s="165"/>
      <c r="Q466" s="145"/>
      <c r="R466" s="145">
        <f>18310.5+12500+19500</f>
        <v>50310.5</v>
      </c>
      <c r="S466" s="197"/>
      <c r="T466" s="102">
        <f>SUM(Finance[[#This Row],[Samer]:[Margins]])</f>
        <v>77310.5</v>
      </c>
      <c r="U466" s="103">
        <f>ABS(Finance[[#This Row],[Total (EGP)]])</f>
        <v>77310.5</v>
      </c>
      <c r="V466" s="206"/>
    </row>
    <row r="467" spans="2:22" ht="18" customHeight="1" x14ac:dyDescent="0.3">
      <c r="B467" s="218">
        <v>45838</v>
      </c>
      <c r="C467" s="169">
        <f>YEAR(Finance[[#This Row],[Date]])</f>
        <v>2025</v>
      </c>
      <c r="D467" s="200">
        <f>MONTH(Finance[[#This Row],[Date]])</f>
        <v>6</v>
      </c>
      <c r="E467" s="39" t="s">
        <v>573</v>
      </c>
      <c r="F467" s="6" t="s">
        <v>34</v>
      </c>
      <c r="G467" s="6" t="s">
        <v>66</v>
      </c>
      <c r="H467" s="134" t="s">
        <v>212</v>
      </c>
      <c r="I467" s="135" t="s">
        <v>175</v>
      </c>
      <c r="J467" s="136">
        <v>4</v>
      </c>
      <c r="K467" s="31"/>
      <c r="L467" s="132">
        <f>90000*0.2</f>
        <v>18000</v>
      </c>
      <c r="M467" s="164"/>
      <c r="N467" s="164"/>
      <c r="O467" s="165"/>
      <c r="P467" s="165"/>
      <c r="Q467" s="145"/>
      <c r="R467" s="145">
        <f>21988+30000*0.5+20000</f>
        <v>56988</v>
      </c>
      <c r="S467" s="197"/>
      <c r="T467" s="102">
        <f>SUM(Finance[[#This Row],[Samer]:[Margins]])</f>
        <v>74988</v>
      </c>
      <c r="U467" s="103">
        <f>ABS(Finance[[#This Row],[Total (EGP)]])</f>
        <v>74988</v>
      </c>
      <c r="V467" s="206"/>
    </row>
    <row r="468" spans="2:22" ht="18" customHeight="1" x14ac:dyDescent="0.3">
      <c r="B468" s="218">
        <v>45838</v>
      </c>
      <c r="C468" s="169">
        <f>YEAR(Finance[[#This Row],[Date]])</f>
        <v>2025</v>
      </c>
      <c r="D468" s="200">
        <f>MONTH(Finance[[#This Row],[Date]])</f>
        <v>6</v>
      </c>
      <c r="E468" s="39" t="s">
        <v>574</v>
      </c>
      <c r="F468" s="6" t="s">
        <v>34</v>
      </c>
      <c r="G468" s="6" t="s">
        <v>66</v>
      </c>
      <c r="H468" s="134" t="s">
        <v>209</v>
      </c>
      <c r="I468" s="135" t="s">
        <v>175</v>
      </c>
      <c r="J468" s="136">
        <v>2</v>
      </c>
      <c r="K468" s="31"/>
      <c r="L468" s="132">
        <f>90000*0.25</f>
        <v>22500</v>
      </c>
      <c r="M468" s="164"/>
      <c r="N468" s="164"/>
      <c r="O468" s="165"/>
      <c r="P468" s="165"/>
      <c r="Q468" s="145"/>
      <c r="R468" s="145">
        <f>38000+17000+16966+13000+14000</f>
        <v>98966</v>
      </c>
      <c r="S468" s="197"/>
      <c r="T468" s="102">
        <f>SUM(Finance[[#This Row],[Samer]:[Margins]])</f>
        <v>121466</v>
      </c>
      <c r="U468" s="103">
        <f>ABS(Finance[[#This Row],[Total (EGP)]])</f>
        <v>121466</v>
      </c>
      <c r="V468" s="206"/>
    </row>
    <row r="469" spans="2:22" ht="18" customHeight="1" x14ac:dyDescent="0.3">
      <c r="B469" s="218">
        <v>45838</v>
      </c>
      <c r="C469" s="169">
        <f>YEAR(Finance[[#This Row],[Date]])</f>
        <v>2025</v>
      </c>
      <c r="D469" s="200">
        <f>MONTH(Finance[[#This Row],[Date]])</f>
        <v>6</v>
      </c>
      <c r="E469" s="39" t="s">
        <v>575</v>
      </c>
      <c r="F469" s="39" t="s">
        <v>29</v>
      </c>
      <c r="G469" s="39" t="s">
        <v>213</v>
      </c>
      <c r="H469" s="48" t="s">
        <v>214</v>
      </c>
      <c r="I469" s="114" t="s">
        <v>175</v>
      </c>
      <c r="J469" s="131">
        <v>3</v>
      </c>
      <c r="K469" s="31"/>
      <c r="L469" s="132">
        <v>-311</v>
      </c>
      <c r="M469" s="164"/>
      <c r="N469" s="164"/>
      <c r="O469" s="165"/>
      <c r="P469" s="165"/>
      <c r="Q469" s="145"/>
      <c r="R469" s="145">
        <f>-311*10-691</f>
        <v>-3801</v>
      </c>
      <c r="S469" s="197"/>
      <c r="T469" s="102">
        <f>SUM(Finance[[#This Row],[Samer]:[Margins]])</f>
        <v>-4112</v>
      </c>
      <c r="U469" s="103">
        <f>ABS(Finance[[#This Row],[Total (EGP)]])</f>
        <v>4112</v>
      </c>
      <c r="V469" s="206"/>
    </row>
    <row r="470" spans="2:22" ht="18" customHeight="1" x14ac:dyDescent="0.3">
      <c r="B470" s="218">
        <v>45838</v>
      </c>
      <c r="C470" s="169">
        <f>YEAR(Finance[[#This Row],[Date]])</f>
        <v>2025</v>
      </c>
      <c r="D470" s="200">
        <f>MONTH(Finance[[#This Row],[Date]])</f>
        <v>6</v>
      </c>
      <c r="E470" s="6" t="s">
        <v>456</v>
      </c>
      <c r="F470" s="6" t="s">
        <v>29</v>
      </c>
      <c r="G470" s="6" t="s">
        <v>95</v>
      </c>
      <c r="H470" s="134" t="s">
        <v>194</v>
      </c>
      <c r="I470" s="135" t="s">
        <v>175</v>
      </c>
      <c r="J470" s="136">
        <v>3</v>
      </c>
      <c r="K470" s="201"/>
      <c r="L470" s="202"/>
      <c r="M470" s="203"/>
      <c r="N470" s="203"/>
      <c r="O470" s="204"/>
      <c r="P470" s="204"/>
      <c r="Q470" s="203"/>
      <c r="R470" s="203">
        <f>150+100+100</f>
        <v>350</v>
      </c>
      <c r="S470" s="205"/>
      <c r="T470" s="102">
        <f>SUM(Finance[[#This Row],[Samer]:[Margins]])</f>
        <v>350</v>
      </c>
      <c r="U470" s="103">
        <f>ABS(Finance[[#This Row],[Total (EGP)]])</f>
        <v>350</v>
      </c>
      <c r="V470" s="206"/>
    </row>
    <row r="471" spans="2:22" ht="18" customHeight="1" x14ac:dyDescent="0.3">
      <c r="B471" s="218">
        <v>45838</v>
      </c>
      <c r="C471" s="169">
        <f>YEAR(Finance[[#This Row],[Date]])</f>
        <v>2025</v>
      </c>
      <c r="D471" s="200">
        <f>MONTH(Finance[[#This Row],[Date]])</f>
        <v>6</v>
      </c>
      <c r="E471" s="6" t="s">
        <v>619</v>
      </c>
      <c r="F471" s="6" t="s">
        <v>29</v>
      </c>
      <c r="G471" s="6" t="s">
        <v>95</v>
      </c>
      <c r="H471" s="134" t="s">
        <v>194</v>
      </c>
      <c r="I471" s="135" t="s">
        <v>175</v>
      </c>
      <c r="J471" s="136">
        <v>3</v>
      </c>
      <c r="K471" s="201"/>
      <c r="L471" s="202"/>
      <c r="M471" s="203"/>
      <c r="N471" s="203"/>
      <c r="O471" s="204"/>
      <c r="P471" s="204"/>
      <c r="Q471" s="203"/>
      <c r="R471" s="203">
        <v>387</v>
      </c>
      <c r="S471" s="205"/>
      <c r="T471" s="102">
        <f>SUM(Finance[[#This Row],[Samer]:[Margins]])</f>
        <v>387</v>
      </c>
      <c r="U471" s="103">
        <f>ABS(Finance[[#This Row],[Total (EGP)]])</f>
        <v>387</v>
      </c>
      <c r="V471" s="206"/>
    </row>
    <row r="472" spans="2:22" ht="18" customHeight="1" x14ac:dyDescent="0.3">
      <c r="B472" s="218">
        <v>45839</v>
      </c>
      <c r="C472" s="169">
        <f>YEAR(Finance[[#This Row],[Date]])</f>
        <v>2025</v>
      </c>
      <c r="D472" s="200">
        <f>MONTH(Finance[[#This Row],[Date]])</f>
        <v>7</v>
      </c>
      <c r="E472" s="39" t="s">
        <v>579</v>
      </c>
      <c r="F472" s="39" t="s">
        <v>30</v>
      </c>
      <c r="G472" s="39" t="s">
        <v>127</v>
      </c>
      <c r="H472" s="130" t="s">
        <v>176</v>
      </c>
      <c r="I472" s="114" t="s">
        <v>177</v>
      </c>
      <c r="J472" s="131">
        <v>1</v>
      </c>
      <c r="K472" s="31"/>
      <c r="L472" s="132">
        <f>57*58.22*1.25</f>
        <v>4148.1750000000002</v>
      </c>
      <c r="M472" s="203"/>
      <c r="N472" s="203"/>
      <c r="O472" s="204"/>
      <c r="P472" s="204"/>
      <c r="Q472" s="203"/>
      <c r="R472" s="203"/>
      <c r="S472" s="205"/>
      <c r="T472" s="102">
        <f>SUM(Finance[[#This Row],[Samer]:[Margins]])</f>
        <v>4148.1750000000002</v>
      </c>
      <c r="U472" s="103">
        <f>ABS(Finance[[#This Row],[Total (EGP)]])</f>
        <v>4148.1750000000002</v>
      </c>
      <c r="V472" s="206"/>
    </row>
    <row r="473" spans="2:22" ht="18" customHeight="1" x14ac:dyDescent="0.3">
      <c r="B473" s="218">
        <v>45839</v>
      </c>
      <c r="C473" s="169">
        <f>YEAR(Finance[[#This Row],[Date]])</f>
        <v>2025</v>
      </c>
      <c r="D473" s="200">
        <f>MONTH(Finance[[#This Row],[Date]])</f>
        <v>7</v>
      </c>
      <c r="E473" s="39" t="s">
        <v>580</v>
      </c>
      <c r="F473" s="39" t="s">
        <v>30</v>
      </c>
      <c r="G473" s="39" t="s">
        <v>109</v>
      </c>
      <c r="H473" s="130" t="s">
        <v>176</v>
      </c>
      <c r="I473" s="114" t="s">
        <v>177</v>
      </c>
      <c r="J473" s="131">
        <v>1</v>
      </c>
      <c r="K473" s="175"/>
      <c r="L473" s="176">
        <f>17.66*2*49.39*1.05</f>
        <v>1831.6775400000001</v>
      </c>
      <c r="M473" s="203"/>
      <c r="N473" s="203"/>
      <c r="O473" s="204"/>
      <c r="P473" s="204"/>
      <c r="Q473" s="203"/>
      <c r="R473" s="203"/>
      <c r="S473" s="205"/>
      <c r="T473" s="102">
        <f>SUM(Finance[[#This Row],[Samer]:[Margins]])</f>
        <v>1831.6775400000001</v>
      </c>
      <c r="U473" s="103">
        <f>ABS(Finance[[#This Row],[Total (EGP)]])</f>
        <v>1831.6775400000001</v>
      </c>
      <c r="V473" s="206"/>
    </row>
    <row r="474" spans="2:22" ht="18" customHeight="1" x14ac:dyDescent="0.3">
      <c r="B474" s="218">
        <v>45839</v>
      </c>
      <c r="C474" s="169">
        <f>YEAR(Finance[[#This Row],[Date]])</f>
        <v>2025</v>
      </c>
      <c r="D474" s="200">
        <f>MONTH(Finance[[#This Row],[Date]])</f>
        <v>7</v>
      </c>
      <c r="E474" s="6" t="s">
        <v>581</v>
      </c>
      <c r="F474" s="6" t="s">
        <v>73</v>
      </c>
      <c r="G474" s="6" t="s">
        <v>93</v>
      </c>
      <c r="H474" s="134" t="s">
        <v>199</v>
      </c>
      <c r="I474" s="114" t="s">
        <v>369</v>
      </c>
      <c r="J474" s="136">
        <v>4</v>
      </c>
      <c r="K474" s="201"/>
      <c r="L474" s="202"/>
      <c r="M474" s="203"/>
      <c r="N474" s="203"/>
      <c r="O474" s="204"/>
      <c r="P474" s="204"/>
      <c r="Q474" s="203"/>
      <c r="R474" s="203">
        <v>-6125</v>
      </c>
      <c r="S474" s="205"/>
      <c r="T474" s="102">
        <f>SUM(Finance[[#This Row],[Samer]:[Margins]])</f>
        <v>-6125</v>
      </c>
      <c r="U474" s="103">
        <f>ABS(Finance[[#This Row],[Total (EGP)]])</f>
        <v>6125</v>
      </c>
      <c r="V474" s="206"/>
    </row>
    <row r="475" spans="2:22" ht="18" customHeight="1" x14ac:dyDescent="0.3">
      <c r="B475" s="218">
        <v>45839</v>
      </c>
      <c r="C475" s="169">
        <f>YEAR(Finance[[#This Row],[Date]])</f>
        <v>2025</v>
      </c>
      <c r="D475" s="200">
        <f>MONTH(Finance[[#This Row],[Date]])</f>
        <v>7</v>
      </c>
      <c r="E475" s="6" t="s">
        <v>449</v>
      </c>
      <c r="F475" s="6" t="s">
        <v>73</v>
      </c>
      <c r="G475" s="6" t="s">
        <v>93</v>
      </c>
      <c r="H475" s="134" t="s">
        <v>90</v>
      </c>
      <c r="I475" s="114" t="s">
        <v>369</v>
      </c>
      <c r="J475" s="136">
        <v>4</v>
      </c>
      <c r="K475" s="201"/>
      <c r="L475" s="202"/>
      <c r="M475" s="203"/>
      <c r="N475" s="203"/>
      <c r="O475" s="204"/>
      <c r="P475" s="204"/>
      <c r="Q475" s="203"/>
      <c r="R475" s="203">
        <f>-6125*0.14</f>
        <v>-857.50000000000011</v>
      </c>
      <c r="S475" s="205"/>
      <c r="T475" s="102">
        <f>SUM(Finance[[#This Row],[Samer]:[Margins]])</f>
        <v>-857.50000000000011</v>
      </c>
      <c r="U475" s="103">
        <f>ABS(Finance[[#This Row],[Total (EGP)]])</f>
        <v>857.50000000000011</v>
      </c>
      <c r="V475" s="206"/>
    </row>
    <row r="476" spans="2:22" ht="18" customHeight="1" x14ac:dyDescent="0.3">
      <c r="B476" s="218">
        <v>45839</v>
      </c>
      <c r="C476" s="169">
        <f>YEAR(Finance[[#This Row],[Date]])</f>
        <v>2025</v>
      </c>
      <c r="D476" s="200">
        <f>MONTH(Finance[[#This Row],[Date]])</f>
        <v>7</v>
      </c>
      <c r="E476" s="6" t="s">
        <v>450</v>
      </c>
      <c r="F476" s="6" t="s">
        <v>84</v>
      </c>
      <c r="G476" s="6" t="s">
        <v>86</v>
      </c>
      <c r="H476" s="134" t="s">
        <v>199</v>
      </c>
      <c r="I476" s="114" t="s">
        <v>369</v>
      </c>
      <c r="J476" s="136">
        <v>4</v>
      </c>
      <c r="K476" s="201"/>
      <c r="L476" s="202"/>
      <c r="M476" s="203"/>
      <c r="N476" s="203"/>
      <c r="O476" s="204"/>
      <c r="P476" s="204"/>
      <c r="Q476" s="203"/>
      <c r="R476" s="203">
        <f>6125*0.03</f>
        <v>183.75</v>
      </c>
      <c r="S476" s="205"/>
      <c r="T476" s="102">
        <f>SUM(Finance[[#This Row],[Samer]:[Margins]])</f>
        <v>183.75</v>
      </c>
      <c r="U476" s="103">
        <f>ABS(Finance[[#This Row],[Total (EGP)]])</f>
        <v>183.75</v>
      </c>
      <c r="V476" s="206"/>
    </row>
    <row r="477" spans="2:22" ht="18" customHeight="1" x14ac:dyDescent="0.3">
      <c r="B477" s="218">
        <v>45839</v>
      </c>
      <c r="C477" s="169">
        <f>YEAR(Finance[[#This Row],[Date]])</f>
        <v>2025</v>
      </c>
      <c r="D477" s="200">
        <f>MONTH(Finance[[#This Row],[Date]])</f>
        <v>7</v>
      </c>
      <c r="E477" s="6" t="s">
        <v>370</v>
      </c>
      <c r="F477" s="6" t="s">
        <v>29</v>
      </c>
      <c r="G477" s="6" t="s">
        <v>95</v>
      </c>
      <c r="H477" s="134" t="s">
        <v>194</v>
      </c>
      <c r="I477" s="114" t="s">
        <v>369</v>
      </c>
      <c r="J477" s="136">
        <v>3</v>
      </c>
      <c r="K477" s="201"/>
      <c r="L477" s="202"/>
      <c r="M477" s="203"/>
      <c r="N477" s="203"/>
      <c r="O477" s="204"/>
      <c r="P477" s="204"/>
      <c r="Q477" s="203"/>
      <c r="R477" s="203">
        <v>10</v>
      </c>
      <c r="S477" s="205"/>
      <c r="T477" s="102">
        <f>SUM(Finance[[#This Row],[Samer]:[Margins]])</f>
        <v>10</v>
      </c>
      <c r="U477" s="103">
        <f>ABS(Finance[[#This Row],[Total (EGP)]])</f>
        <v>10</v>
      </c>
      <c r="V477" s="206"/>
    </row>
    <row r="478" spans="2:22" ht="18" customHeight="1" x14ac:dyDescent="0.3">
      <c r="B478" s="218">
        <v>45839</v>
      </c>
      <c r="C478" s="169">
        <f>YEAR(Finance[[#This Row],[Date]])</f>
        <v>2025</v>
      </c>
      <c r="D478" s="200">
        <f>MONTH(Finance[[#This Row],[Date]])</f>
        <v>7</v>
      </c>
      <c r="E478" s="222" t="s">
        <v>592</v>
      </c>
      <c r="F478" s="39" t="s">
        <v>29</v>
      </c>
      <c r="G478" s="39" t="s">
        <v>108</v>
      </c>
      <c r="H478" s="130" t="s">
        <v>182</v>
      </c>
      <c r="I478" s="114" t="s">
        <v>175</v>
      </c>
      <c r="J478" s="131">
        <v>4</v>
      </c>
      <c r="K478" s="201"/>
      <c r="L478" s="202">
        <f>280*50</f>
        <v>14000</v>
      </c>
      <c r="M478" s="203"/>
      <c r="N478" s="203"/>
      <c r="O478" s="204"/>
      <c r="P478" s="204"/>
      <c r="Q478" s="203"/>
      <c r="R478" s="203"/>
      <c r="S478" s="205"/>
      <c r="T478" s="102">
        <f>SUM(Finance[[#This Row],[Samer]:[Margins]])</f>
        <v>14000</v>
      </c>
      <c r="U478" s="103">
        <f>ABS(Finance[[#This Row],[Total (EGP)]])</f>
        <v>14000</v>
      </c>
      <c r="V478" s="206"/>
    </row>
    <row r="479" spans="2:22" ht="18" customHeight="1" x14ac:dyDescent="0.3">
      <c r="B479" s="218">
        <v>45839</v>
      </c>
      <c r="C479" s="169">
        <f>YEAR(Finance[[#This Row],[Date]])</f>
        <v>2025</v>
      </c>
      <c r="D479" s="200">
        <f>MONTH(Finance[[#This Row],[Date]])</f>
        <v>7</v>
      </c>
      <c r="E479" s="39" t="s">
        <v>597</v>
      </c>
      <c r="F479" s="39" t="s">
        <v>73</v>
      </c>
      <c r="G479" s="39" t="s">
        <v>93</v>
      </c>
      <c r="H479" s="48" t="s">
        <v>199</v>
      </c>
      <c r="I479" s="114" t="s">
        <v>378</v>
      </c>
      <c r="J479" s="131">
        <v>4</v>
      </c>
      <c r="K479" s="201"/>
      <c r="L479" s="202"/>
      <c r="M479" s="203"/>
      <c r="N479" s="203"/>
      <c r="O479" s="204"/>
      <c r="P479" s="204"/>
      <c r="Q479" s="203"/>
      <c r="R479" s="203">
        <v>-726.25</v>
      </c>
      <c r="S479" s="205"/>
      <c r="T479" s="102">
        <f>SUM(Finance[[#This Row],[Samer]:[Margins]])</f>
        <v>-726.25</v>
      </c>
      <c r="U479" s="103">
        <f>ABS(Finance[[#This Row],[Total (EGP)]])</f>
        <v>726.25</v>
      </c>
      <c r="V479" s="206"/>
    </row>
    <row r="480" spans="2:22" ht="18" customHeight="1" x14ac:dyDescent="0.3">
      <c r="B480" s="218">
        <v>45839</v>
      </c>
      <c r="C480" s="169">
        <f>YEAR(Finance[[#This Row],[Date]])</f>
        <v>2025</v>
      </c>
      <c r="D480" s="200">
        <f>MONTH(Finance[[#This Row],[Date]])</f>
        <v>7</v>
      </c>
      <c r="E480" s="39" t="s">
        <v>596</v>
      </c>
      <c r="F480" s="39" t="s">
        <v>73</v>
      </c>
      <c r="G480" s="39" t="s">
        <v>93</v>
      </c>
      <c r="H480" s="48" t="s">
        <v>90</v>
      </c>
      <c r="I480" s="114" t="s">
        <v>378</v>
      </c>
      <c r="J480" s="131">
        <v>4</v>
      </c>
      <c r="K480" s="201"/>
      <c r="L480" s="202"/>
      <c r="M480" s="203"/>
      <c r="N480" s="203"/>
      <c r="O480" s="204"/>
      <c r="P480" s="204"/>
      <c r="Q480" s="203"/>
      <c r="R480" s="203">
        <f>-726.25*0.14</f>
        <v>-101.67500000000001</v>
      </c>
      <c r="S480" s="205"/>
      <c r="T480" s="102">
        <f>SUM(Finance[[#This Row],[Samer]:[Margins]])</f>
        <v>-101.67500000000001</v>
      </c>
      <c r="U480" s="103">
        <f>ABS(Finance[[#This Row],[Total (EGP)]])</f>
        <v>101.67500000000001</v>
      </c>
      <c r="V480" s="206"/>
    </row>
    <row r="481" spans="2:22" ht="18" customHeight="1" x14ac:dyDescent="0.3">
      <c r="B481" s="218">
        <v>45839</v>
      </c>
      <c r="C481" s="169">
        <f>YEAR(Finance[[#This Row],[Date]])</f>
        <v>2025</v>
      </c>
      <c r="D481" s="200">
        <f>MONTH(Finance[[#This Row],[Date]])</f>
        <v>7</v>
      </c>
      <c r="E481" s="6" t="s">
        <v>379</v>
      </c>
      <c r="F481" s="6" t="s">
        <v>29</v>
      </c>
      <c r="G481" s="6" t="s">
        <v>95</v>
      </c>
      <c r="H481" s="134" t="s">
        <v>194</v>
      </c>
      <c r="I481" s="135" t="s">
        <v>378</v>
      </c>
      <c r="J481" s="136">
        <v>3</v>
      </c>
      <c r="K481" s="201"/>
      <c r="L481" s="202"/>
      <c r="M481" s="203"/>
      <c r="N481" s="203"/>
      <c r="O481" s="204"/>
      <c r="P481" s="204"/>
      <c r="Q481" s="203"/>
      <c r="R481" s="203">
        <v>10</v>
      </c>
      <c r="S481" s="205"/>
      <c r="T481" s="102">
        <f>SUM(Finance[[#This Row],[Samer]:[Margins]])</f>
        <v>10</v>
      </c>
      <c r="U481" s="103">
        <f>ABS(Finance[[#This Row],[Total (EGP)]])</f>
        <v>10</v>
      </c>
      <c r="V481" s="206"/>
    </row>
    <row r="482" spans="2:22" ht="18" customHeight="1" x14ac:dyDescent="0.3">
      <c r="B482" s="218">
        <v>45839</v>
      </c>
      <c r="C482" s="169">
        <f>YEAR(Finance[[#This Row],[Date]])</f>
        <v>2025</v>
      </c>
      <c r="D482" s="200">
        <f>MONTH(Finance[[#This Row],[Date]])</f>
        <v>7</v>
      </c>
      <c r="E482" s="19" t="s">
        <v>598</v>
      </c>
      <c r="F482" s="6" t="s">
        <v>73</v>
      </c>
      <c r="G482" s="6" t="s">
        <v>75</v>
      </c>
      <c r="H482" s="134" t="s">
        <v>199</v>
      </c>
      <c r="I482" s="135" t="s">
        <v>545</v>
      </c>
      <c r="J482" s="136">
        <v>4</v>
      </c>
      <c r="K482" s="201"/>
      <c r="L482" s="202"/>
      <c r="M482" s="203"/>
      <c r="N482" s="203"/>
      <c r="O482" s="204"/>
      <c r="P482" s="204"/>
      <c r="Q482" s="203"/>
      <c r="R482" s="203">
        <f>-7925.59-0.1</f>
        <v>-7925.6900000000005</v>
      </c>
      <c r="S482" s="205"/>
      <c r="T482" s="102">
        <f>SUM(Finance[[#This Row],[Samer]:[Margins]])</f>
        <v>-7925.6900000000005</v>
      </c>
      <c r="U482" s="103">
        <f>ABS(Finance[[#This Row],[Total (EGP)]])</f>
        <v>7925.6900000000005</v>
      </c>
      <c r="V482" s="206"/>
    </row>
    <row r="483" spans="2:22" ht="18" customHeight="1" x14ac:dyDescent="0.3">
      <c r="B483" s="218">
        <v>45839</v>
      </c>
      <c r="C483" s="169">
        <f>YEAR(Finance[[#This Row],[Date]])</f>
        <v>2025</v>
      </c>
      <c r="D483" s="200">
        <f>MONTH(Finance[[#This Row],[Date]])</f>
        <v>7</v>
      </c>
      <c r="E483" s="19" t="s">
        <v>599</v>
      </c>
      <c r="F483" s="6" t="s">
        <v>73</v>
      </c>
      <c r="G483" s="6" t="s">
        <v>75</v>
      </c>
      <c r="H483" s="134" t="s">
        <v>90</v>
      </c>
      <c r="I483" s="135" t="s">
        <v>545</v>
      </c>
      <c r="J483" s="136">
        <v>4</v>
      </c>
      <c r="K483" s="201"/>
      <c r="L483" s="202"/>
      <c r="M483" s="203"/>
      <c r="N483" s="203"/>
      <c r="O483" s="204"/>
      <c r="P483" s="204"/>
      <c r="Q483" s="203"/>
      <c r="R483" s="203">
        <f>-7925.59*0.14</f>
        <v>-1109.5826000000002</v>
      </c>
      <c r="S483" s="205"/>
      <c r="T483" s="102">
        <f>SUM(Finance[[#This Row],[Samer]:[Margins]])</f>
        <v>-1109.5826000000002</v>
      </c>
      <c r="U483" s="103">
        <f>ABS(Finance[[#This Row],[Total (EGP)]])</f>
        <v>1109.5826000000002</v>
      </c>
      <c r="V483" s="206"/>
    </row>
    <row r="484" spans="2:22" ht="18" customHeight="1" x14ac:dyDescent="0.3">
      <c r="B484" s="218">
        <v>45839</v>
      </c>
      <c r="C484" s="169">
        <f>YEAR(Finance[[#This Row],[Date]])</f>
        <v>2025</v>
      </c>
      <c r="D484" s="200">
        <f>MONTH(Finance[[#This Row],[Date]])</f>
        <v>7</v>
      </c>
      <c r="E484" s="19" t="s">
        <v>600</v>
      </c>
      <c r="F484" s="6" t="s">
        <v>84</v>
      </c>
      <c r="G484" s="6" t="s">
        <v>86</v>
      </c>
      <c r="H484" s="134" t="s">
        <v>199</v>
      </c>
      <c r="I484" s="135" t="s">
        <v>545</v>
      </c>
      <c r="J484" s="136">
        <v>4</v>
      </c>
      <c r="K484" s="201"/>
      <c r="L484" s="202"/>
      <c r="M484" s="203"/>
      <c r="N484" s="203"/>
      <c r="O484" s="204"/>
      <c r="P484" s="204"/>
      <c r="Q484" s="203"/>
      <c r="R484" s="203">
        <f>7925.59*0.03</f>
        <v>237.76769999999999</v>
      </c>
      <c r="S484" s="205"/>
      <c r="T484" s="102">
        <f>SUM(Finance[[#This Row],[Samer]:[Margins]])</f>
        <v>237.76769999999999</v>
      </c>
      <c r="U484" s="103">
        <f>ABS(Finance[[#This Row],[Total (EGP)]])</f>
        <v>237.76769999999999</v>
      </c>
      <c r="V484" s="206"/>
    </row>
    <row r="485" spans="2:22" ht="18" customHeight="1" x14ac:dyDescent="0.3">
      <c r="B485" s="246">
        <v>45839</v>
      </c>
      <c r="C485" s="169">
        <f>YEAR(Finance[[#This Row],[Date]])</f>
        <v>2025</v>
      </c>
      <c r="D485" s="243">
        <f>MONTH(Finance[[#This Row],[Date]])</f>
        <v>7</v>
      </c>
      <c r="E485" s="6" t="s">
        <v>665</v>
      </c>
      <c r="F485" s="6" t="s">
        <v>30</v>
      </c>
      <c r="G485" s="6" t="s">
        <v>127</v>
      </c>
      <c r="H485" s="134" t="s">
        <v>176</v>
      </c>
      <c r="I485" s="135" t="s">
        <v>666</v>
      </c>
      <c r="J485" s="136">
        <v>4</v>
      </c>
      <c r="K485" s="31"/>
      <c r="L485" s="132">
        <f>145*51*1.1</f>
        <v>8134.5000000000009</v>
      </c>
      <c r="M485" s="253"/>
      <c r="N485" s="253"/>
      <c r="O485" s="254"/>
      <c r="P485" s="254"/>
      <c r="Q485" s="253"/>
      <c r="R485" s="253"/>
      <c r="S485" s="244"/>
      <c r="T485" s="102">
        <f>SUM(Finance[[#This Row],[Samer]:[Margins]])</f>
        <v>8134.5000000000009</v>
      </c>
      <c r="U485" s="103">
        <f>ABS(Finance[[#This Row],[Total (EGP)]])</f>
        <v>8134.5000000000009</v>
      </c>
      <c r="V485" s="245"/>
    </row>
    <row r="486" spans="2:22" ht="18" customHeight="1" x14ac:dyDescent="0.3">
      <c r="B486" s="246">
        <v>45839</v>
      </c>
      <c r="C486" s="169">
        <f>YEAR(Finance[[#This Row],[Date]])</f>
        <v>2025</v>
      </c>
      <c r="D486" s="243">
        <f>MONTH(Finance[[#This Row],[Date]])</f>
        <v>7</v>
      </c>
      <c r="E486" s="6" t="s">
        <v>667</v>
      </c>
      <c r="F486" s="6" t="s">
        <v>73</v>
      </c>
      <c r="G486" s="6" t="s">
        <v>75</v>
      </c>
      <c r="H486" s="134" t="s">
        <v>199</v>
      </c>
      <c r="I486" s="135" t="s">
        <v>666</v>
      </c>
      <c r="J486" s="136">
        <v>4</v>
      </c>
      <c r="K486" s="251"/>
      <c r="L486" s="252">
        <f>-145*51*1.1</f>
        <v>-8134.5000000000009</v>
      </c>
      <c r="M486" s="253"/>
      <c r="N486" s="253"/>
      <c r="O486" s="254"/>
      <c r="P486" s="254"/>
      <c r="Q486" s="253"/>
      <c r="R486" s="253"/>
      <c r="S486" s="244"/>
      <c r="T486" s="102">
        <f>SUM(Finance[[#This Row],[Samer]:[Margins]])</f>
        <v>-8134.5000000000009</v>
      </c>
      <c r="U486" s="103">
        <f>ABS(Finance[[#This Row],[Total (EGP)]])</f>
        <v>8134.5000000000009</v>
      </c>
      <c r="V486" s="245"/>
    </row>
    <row r="487" spans="2:22" ht="18" customHeight="1" x14ac:dyDescent="0.3">
      <c r="B487" s="218">
        <v>45840</v>
      </c>
      <c r="C487" s="169">
        <f>YEAR(Finance[[#This Row],[Date]])</f>
        <v>2025</v>
      </c>
      <c r="D487" s="200">
        <f>MONTH(Finance[[#This Row],[Date]])</f>
        <v>7</v>
      </c>
      <c r="E487" s="19" t="s">
        <v>562</v>
      </c>
      <c r="F487" s="6" t="s">
        <v>73</v>
      </c>
      <c r="G487" s="6" t="s">
        <v>93</v>
      </c>
      <c r="H487" s="134" t="s">
        <v>234</v>
      </c>
      <c r="I487" s="135" t="s">
        <v>558</v>
      </c>
      <c r="J487" s="136">
        <v>4</v>
      </c>
      <c r="K487" s="201"/>
      <c r="L487" s="202"/>
      <c r="M487" s="203"/>
      <c r="N487" s="203"/>
      <c r="O487" s="204"/>
      <c r="P487" s="204"/>
      <c r="Q487" s="203"/>
      <c r="R487" s="203">
        <f>-7.5*875</f>
        <v>-6562.5</v>
      </c>
      <c r="S487" s="205"/>
      <c r="T487" s="102">
        <f>SUM(Finance[[#This Row],[Samer]:[Margins]])</f>
        <v>-6562.5</v>
      </c>
      <c r="U487" s="103">
        <f>ABS(Finance[[#This Row],[Total (EGP)]])</f>
        <v>6562.5</v>
      </c>
      <c r="V487" s="206"/>
    </row>
    <row r="488" spans="2:22" ht="18" customHeight="1" x14ac:dyDescent="0.3">
      <c r="B488" s="218">
        <v>45840</v>
      </c>
      <c r="C488" s="169">
        <f>YEAR(Finance[[#This Row],[Date]])</f>
        <v>2025</v>
      </c>
      <c r="D488" s="200">
        <f>MONTH(Finance[[#This Row],[Date]])</f>
        <v>7</v>
      </c>
      <c r="E488" s="19" t="s">
        <v>559</v>
      </c>
      <c r="F488" s="6" t="s">
        <v>73</v>
      </c>
      <c r="G488" s="6" t="s">
        <v>93</v>
      </c>
      <c r="H488" s="134" t="s">
        <v>90</v>
      </c>
      <c r="I488" s="135" t="s">
        <v>558</v>
      </c>
      <c r="J488" s="136">
        <v>4</v>
      </c>
      <c r="K488" s="201"/>
      <c r="L488" s="202"/>
      <c r="M488" s="203"/>
      <c r="N488" s="203"/>
      <c r="O488" s="204"/>
      <c r="P488" s="204"/>
      <c r="Q488" s="203"/>
      <c r="R488" s="203">
        <f>-6562.5*0.14</f>
        <v>-918.75000000000011</v>
      </c>
      <c r="S488" s="205"/>
      <c r="T488" s="102">
        <f>SUM(Finance[[#This Row],[Samer]:[Margins]])</f>
        <v>-918.75000000000011</v>
      </c>
      <c r="U488" s="103">
        <f>ABS(Finance[[#This Row],[Total (EGP)]])</f>
        <v>918.75000000000011</v>
      </c>
      <c r="V488" s="206"/>
    </row>
    <row r="489" spans="2:22" ht="18" customHeight="1" x14ac:dyDescent="0.3">
      <c r="B489" s="218">
        <v>45840</v>
      </c>
      <c r="C489" s="169">
        <f>YEAR(Finance[[#This Row],[Date]])</f>
        <v>2025</v>
      </c>
      <c r="D489" s="200">
        <f>MONTH(Finance[[#This Row],[Date]])</f>
        <v>7</v>
      </c>
      <c r="E489" s="19" t="s">
        <v>560</v>
      </c>
      <c r="F489" s="6" t="s">
        <v>84</v>
      </c>
      <c r="G489" s="6" t="s">
        <v>86</v>
      </c>
      <c r="H489" s="134" t="s">
        <v>234</v>
      </c>
      <c r="I489" s="135" t="s">
        <v>558</v>
      </c>
      <c r="J489" s="136">
        <v>4</v>
      </c>
      <c r="K489" s="201"/>
      <c r="L489" s="202"/>
      <c r="M489" s="203"/>
      <c r="N489" s="203"/>
      <c r="O489" s="204"/>
      <c r="P489" s="204"/>
      <c r="Q489" s="203"/>
      <c r="R489" s="203">
        <f>6562.5*0.03</f>
        <v>196.875</v>
      </c>
      <c r="S489" s="205"/>
      <c r="T489" s="102">
        <f>SUM(Finance[[#This Row],[Samer]:[Margins]])</f>
        <v>196.875</v>
      </c>
      <c r="U489" s="103">
        <f>ABS(Finance[[#This Row],[Total (EGP)]])</f>
        <v>196.875</v>
      </c>
      <c r="V489" s="206"/>
    </row>
    <row r="490" spans="2:22" ht="18" customHeight="1" x14ac:dyDescent="0.3">
      <c r="B490" s="218">
        <v>45840</v>
      </c>
      <c r="C490" s="169">
        <f>YEAR(Finance[[#This Row],[Date]])</f>
        <v>2025</v>
      </c>
      <c r="D490" s="200">
        <f>MONTH(Finance[[#This Row],[Date]])</f>
        <v>7</v>
      </c>
      <c r="E490" s="19" t="s">
        <v>563</v>
      </c>
      <c r="F490" s="6" t="s">
        <v>73</v>
      </c>
      <c r="G490" s="6" t="s">
        <v>272</v>
      </c>
      <c r="H490" s="134" t="s">
        <v>234</v>
      </c>
      <c r="I490" s="135" t="s">
        <v>558</v>
      </c>
      <c r="J490" s="136">
        <v>5</v>
      </c>
      <c r="K490" s="201"/>
      <c r="L490" s="202"/>
      <c r="M490" s="203"/>
      <c r="N490" s="203"/>
      <c r="O490" s="204"/>
      <c r="P490" s="204"/>
      <c r="Q490" s="203"/>
      <c r="R490" s="203">
        <f>-4.5*975</f>
        <v>-4387.5</v>
      </c>
      <c r="S490" s="205"/>
      <c r="T490" s="102">
        <f>SUM(Finance[[#This Row],[Samer]:[Margins]])</f>
        <v>-4387.5</v>
      </c>
      <c r="U490" s="103">
        <f>ABS(Finance[[#This Row],[Total (EGP)]])</f>
        <v>4387.5</v>
      </c>
      <c r="V490" s="206"/>
    </row>
    <row r="491" spans="2:22" ht="18" customHeight="1" x14ac:dyDescent="0.3">
      <c r="B491" s="218">
        <v>45840</v>
      </c>
      <c r="C491" s="169">
        <f>YEAR(Finance[[#This Row],[Date]])</f>
        <v>2025</v>
      </c>
      <c r="D491" s="200">
        <f>MONTH(Finance[[#This Row],[Date]])</f>
        <v>7</v>
      </c>
      <c r="E491" s="19" t="s">
        <v>559</v>
      </c>
      <c r="F491" s="6" t="s">
        <v>73</v>
      </c>
      <c r="G491" s="6" t="s">
        <v>272</v>
      </c>
      <c r="H491" s="134" t="s">
        <v>90</v>
      </c>
      <c r="I491" s="135" t="s">
        <v>558</v>
      </c>
      <c r="J491" s="136">
        <v>5</v>
      </c>
      <c r="K491" s="201"/>
      <c r="L491" s="202"/>
      <c r="M491" s="203"/>
      <c r="N491" s="203"/>
      <c r="O491" s="204"/>
      <c r="P491" s="204"/>
      <c r="Q491" s="203"/>
      <c r="R491" s="203">
        <f>-4387.5*0.14</f>
        <v>-614.25000000000011</v>
      </c>
      <c r="S491" s="205"/>
      <c r="T491" s="102">
        <f>SUM(Finance[[#This Row],[Samer]:[Margins]])</f>
        <v>-614.25000000000011</v>
      </c>
      <c r="U491" s="103">
        <f>ABS(Finance[[#This Row],[Total (EGP)]])</f>
        <v>614.25000000000011</v>
      </c>
      <c r="V491" s="206"/>
    </row>
    <row r="492" spans="2:22" ht="18" customHeight="1" x14ac:dyDescent="0.3">
      <c r="B492" s="218">
        <v>45840</v>
      </c>
      <c r="C492" s="169">
        <f>YEAR(Finance[[#This Row],[Date]])</f>
        <v>2025</v>
      </c>
      <c r="D492" s="200">
        <f>MONTH(Finance[[#This Row],[Date]])</f>
        <v>7</v>
      </c>
      <c r="E492" s="19" t="s">
        <v>560</v>
      </c>
      <c r="F492" s="6" t="s">
        <v>84</v>
      </c>
      <c r="G492" s="6" t="s">
        <v>86</v>
      </c>
      <c r="H492" s="134" t="s">
        <v>234</v>
      </c>
      <c r="I492" s="135" t="s">
        <v>558</v>
      </c>
      <c r="J492" s="136">
        <v>5</v>
      </c>
      <c r="K492" s="201"/>
      <c r="L492" s="202"/>
      <c r="M492" s="203"/>
      <c r="N492" s="203"/>
      <c r="O492" s="204"/>
      <c r="P492" s="204"/>
      <c r="Q492" s="203"/>
      <c r="R492" s="203">
        <f>4387.5*0.03</f>
        <v>131.625</v>
      </c>
      <c r="S492" s="205"/>
      <c r="T492" s="102">
        <f>SUM(Finance[[#This Row],[Samer]:[Margins]])</f>
        <v>131.625</v>
      </c>
      <c r="U492" s="103">
        <f>ABS(Finance[[#This Row],[Total (EGP)]])</f>
        <v>131.625</v>
      </c>
      <c r="V492" s="206"/>
    </row>
    <row r="493" spans="2:22" ht="18" customHeight="1" x14ac:dyDescent="0.3">
      <c r="B493" s="218">
        <v>45840</v>
      </c>
      <c r="C493" s="169">
        <f>YEAR(Finance[[#This Row],[Date]])</f>
        <v>2025</v>
      </c>
      <c r="D493" s="200">
        <f>MONTH(Finance[[#This Row],[Date]])</f>
        <v>7</v>
      </c>
      <c r="E493" s="6" t="s">
        <v>561</v>
      </c>
      <c r="F493" s="6" t="s">
        <v>29</v>
      </c>
      <c r="G493" s="6" t="s">
        <v>95</v>
      </c>
      <c r="H493" s="48" t="s">
        <v>276</v>
      </c>
      <c r="I493" s="135" t="s">
        <v>558</v>
      </c>
      <c r="J493" s="136">
        <v>3</v>
      </c>
      <c r="K493" s="201"/>
      <c r="L493" s="202"/>
      <c r="M493" s="203"/>
      <c r="N493" s="203"/>
      <c r="O493" s="204"/>
      <c r="P493" s="204"/>
      <c r="Q493" s="203"/>
      <c r="R493" s="203">
        <v>25</v>
      </c>
      <c r="S493" s="205"/>
      <c r="T493" s="102">
        <f>SUM(Finance[[#This Row],[Samer]:[Margins]])</f>
        <v>25</v>
      </c>
      <c r="U493" s="103">
        <f>ABS(Finance[[#This Row],[Total (EGP)]])</f>
        <v>25</v>
      </c>
      <c r="V493" s="206"/>
    </row>
    <row r="494" spans="2:22" ht="18" customHeight="1" x14ac:dyDescent="0.3">
      <c r="B494" s="218">
        <v>45840</v>
      </c>
      <c r="C494" s="169">
        <f>YEAR(Finance[[#This Row],[Date]])</f>
        <v>2025</v>
      </c>
      <c r="D494" s="200">
        <f>MONTH(Finance[[#This Row],[Date]])</f>
        <v>7</v>
      </c>
      <c r="E494" s="133" t="s">
        <v>602</v>
      </c>
      <c r="F494" s="6" t="s">
        <v>73</v>
      </c>
      <c r="G494" s="6" t="s">
        <v>93</v>
      </c>
      <c r="H494" s="134" t="s">
        <v>199</v>
      </c>
      <c r="I494" s="114" t="s">
        <v>479</v>
      </c>
      <c r="J494" s="136">
        <v>4</v>
      </c>
      <c r="K494" s="193"/>
      <c r="L494" s="194"/>
      <c r="M494" s="195"/>
      <c r="N494" s="195"/>
      <c r="O494" s="196"/>
      <c r="P494" s="196"/>
      <c r="Q494" s="195"/>
      <c r="R494" s="195">
        <v>-189807.51</v>
      </c>
      <c r="S494" s="205"/>
      <c r="T494" s="102">
        <f>SUM(Finance[[#This Row],[Samer]:[Margins]])</f>
        <v>-189807.51</v>
      </c>
      <c r="U494" s="103">
        <f>ABS(Finance[[#This Row],[Total (EGP)]])</f>
        <v>189807.51</v>
      </c>
      <c r="V494" s="206"/>
    </row>
    <row r="495" spans="2:22" ht="18" customHeight="1" x14ac:dyDescent="0.3">
      <c r="B495" s="218">
        <v>45840</v>
      </c>
      <c r="C495" s="169">
        <f>YEAR(Finance[[#This Row],[Date]])</f>
        <v>2025</v>
      </c>
      <c r="D495" s="200">
        <f>MONTH(Finance[[#This Row],[Date]])</f>
        <v>7</v>
      </c>
      <c r="E495" s="6" t="s">
        <v>508</v>
      </c>
      <c r="F495" s="6" t="s">
        <v>29</v>
      </c>
      <c r="G495" s="6" t="s">
        <v>95</v>
      </c>
      <c r="H495" s="134" t="s">
        <v>199</v>
      </c>
      <c r="I495" s="114" t="s">
        <v>479</v>
      </c>
      <c r="J495" s="136">
        <v>3</v>
      </c>
      <c r="K495" s="193"/>
      <c r="L495" s="194"/>
      <c r="M495" s="195"/>
      <c r="N495" s="195"/>
      <c r="O495" s="196"/>
      <c r="P495" s="196"/>
      <c r="Q495" s="195"/>
      <c r="R495" s="195">
        <v>10</v>
      </c>
      <c r="S495" s="205"/>
      <c r="T495" s="102">
        <f>SUM(Finance[[#This Row],[Samer]:[Margins]])</f>
        <v>10</v>
      </c>
      <c r="U495" s="103">
        <f>ABS(Finance[[#This Row],[Total (EGP)]])</f>
        <v>10</v>
      </c>
      <c r="V495" s="206"/>
    </row>
    <row r="496" spans="2:22" ht="18" customHeight="1" x14ac:dyDescent="0.3">
      <c r="B496" s="218">
        <v>45844</v>
      </c>
      <c r="C496" s="169">
        <f>YEAR(Finance[[#This Row],[Date]])</f>
        <v>2025</v>
      </c>
      <c r="D496" s="200">
        <f>MONTH(Finance[[#This Row],[Date]])</f>
        <v>7</v>
      </c>
      <c r="E496" s="222" t="s">
        <v>564</v>
      </c>
      <c r="F496" s="222" t="s">
        <v>37</v>
      </c>
      <c r="G496" s="222" t="s">
        <v>36</v>
      </c>
      <c r="H496" s="223" t="s">
        <v>206</v>
      </c>
      <c r="I496" s="224" t="s">
        <v>175</v>
      </c>
      <c r="J496" s="225">
        <v>0</v>
      </c>
      <c r="K496" s="201"/>
      <c r="L496" s="202"/>
      <c r="M496" s="203"/>
      <c r="N496" s="203"/>
      <c r="O496" s="204"/>
      <c r="P496" s="204"/>
      <c r="Q496" s="203">
        <v>-24000</v>
      </c>
      <c r="R496" s="203">
        <v>30000</v>
      </c>
      <c r="S496" s="205">
        <v>-6000</v>
      </c>
      <c r="T496" s="102">
        <f>SUM(Finance[[#This Row],[Samer]:[Margins]])</f>
        <v>0</v>
      </c>
      <c r="U496" s="103">
        <f>ABS(Finance[[#This Row],[Total (EGP)]])</f>
        <v>0</v>
      </c>
      <c r="V496" s="206"/>
    </row>
    <row r="497" spans="2:22" ht="18" customHeight="1" x14ac:dyDescent="0.3">
      <c r="B497" s="218">
        <v>45844</v>
      </c>
      <c r="C497" s="169">
        <f>YEAR(Finance[[#This Row],[Date]])</f>
        <v>2025</v>
      </c>
      <c r="D497" s="200">
        <f>MONTH(Finance[[#This Row],[Date]])</f>
        <v>7</v>
      </c>
      <c r="E497" s="133" t="s">
        <v>576</v>
      </c>
      <c r="F497" s="6" t="s">
        <v>34</v>
      </c>
      <c r="G497" s="6" t="s">
        <v>66</v>
      </c>
      <c r="H497" s="134" t="s">
        <v>272</v>
      </c>
      <c r="I497" s="114" t="s">
        <v>175</v>
      </c>
      <c r="J497" s="136">
        <v>5</v>
      </c>
      <c r="K497" s="162"/>
      <c r="L497" s="163"/>
      <c r="M497" s="195"/>
      <c r="N497" s="195"/>
      <c r="O497" s="196"/>
      <c r="P497" s="196"/>
      <c r="Q497" s="195">
        <v>10000</v>
      </c>
      <c r="R497" s="195"/>
      <c r="S497" s="197"/>
      <c r="T497" s="102">
        <f>SUM(Finance[[#This Row],[Samer]:[Margins]])</f>
        <v>10000</v>
      </c>
      <c r="U497" s="103">
        <f>ABS(Finance[[#This Row],[Total (EGP)]])</f>
        <v>10000</v>
      </c>
      <c r="V497" s="206"/>
    </row>
    <row r="498" spans="2:22" ht="18" customHeight="1" x14ac:dyDescent="0.3">
      <c r="B498" s="218">
        <v>45844</v>
      </c>
      <c r="C498" s="169">
        <f>YEAR(Finance[[#This Row],[Date]])</f>
        <v>2025</v>
      </c>
      <c r="D498" s="200">
        <f>MONTH(Finance[[#This Row],[Date]])</f>
        <v>7</v>
      </c>
      <c r="E498" s="133" t="s">
        <v>577</v>
      </c>
      <c r="F498" s="6" t="s">
        <v>34</v>
      </c>
      <c r="G498" s="6" t="s">
        <v>66</v>
      </c>
      <c r="H498" s="134" t="s">
        <v>272</v>
      </c>
      <c r="I498" s="114" t="s">
        <v>175</v>
      </c>
      <c r="J498" s="136">
        <v>5</v>
      </c>
      <c r="K498" s="162"/>
      <c r="L498" s="163"/>
      <c r="M498" s="195"/>
      <c r="N498" s="195"/>
      <c r="O498" s="196"/>
      <c r="P498" s="196"/>
      <c r="Q498" s="195">
        <v>6000</v>
      </c>
      <c r="R498" s="195"/>
      <c r="S498" s="197"/>
      <c r="T498" s="102">
        <f>SUM(Finance[[#This Row],[Samer]:[Margins]])</f>
        <v>6000</v>
      </c>
      <c r="U498" s="103">
        <f>ABS(Finance[[#This Row],[Total (EGP)]])</f>
        <v>6000</v>
      </c>
      <c r="V498" s="206"/>
    </row>
    <row r="499" spans="2:22" ht="18" customHeight="1" x14ac:dyDescent="0.3">
      <c r="B499" s="218">
        <v>45844</v>
      </c>
      <c r="C499" s="169">
        <f>YEAR(Finance[[#This Row],[Date]])</f>
        <v>2025</v>
      </c>
      <c r="D499" s="200">
        <f>MONTH(Finance[[#This Row],[Date]])</f>
        <v>7</v>
      </c>
      <c r="E499" s="39" t="s">
        <v>578</v>
      </c>
      <c r="F499" s="6" t="s">
        <v>34</v>
      </c>
      <c r="G499" s="6" t="s">
        <v>66</v>
      </c>
      <c r="H499" s="134" t="s">
        <v>272</v>
      </c>
      <c r="I499" s="114" t="s">
        <v>175</v>
      </c>
      <c r="J499" s="136">
        <v>5</v>
      </c>
      <c r="K499" s="143"/>
      <c r="L499" s="144"/>
      <c r="M499" s="177"/>
      <c r="N499" s="177"/>
      <c r="O499" s="178"/>
      <c r="P499" s="178"/>
      <c r="Q499" s="177">
        <v>8000</v>
      </c>
      <c r="R499" s="177"/>
      <c r="S499" s="197"/>
      <c r="T499" s="102">
        <f>SUM(Finance[[#This Row],[Samer]:[Margins]])</f>
        <v>8000</v>
      </c>
      <c r="U499" s="103">
        <f>ABS(Finance[[#This Row],[Total (EGP)]])</f>
        <v>8000</v>
      </c>
      <c r="V499" s="206"/>
    </row>
    <row r="500" spans="2:22" ht="18" customHeight="1" x14ac:dyDescent="0.3">
      <c r="B500" s="168">
        <v>45846</v>
      </c>
      <c r="C500" s="169">
        <f>YEAR(Finance[[#This Row],[Date]])</f>
        <v>2025</v>
      </c>
      <c r="D500" s="200">
        <f>MONTH(Finance[[#This Row],[Date]])</f>
        <v>7</v>
      </c>
      <c r="E500" s="6" t="s">
        <v>593</v>
      </c>
      <c r="F500" s="6" t="s">
        <v>29</v>
      </c>
      <c r="G500" s="6" t="s">
        <v>108</v>
      </c>
      <c r="H500" s="134" t="s">
        <v>182</v>
      </c>
      <c r="I500" s="135" t="s">
        <v>175</v>
      </c>
      <c r="J500" s="136">
        <v>1</v>
      </c>
      <c r="K500" s="31"/>
      <c r="L500" s="132">
        <v>599</v>
      </c>
      <c r="M500" s="203"/>
      <c r="N500" s="203"/>
      <c r="O500" s="204"/>
      <c r="P500" s="204"/>
      <c r="Q500" s="203"/>
      <c r="R500" s="203"/>
      <c r="S500" s="205"/>
      <c r="T500" s="102">
        <f>SUM(Finance[[#This Row],[Samer]:[Margins]])</f>
        <v>599</v>
      </c>
      <c r="U500" s="103">
        <f>ABS(Finance[[#This Row],[Total (EGP)]])</f>
        <v>599</v>
      </c>
      <c r="V500" s="206"/>
    </row>
    <row r="501" spans="2:22" ht="18" customHeight="1" x14ac:dyDescent="0.3">
      <c r="B501" s="218">
        <v>45846</v>
      </c>
      <c r="C501" s="169">
        <f>YEAR(Finance[[#This Row],[Date]])</f>
        <v>2025</v>
      </c>
      <c r="D501" s="200">
        <f>MONTH(Finance[[#This Row],[Date]])</f>
        <v>7</v>
      </c>
      <c r="E501" s="39" t="s">
        <v>179</v>
      </c>
      <c r="F501" s="222" t="s">
        <v>37</v>
      </c>
      <c r="G501" s="222" t="s">
        <v>36</v>
      </c>
      <c r="H501" s="48" t="s">
        <v>181</v>
      </c>
      <c r="I501" s="224" t="s">
        <v>175</v>
      </c>
      <c r="J501" s="225">
        <v>0</v>
      </c>
      <c r="K501" s="201"/>
      <c r="L501" s="202">
        <v>-130000</v>
      </c>
      <c r="M501" s="203"/>
      <c r="N501" s="203"/>
      <c r="O501" s="204"/>
      <c r="P501" s="204"/>
      <c r="Q501" s="203"/>
      <c r="R501" s="203">
        <v>130000</v>
      </c>
      <c r="S501" s="205"/>
      <c r="T501" s="102">
        <f>SUM(Finance[[#This Row],[Samer]:[Margins]])</f>
        <v>0</v>
      </c>
      <c r="U501" s="103">
        <f>ABS(Finance[[#This Row],[Total (EGP)]])</f>
        <v>0</v>
      </c>
      <c r="V501" s="206"/>
    </row>
    <row r="502" spans="2:22" ht="18" customHeight="1" x14ac:dyDescent="0.3">
      <c r="B502" s="187">
        <v>45847</v>
      </c>
      <c r="C502" s="169">
        <f>YEAR(Finance[[#This Row],[Date]])</f>
        <v>2025</v>
      </c>
      <c r="D502" s="200">
        <f>MONTH(Finance[[#This Row],[Date]])</f>
        <v>7</v>
      </c>
      <c r="E502" s="39" t="s">
        <v>295</v>
      </c>
      <c r="F502" s="39" t="s">
        <v>29</v>
      </c>
      <c r="G502" s="6" t="s">
        <v>111</v>
      </c>
      <c r="H502" s="134" t="s">
        <v>296</v>
      </c>
      <c r="I502" s="114" t="s">
        <v>175</v>
      </c>
      <c r="J502" s="136">
        <v>3</v>
      </c>
      <c r="K502" s="201"/>
      <c r="L502" s="202">
        <v>1030.78</v>
      </c>
      <c r="M502" s="203"/>
      <c r="N502" s="203"/>
      <c r="O502" s="204"/>
      <c r="P502" s="204"/>
      <c r="Q502" s="203"/>
      <c r="R502" s="203"/>
      <c r="S502" s="205"/>
      <c r="T502" s="102">
        <f>SUM(Finance[[#This Row],[Samer]:[Margins]])</f>
        <v>1030.78</v>
      </c>
      <c r="U502" s="103">
        <f>ABS(Finance[[#This Row],[Total (EGP)]])</f>
        <v>1030.78</v>
      </c>
      <c r="V502" s="206"/>
    </row>
    <row r="503" spans="2:22" ht="18" customHeight="1" x14ac:dyDescent="0.3">
      <c r="B503" s="227">
        <v>45847</v>
      </c>
      <c r="C503" s="169">
        <f>YEAR(Finance[[#This Row],[Date]])</f>
        <v>2025</v>
      </c>
      <c r="D503" s="200">
        <f>MONTH(Finance[[#This Row],[Date]])</f>
        <v>7</v>
      </c>
      <c r="E503" s="25" t="s">
        <v>556</v>
      </c>
      <c r="F503" s="25" t="s">
        <v>37</v>
      </c>
      <c r="G503" s="25" t="s">
        <v>36</v>
      </c>
      <c r="H503" s="228" t="s">
        <v>181</v>
      </c>
      <c r="I503" s="229" t="s">
        <v>175</v>
      </c>
      <c r="J503" s="230">
        <v>0</v>
      </c>
      <c r="K503" s="231"/>
      <c r="L503" s="232"/>
      <c r="M503" s="233"/>
      <c r="N503" s="233"/>
      <c r="O503" s="234"/>
      <c r="P503" s="234"/>
      <c r="Q503" s="233"/>
      <c r="R503" s="233">
        <f>-5000*49.59036</f>
        <v>-247951.8</v>
      </c>
      <c r="S503" s="235">
        <v>247951.8</v>
      </c>
      <c r="T503" s="102">
        <f>SUM(Finance[[#This Row],[Samer]:[Margins]])</f>
        <v>0</v>
      </c>
      <c r="U503" s="103">
        <f>ABS(Finance[[#This Row],[Total (EGP)]])</f>
        <v>0</v>
      </c>
      <c r="V503" s="206"/>
    </row>
    <row r="504" spans="2:22" ht="18" customHeight="1" x14ac:dyDescent="0.3">
      <c r="B504" s="168">
        <v>45848</v>
      </c>
      <c r="C504" s="169">
        <f>YEAR(Finance[[#This Row],[Date]])</f>
        <v>2025</v>
      </c>
      <c r="D504" s="200">
        <f>MONTH(Finance[[#This Row],[Date]])</f>
        <v>7</v>
      </c>
      <c r="E504" s="39" t="s">
        <v>594</v>
      </c>
      <c r="F504" s="39" t="s">
        <v>30</v>
      </c>
      <c r="G504" s="6" t="s">
        <v>127</v>
      </c>
      <c r="H504" s="48" t="s">
        <v>176</v>
      </c>
      <c r="I504" s="135" t="s">
        <v>184</v>
      </c>
      <c r="J504" s="136">
        <v>4</v>
      </c>
      <c r="K504" s="136"/>
      <c r="L504" s="132">
        <f>78.28*49.53*1.25</f>
        <v>4846.5105000000003</v>
      </c>
      <c r="M504" s="203"/>
      <c r="N504" s="203"/>
      <c r="O504" s="204"/>
      <c r="P504" s="204"/>
      <c r="Q504" s="203"/>
      <c r="R504" s="203"/>
      <c r="S504" s="205"/>
      <c r="T504" s="102">
        <f>SUM(Finance[[#This Row],[Samer]:[Margins]])</f>
        <v>4846.5105000000003</v>
      </c>
      <c r="U504" s="103">
        <f>ABS(Finance[[#This Row],[Total (EGP)]])</f>
        <v>4846.5105000000003</v>
      </c>
      <c r="V504" s="206"/>
    </row>
    <row r="505" spans="2:22" ht="18" customHeight="1" x14ac:dyDescent="0.3">
      <c r="B505" s="168">
        <v>45848</v>
      </c>
      <c r="C505" s="169">
        <f>YEAR(Finance[[#This Row],[Date]])</f>
        <v>2025</v>
      </c>
      <c r="D505" s="200">
        <f>MONTH(Finance[[#This Row],[Date]])</f>
        <v>7</v>
      </c>
      <c r="E505" s="6" t="s">
        <v>595</v>
      </c>
      <c r="F505" s="39" t="s">
        <v>30</v>
      </c>
      <c r="G505" s="39" t="s">
        <v>127</v>
      </c>
      <c r="H505" s="48" t="s">
        <v>176</v>
      </c>
      <c r="I505" s="135" t="s">
        <v>185</v>
      </c>
      <c r="J505" s="136">
        <v>4</v>
      </c>
      <c r="K505" s="31"/>
      <c r="L505" s="132">
        <f>153*49.53*1.25</f>
        <v>9472.6124999999993</v>
      </c>
      <c r="M505" s="203"/>
      <c r="N505" s="203"/>
      <c r="O505" s="204"/>
      <c r="P505" s="204"/>
      <c r="Q505" s="203"/>
      <c r="R505" s="203"/>
      <c r="S505" s="205"/>
      <c r="T505" s="102">
        <f>SUM(Finance[[#This Row],[Samer]:[Margins]])</f>
        <v>9472.6124999999993</v>
      </c>
      <c r="U505" s="103">
        <f>ABS(Finance[[#This Row],[Total (EGP)]])</f>
        <v>9472.6124999999993</v>
      </c>
      <c r="V505" s="206"/>
    </row>
    <row r="506" spans="2:22" ht="18" customHeight="1" x14ac:dyDescent="0.3">
      <c r="B506" s="246">
        <v>45848</v>
      </c>
      <c r="C506" s="169">
        <f>YEAR(Finance[[#This Row],[Date]])</f>
        <v>2025</v>
      </c>
      <c r="D506" s="243">
        <f>MONTH(Finance[[#This Row],[Date]])</f>
        <v>7</v>
      </c>
      <c r="E506" s="6" t="s">
        <v>584</v>
      </c>
      <c r="F506" s="6" t="s">
        <v>29</v>
      </c>
      <c r="G506" s="6" t="s">
        <v>111</v>
      </c>
      <c r="H506" s="134" t="s">
        <v>259</v>
      </c>
      <c r="I506" s="135" t="s">
        <v>175</v>
      </c>
      <c r="J506" s="136">
        <v>3</v>
      </c>
      <c r="K506" s="251"/>
      <c r="L506" s="252"/>
      <c r="M506" s="253"/>
      <c r="N506" s="253"/>
      <c r="O506" s="254"/>
      <c r="P506" s="254"/>
      <c r="Q506" s="253"/>
      <c r="R506" s="253"/>
      <c r="S506" s="244">
        <v>20</v>
      </c>
      <c r="T506" s="102">
        <f>SUM(Finance[[#This Row],[Samer]:[Margins]])</f>
        <v>20</v>
      </c>
      <c r="U506" s="103">
        <f>ABS(Finance[[#This Row],[Total (EGP)]])</f>
        <v>20</v>
      </c>
      <c r="V506" s="245"/>
    </row>
    <row r="507" spans="2:22" ht="18" customHeight="1" x14ac:dyDescent="0.3">
      <c r="B507" s="218">
        <v>45849</v>
      </c>
      <c r="C507" s="169">
        <f>YEAR(Finance[[#This Row],[Date]])</f>
        <v>2025</v>
      </c>
      <c r="D507" s="200">
        <f>MONTH(Finance[[#This Row],[Date]])</f>
        <v>7</v>
      </c>
      <c r="E507" s="6" t="s">
        <v>604</v>
      </c>
      <c r="F507" s="6" t="s">
        <v>29</v>
      </c>
      <c r="G507" s="6" t="s">
        <v>108</v>
      </c>
      <c r="H507" s="134" t="s">
        <v>182</v>
      </c>
      <c r="I507" s="114" t="s">
        <v>175</v>
      </c>
      <c r="J507" s="136">
        <v>4</v>
      </c>
      <c r="K507" s="31"/>
      <c r="L507" s="132">
        <v>1761.0810000000001</v>
      </c>
      <c r="M507" s="177"/>
      <c r="N507" s="177"/>
      <c r="O507" s="178"/>
      <c r="P507" s="178"/>
      <c r="Q507" s="177"/>
      <c r="R507" s="177"/>
      <c r="S507" s="205"/>
      <c r="T507" s="102">
        <f>SUM(Finance[[#This Row],[Samer]:[Margins]])</f>
        <v>1761.0810000000001</v>
      </c>
      <c r="U507" s="103">
        <f>ABS(Finance[[#This Row],[Total (EGP)]])</f>
        <v>1761.0810000000001</v>
      </c>
      <c r="V507" s="206"/>
    </row>
    <row r="508" spans="2:22" ht="18" customHeight="1" x14ac:dyDescent="0.3">
      <c r="B508" s="218">
        <v>45849</v>
      </c>
      <c r="C508" s="169">
        <f>YEAR(Finance[[#This Row],[Date]])</f>
        <v>2025</v>
      </c>
      <c r="D508" s="200">
        <f>MONTH(Finance[[#This Row],[Date]])</f>
        <v>7</v>
      </c>
      <c r="E508" s="39" t="s">
        <v>605</v>
      </c>
      <c r="F508" s="39" t="s">
        <v>29</v>
      </c>
      <c r="G508" s="39" t="s">
        <v>108</v>
      </c>
      <c r="H508" s="130" t="s">
        <v>182</v>
      </c>
      <c r="I508" s="114" t="s">
        <v>175</v>
      </c>
      <c r="J508" s="131">
        <v>4</v>
      </c>
      <c r="K508" s="137"/>
      <c r="L508" s="138">
        <v>699.98689999999999</v>
      </c>
      <c r="M508" s="177"/>
      <c r="N508" s="177"/>
      <c r="O508" s="178"/>
      <c r="P508" s="178"/>
      <c r="Q508" s="177"/>
      <c r="R508" s="177"/>
      <c r="S508" s="205"/>
      <c r="T508" s="102">
        <f>SUM(Finance[[#This Row],[Samer]:[Margins]])</f>
        <v>699.98689999999999</v>
      </c>
      <c r="U508" s="103">
        <f>ABS(Finance[[#This Row],[Total (EGP)]])</f>
        <v>699.98689999999999</v>
      </c>
      <c r="V508" s="206"/>
    </row>
    <row r="509" spans="2:22" ht="18" customHeight="1" x14ac:dyDescent="0.3">
      <c r="B509" s="218">
        <v>45850</v>
      </c>
      <c r="C509" s="169">
        <f>YEAR(Finance[[#This Row],[Date]])</f>
        <v>2025</v>
      </c>
      <c r="D509" s="200">
        <f>MONTH(Finance[[#This Row],[Date]])</f>
        <v>7</v>
      </c>
      <c r="E509" s="19" t="s">
        <v>606</v>
      </c>
      <c r="F509" s="6" t="s">
        <v>29</v>
      </c>
      <c r="G509" s="6" t="s">
        <v>108</v>
      </c>
      <c r="H509" s="134" t="s">
        <v>182</v>
      </c>
      <c r="I509" s="114" t="s">
        <v>175</v>
      </c>
      <c r="J509" s="136">
        <v>1</v>
      </c>
      <c r="K509" s="31"/>
      <c r="L509" s="132">
        <f>342.9*49.53*1.05</f>
        <v>17833.028849999999</v>
      </c>
      <c r="M509" s="177"/>
      <c r="N509" s="177"/>
      <c r="O509" s="178"/>
      <c r="P509" s="178"/>
      <c r="Q509" s="177"/>
      <c r="R509" s="177"/>
      <c r="S509" s="205"/>
      <c r="T509" s="102">
        <f>SUM(Finance[[#This Row],[Samer]:[Margins]])</f>
        <v>17833.028849999999</v>
      </c>
      <c r="U509" s="103">
        <f>ABS(Finance[[#This Row],[Total (EGP)]])</f>
        <v>17833.028849999999</v>
      </c>
      <c r="V509" s="206"/>
    </row>
    <row r="510" spans="2:22" ht="18" customHeight="1" x14ac:dyDescent="0.3">
      <c r="B510" s="218">
        <v>45851</v>
      </c>
      <c r="C510" s="169">
        <f>YEAR(Finance[[#This Row],[Date]])</f>
        <v>2025</v>
      </c>
      <c r="D510" s="200">
        <f>MONTH(Finance[[#This Row],[Date]])</f>
        <v>7</v>
      </c>
      <c r="E510" s="6" t="s">
        <v>193</v>
      </c>
      <c r="F510" s="6" t="s">
        <v>29</v>
      </c>
      <c r="G510" s="6" t="s">
        <v>95</v>
      </c>
      <c r="H510" s="134" t="s">
        <v>194</v>
      </c>
      <c r="I510" s="135" t="s">
        <v>175</v>
      </c>
      <c r="J510" s="136">
        <v>3</v>
      </c>
      <c r="K510" s="31"/>
      <c r="L510" s="132"/>
      <c r="M510" s="177"/>
      <c r="N510" s="177"/>
      <c r="O510" s="178"/>
      <c r="P510" s="178"/>
      <c r="Q510" s="177"/>
      <c r="R510" s="177">
        <v>150</v>
      </c>
      <c r="S510" s="205"/>
      <c r="T510" s="102">
        <f>SUM(Finance[[#This Row],[Samer]:[Margins]])</f>
        <v>150</v>
      </c>
      <c r="U510" s="103">
        <f>ABS(Finance[[#This Row],[Total (EGP)]])</f>
        <v>150</v>
      </c>
      <c r="V510" s="206"/>
    </row>
    <row r="511" spans="2:22" ht="18" customHeight="1" x14ac:dyDescent="0.3">
      <c r="B511" s="218">
        <v>45852</v>
      </c>
      <c r="C511" s="169">
        <f>YEAR(Finance[[#This Row],[Date]])</f>
        <v>2025</v>
      </c>
      <c r="D511" s="200">
        <f>MONTH(Finance[[#This Row],[Date]])</f>
        <v>7</v>
      </c>
      <c r="E511" s="6" t="s">
        <v>607</v>
      </c>
      <c r="F511" s="6" t="s">
        <v>30</v>
      </c>
      <c r="G511" s="6" t="s">
        <v>127</v>
      </c>
      <c r="H511" s="134" t="s">
        <v>190</v>
      </c>
      <c r="I511" s="135" t="s">
        <v>175</v>
      </c>
      <c r="J511" s="131">
        <v>4</v>
      </c>
      <c r="K511" s="31"/>
      <c r="L511" s="132">
        <f>18.4*57.82*1.25</f>
        <v>1329.86</v>
      </c>
      <c r="M511" s="203"/>
      <c r="N511" s="203"/>
      <c r="O511" s="204"/>
      <c r="P511" s="204"/>
      <c r="Q511" s="203"/>
      <c r="R511" s="203"/>
      <c r="S511" s="205"/>
      <c r="T511" s="102">
        <f>SUM(Finance[[#This Row],[Samer]:[Margins]])</f>
        <v>1329.86</v>
      </c>
      <c r="U511" s="103">
        <f>ABS(Finance[[#This Row],[Total (EGP)]])</f>
        <v>1329.86</v>
      </c>
      <c r="V511" s="206"/>
    </row>
    <row r="512" spans="2:22" ht="18" customHeight="1" x14ac:dyDescent="0.3">
      <c r="B512" s="218">
        <v>45852</v>
      </c>
      <c r="C512" s="169">
        <f>YEAR(Finance[[#This Row],[Date]])</f>
        <v>2025</v>
      </c>
      <c r="D512" s="200">
        <f>MONTH(Finance[[#This Row],[Date]])</f>
        <v>7</v>
      </c>
      <c r="E512" s="39" t="s">
        <v>608</v>
      </c>
      <c r="F512" s="39" t="s">
        <v>30</v>
      </c>
      <c r="G512" s="39" t="s">
        <v>127</v>
      </c>
      <c r="H512" s="130" t="s">
        <v>176</v>
      </c>
      <c r="I512" s="114" t="s">
        <v>177</v>
      </c>
      <c r="J512" s="131">
        <v>1</v>
      </c>
      <c r="K512" s="31"/>
      <c r="L512" s="132">
        <f>94.06*57.82*1.25</f>
        <v>6798.1865000000007</v>
      </c>
      <c r="M512" s="203"/>
      <c r="N512" s="203"/>
      <c r="O512" s="204"/>
      <c r="P512" s="204"/>
      <c r="Q512" s="203"/>
      <c r="R512" s="203"/>
      <c r="S512" s="205"/>
      <c r="T512" s="102">
        <f>SUM(Finance[[#This Row],[Samer]:[Margins]])</f>
        <v>6798.1865000000007</v>
      </c>
      <c r="U512" s="103">
        <f>ABS(Finance[[#This Row],[Total (EGP)]])</f>
        <v>6798.1865000000007</v>
      </c>
      <c r="V512" s="206"/>
    </row>
    <row r="513" spans="2:22" ht="18" customHeight="1" x14ac:dyDescent="0.3">
      <c r="B513" s="218">
        <v>45852</v>
      </c>
      <c r="C513" s="169">
        <f>YEAR(Finance[[#This Row],[Date]])</f>
        <v>2025</v>
      </c>
      <c r="D513" s="200">
        <f>MONTH(Finance[[#This Row],[Date]])</f>
        <v>7</v>
      </c>
      <c r="E513" s="39" t="s">
        <v>242</v>
      </c>
      <c r="F513" s="39" t="s">
        <v>29</v>
      </c>
      <c r="G513" s="39" t="s">
        <v>112</v>
      </c>
      <c r="H513" s="48" t="s">
        <v>618</v>
      </c>
      <c r="I513" s="114" t="s">
        <v>175</v>
      </c>
      <c r="J513" s="225">
        <v>3</v>
      </c>
      <c r="K513" s="201"/>
      <c r="L513" s="202"/>
      <c r="M513" s="203"/>
      <c r="N513" s="203"/>
      <c r="O513" s="204"/>
      <c r="P513" s="204"/>
      <c r="Q513" s="203"/>
      <c r="R513" s="203">
        <v>214.29</v>
      </c>
      <c r="S513" s="205"/>
      <c r="T513" s="102">
        <f>SUM(Finance[[#This Row],[Samer]:[Margins]])</f>
        <v>214.29</v>
      </c>
      <c r="U513" s="103">
        <f>ABS(Finance[[#This Row],[Total (EGP)]])</f>
        <v>214.29</v>
      </c>
      <c r="V513" s="206"/>
    </row>
    <row r="514" spans="2:22" ht="18" customHeight="1" x14ac:dyDescent="0.3">
      <c r="B514" s="218">
        <v>45855</v>
      </c>
      <c r="C514" s="169">
        <f>YEAR(Finance[[#This Row],[Date]])</f>
        <v>2025</v>
      </c>
      <c r="D514" s="200">
        <f>MONTH(Finance[[#This Row],[Date]])</f>
        <v>7</v>
      </c>
      <c r="E514" s="6" t="s">
        <v>693</v>
      </c>
      <c r="F514" s="39" t="s">
        <v>29</v>
      </c>
      <c r="G514" s="6" t="s">
        <v>108</v>
      </c>
      <c r="H514" s="48" t="s">
        <v>182</v>
      </c>
      <c r="I514" s="135" t="s">
        <v>175</v>
      </c>
      <c r="J514" s="136">
        <v>1</v>
      </c>
      <c r="K514" s="31"/>
      <c r="L514" s="132">
        <f>36.3*49.46*1.05</f>
        <v>1885.1678999999999</v>
      </c>
      <c r="M514" s="203"/>
      <c r="N514" s="203"/>
      <c r="O514" s="204"/>
      <c r="P514" s="204"/>
      <c r="Q514" s="203"/>
      <c r="R514" s="203"/>
      <c r="S514" s="205"/>
      <c r="T514" s="102">
        <f>SUM(Finance[[#This Row],[Samer]:[Margins]])</f>
        <v>1885.1678999999999</v>
      </c>
      <c r="U514" s="103">
        <f>ABS(Finance[[#This Row],[Total (EGP)]])</f>
        <v>1885.1678999999999</v>
      </c>
      <c r="V514" s="206"/>
    </row>
    <row r="515" spans="2:22" ht="18" customHeight="1" x14ac:dyDescent="0.3">
      <c r="B515" s="240">
        <v>45855</v>
      </c>
      <c r="C515" s="169">
        <f>YEAR(Finance[[#This Row],[Date]])</f>
        <v>2025</v>
      </c>
      <c r="D515" s="241">
        <f>MONTH(Finance[[#This Row],[Date]])</f>
        <v>7</v>
      </c>
      <c r="E515" s="242" t="s">
        <v>609</v>
      </c>
      <c r="F515" s="237" t="s">
        <v>27</v>
      </c>
      <c r="G515" s="237" t="s">
        <v>613</v>
      </c>
      <c r="H515" s="238" t="s">
        <v>614</v>
      </c>
      <c r="I515" s="239" t="s">
        <v>175</v>
      </c>
      <c r="J515" s="225"/>
      <c r="K515" s="201"/>
      <c r="L515" s="202">
        <v>133330</v>
      </c>
      <c r="M515" s="203"/>
      <c r="N515" s="203">
        <v>100000</v>
      </c>
      <c r="O515" s="204">
        <v>100000</v>
      </c>
      <c r="P515" s="204"/>
      <c r="Q515" s="203"/>
      <c r="R515" s="203"/>
      <c r="S515" s="205"/>
      <c r="T515" s="102">
        <f>SUM(Finance[[#This Row],[Samer]:[Margins]])</f>
        <v>333330</v>
      </c>
      <c r="U515" s="103">
        <f>ABS(Finance[[#This Row],[Total (EGP)]])</f>
        <v>333330</v>
      </c>
      <c r="V515" s="206"/>
    </row>
    <row r="516" spans="2:22" ht="18" customHeight="1" x14ac:dyDescent="0.3">
      <c r="B516" s="218">
        <v>45855</v>
      </c>
      <c r="C516" s="169">
        <f>YEAR(Finance[[#This Row],[Date]])</f>
        <v>2025</v>
      </c>
      <c r="D516" s="200">
        <f>MONTH(Finance[[#This Row],[Date]])</f>
        <v>7</v>
      </c>
      <c r="E516" s="39" t="s">
        <v>180</v>
      </c>
      <c r="F516" s="222" t="s">
        <v>37</v>
      </c>
      <c r="G516" s="222" t="s">
        <v>36</v>
      </c>
      <c r="H516" s="48" t="s">
        <v>181</v>
      </c>
      <c r="I516" s="224" t="s">
        <v>175</v>
      </c>
      <c r="J516" s="225">
        <v>0</v>
      </c>
      <c r="K516" s="201"/>
      <c r="L516" s="202">
        <v>100000</v>
      </c>
      <c r="M516" s="203"/>
      <c r="N516" s="203">
        <v>-100000</v>
      </c>
      <c r="O516" s="204"/>
      <c r="P516" s="204"/>
      <c r="Q516" s="203"/>
      <c r="R516" s="203"/>
      <c r="S516" s="205"/>
      <c r="T516" s="102">
        <f>SUM(Finance[[#This Row],[Samer]:[Margins]])</f>
        <v>0</v>
      </c>
      <c r="U516" s="103">
        <f>ABS(Finance[[#This Row],[Total (EGP)]])</f>
        <v>0</v>
      </c>
      <c r="V516" s="206"/>
    </row>
    <row r="517" spans="2:22" ht="18" customHeight="1" x14ac:dyDescent="0.3">
      <c r="B517" s="218">
        <v>45855</v>
      </c>
      <c r="C517" s="169">
        <f>YEAR(Finance[[#This Row],[Date]])</f>
        <v>2025</v>
      </c>
      <c r="D517" s="200">
        <f>MONTH(Finance[[#This Row],[Date]])</f>
        <v>7</v>
      </c>
      <c r="E517" s="39" t="s">
        <v>179</v>
      </c>
      <c r="F517" s="222" t="s">
        <v>37</v>
      </c>
      <c r="G517" s="222" t="s">
        <v>36</v>
      </c>
      <c r="H517" s="48" t="s">
        <v>181</v>
      </c>
      <c r="I517" s="224" t="s">
        <v>175</v>
      </c>
      <c r="J517" s="225">
        <v>0</v>
      </c>
      <c r="K517" s="201"/>
      <c r="L517" s="202">
        <v>-233333</v>
      </c>
      <c r="M517" s="203"/>
      <c r="N517" s="203"/>
      <c r="O517" s="204"/>
      <c r="P517" s="204"/>
      <c r="Q517" s="203"/>
      <c r="R517" s="203">
        <v>233333</v>
      </c>
      <c r="S517" s="205"/>
      <c r="T517" s="102">
        <f>SUM(Finance[[#This Row],[Samer]:[Margins]])</f>
        <v>0</v>
      </c>
      <c r="U517" s="103">
        <f>ABS(Finance[[#This Row],[Total (EGP)]])</f>
        <v>0</v>
      </c>
      <c r="V517" s="206"/>
    </row>
    <row r="518" spans="2:22" ht="18" customHeight="1" x14ac:dyDescent="0.3">
      <c r="B518" s="218">
        <v>45855</v>
      </c>
      <c r="C518" s="169">
        <f>YEAR(Finance[[#This Row],[Date]])</f>
        <v>2025</v>
      </c>
      <c r="D518" s="189">
        <f>MONTH(Finance[[#This Row],[Date]])</f>
        <v>7</v>
      </c>
      <c r="E518" s="39" t="s">
        <v>610</v>
      </c>
      <c r="F518" s="222" t="s">
        <v>37</v>
      </c>
      <c r="G518" s="222" t="s">
        <v>36</v>
      </c>
      <c r="H518" s="48" t="s">
        <v>181</v>
      </c>
      <c r="I518" s="224" t="s">
        <v>175</v>
      </c>
      <c r="J518" s="225">
        <v>0</v>
      </c>
      <c r="K518" s="201"/>
      <c r="L518" s="202"/>
      <c r="M518" s="203"/>
      <c r="N518" s="203"/>
      <c r="O518" s="204">
        <v>-100000</v>
      </c>
      <c r="P518" s="204"/>
      <c r="Q518" s="203"/>
      <c r="R518" s="203">
        <v>100000</v>
      </c>
      <c r="S518" s="205"/>
      <c r="T518" s="102">
        <f>SUM(Finance[[#This Row],[Samer]:[Margins]])</f>
        <v>0</v>
      </c>
      <c r="U518" s="103">
        <f>ABS(Finance[[#This Row],[Total (EGP)]])</f>
        <v>0</v>
      </c>
      <c r="V518" s="206"/>
    </row>
    <row r="519" spans="2:22" ht="18" customHeight="1" x14ac:dyDescent="0.3">
      <c r="B519" s="218">
        <v>45855</v>
      </c>
      <c r="C519" s="169">
        <f>YEAR(Finance[[#This Row],[Date]])</f>
        <v>2025</v>
      </c>
      <c r="D519" s="200">
        <f>MONTH(Finance[[#This Row],[Date]])</f>
        <v>7</v>
      </c>
      <c r="E519" s="39" t="s">
        <v>611</v>
      </c>
      <c r="F519" s="39" t="s">
        <v>73</v>
      </c>
      <c r="G519" s="39" t="s">
        <v>272</v>
      </c>
      <c r="H519" s="48" t="s">
        <v>199</v>
      </c>
      <c r="I519" s="114" t="s">
        <v>612</v>
      </c>
      <c r="J519" s="225">
        <v>5</v>
      </c>
      <c r="K519" s="201"/>
      <c r="L519" s="202"/>
      <c r="M519" s="203"/>
      <c r="N519" s="203"/>
      <c r="O519" s="204"/>
      <c r="P519" s="204"/>
      <c r="Q519" s="203"/>
      <c r="R519" s="203">
        <v>-100000</v>
      </c>
      <c r="S519" s="205"/>
      <c r="T519" s="102">
        <f>SUM(Finance[[#This Row],[Samer]:[Margins]])</f>
        <v>-100000</v>
      </c>
      <c r="U519" s="103">
        <f>ABS(Finance[[#This Row],[Total (EGP)]])</f>
        <v>100000</v>
      </c>
      <c r="V519" s="206"/>
    </row>
    <row r="520" spans="2:22" ht="18" customHeight="1" x14ac:dyDescent="0.3">
      <c r="B520" s="218">
        <v>45855</v>
      </c>
      <c r="C520" s="169">
        <f>YEAR(Finance[[#This Row],[Date]])</f>
        <v>2025</v>
      </c>
      <c r="D520" s="200">
        <f>MONTH(Finance[[#This Row],[Date]])</f>
        <v>7</v>
      </c>
      <c r="E520" s="39" t="s">
        <v>179</v>
      </c>
      <c r="F520" s="222" t="s">
        <v>37</v>
      </c>
      <c r="G520" s="222" t="s">
        <v>36</v>
      </c>
      <c r="H520" s="48" t="s">
        <v>181</v>
      </c>
      <c r="I520" s="224" t="s">
        <v>175</v>
      </c>
      <c r="J520" s="225">
        <v>0</v>
      </c>
      <c r="K520" s="201"/>
      <c r="L520" s="202">
        <v>-47593.47</v>
      </c>
      <c r="M520" s="203"/>
      <c r="N520" s="203"/>
      <c r="O520" s="204"/>
      <c r="P520" s="204"/>
      <c r="Q520" s="203"/>
      <c r="R520" s="203">
        <v>47593.47</v>
      </c>
      <c r="S520" s="205"/>
      <c r="T520" s="102">
        <f>SUM(Finance[[#This Row],[Samer]:[Margins]])</f>
        <v>0</v>
      </c>
      <c r="U520" s="103">
        <f>ABS(Finance[[#This Row],[Total (EGP)]])</f>
        <v>0</v>
      </c>
      <c r="V520" s="206"/>
    </row>
    <row r="521" spans="2:22" ht="18" customHeight="1" x14ac:dyDescent="0.3">
      <c r="B521" s="218">
        <v>45855</v>
      </c>
      <c r="C521" s="169">
        <f>YEAR(Finance[[#This Row],[Date]])</f>
        <v>2025</v>
      </c>
      <c r="D521" s="200">
        <f>MONTH(Finance[[#This Row],[Date]])</f>
        <v>7</v>
      </c>
      <c r="E521" s="39" t="s">
        <v>242</v>
      </c>
      <c r="F521" s="39" t="s">
        <v>29</v>
      </c>
      <c r="G521" s="39" t="s">
        <v>112</v>
      </c>
      <c r="H521" s="48" t="s">
        <v>618</v>
      </c>
      <c r="I521" s="114" t="s">
        <v>175</v>
      </c>
      <c r="J521" s="225">
        <v>3</v>
      </c>
      <c r="K521" s="201"/>
      <c r="L521" s="202"/>
      <c r="M521" s="203"/>
      <c r="N521" s="203"/>
      <c r="O521" s="204"/>
      <c r="P521" s="204"/>
      <c r="Q521" s="203"/>
      <c r="R521" s="203">
        <v>300</v>
      </c>
      <c r="S521" s="205"/>
      <c r="T521" s="102">
        <f>SUM(Finance[[#This Row],[Samer]:[Margins]])</f>
        <v>300</v>
      </c>
      <c r="U521" s="103">
        <f>ABS(Finance[[#This Row],[Total (EGP)]])</f>
        <v>300</v>
      </c>
      <c r="V521" s="206"/>
    </row>
    <row r="522" spans="2:22" ht="18" customHeight="1" x14ac:dyDescent="0.3">
      <c r="B522" s="246">
        <v>45855</v>
      </c>
      <c r="C522" s="169">
        <f>YEAR(Finance[[#This Row],[Date]])</f>
        <v>2025</v>
      </c>
      <c r="D522" s="243">
        <f>MONTH(Finance[[#This Row],[Date]])</f>
        <v>7</v>
      </c>
      <c r="E522" s="39" t="s">
        <v>650</v>
      </c>
      <c r="F522" s="39" t="s">
        <v>29</v>
      </c>
      <c r="G522" s="6" t="s">
        <v>56</v>
      </c>
      <c r="H522" s="48" t="s">
        <v>142</v>
      </c>
      <c r="I522" s="135" t="s">
        <v>175</v>
      </c>
      <c r="J522" s="131">
        <v>3</v>
      </c>
      <c r="K522" s="251"/>
      <c r="L522" s="252"/>
      <c r="M522" s="253"/>
      <c r="N522" s="253"/>
      <c r="O522" s="254"/>
      <c r="P522" s="254"/>
      <c r="Q522" s="253"/>
      <c r="R522" s="253"/>
      <c r="S522" s="244">
        <v>900</v>
      </c>
      <c r="T522" s="102">
        <f>SUM(Finance[[#This Row],[Samer]:[Margins]])</f>
        <v>900</v>
      </c>
      <c r="U522" s="103">
        <f>ABS(Finance[[#This Row],[Total (EGP)]])</f>
        <v>900</v>
      </c>
      <c r="V522" s="245"/>
    </row>
    <row r="523" spans="2:22" ht="18" customHeight="1" x14ac:dyDescent="0.3">
      <c r="B523" s="246">
        <v>45856</v>
      </c>
      <c r="C523" s="169">
        <f>YEAR(Finance[[#This Row],[Date]])</f>
        <v>2025</v>
      </c>
      <c r="D523" s="243">
        <f>MONTH(Finance[[#This Row],[Date]])</f>
        <v>7</v>
      </c>
      <c r="E523" s="6" t="s">
        <v>661</v>
      </c>
      <c r="F523" s="6" t="s">
        <v>73</v>
      </c>
      <c r="G523" s="6" t="s">
        <v>75</v>
      </c>
      <c r="H523" s="134" t="s">
        <v>62</v>
      </c>
      <c r="I523" s="135" t="s">
        <v>662</v>
      </c>
      <c r="J523" s="136">
        <v>4</v>
      </c>
      <c r="K523" s="31"/>
      <c r="L523" s="132">
        <f>-150*51*1.25-22*51*1.25</f>
        <v>-10965</v>
      </c>
      <c r="M523" s="253"/>
      <c r="N523" s="253"/>
      <c r="O523" s="254"/>
      <c r="P523" s="254"/>
      <c r="Q523" s="253"/>
      <c r="R523" s="253"/>
      <c r="S523" s="244"/>
      <c r="T523" s="102">
        <f>SUM(Finance[[#This Row],[Samer]:[Margins]])</f>
        <v>-10965</v>
      </c>
      <c r="U523" s="103">
        <f>ABS(Finance[[#This Row],[Total (EGP)]])</f>
        <v>10965</v>
      </c>
      <c r="V523" s="245"/>
    </row>
    <row r="524" spans="2:22" ht="18" customHeight="1" x14ac:dyDescent="0.3">
      <c r="B524" s="246">
        <v>45856</v>
      </c>
      <c r="C524" s="169">
        <f>YEAR(Finance[[#This Row],[Date]])</f>
        <v>2025</v>
      </c>
      <c r="D524" s="243">
        <f>MONTH(Finance[[#This Row],[Date]])</f>
        <v>7</v>
      </c>
      <c r="E524" s="6" t="s">
        <v>663</v>
      </c>
      <c r="F524" s="39" t="s">
        <v>30</v>
      </c>
      <c r="G524" s="39" t="s">
        <v>127</v>
      </c>
      <c r="H524" s="48" t="s">
        <v>176</v>
      </c>
      <c r="I524" s="135" t="s">
        <v>662</v>
      </c>
      <c r="J524" s="136">
        <v>4</v>
      </c>
      <c r="K524" s="31"/>
      <c r="L524" s="132">
        <f>150*51*1.25</f>
        <v>9562.5</v>
      </c>
      <c r="M524" s="253"/>
      <c r="N524" s="253"/>
      <c r="O524" s="254"/>
      <c r="P524" s="254"/>
      <c r="Q524" s="253"/>
      <c r="R524" s="253"/>
      <c r="S524" s="244"/>
      <c r="T524" s="102">
        <f>SUM(Finance[[#This Row],[Samer]:[Margins]])</f>
        <v>9562.5</v>
      </c>
      <c r="U524" s="103">
        <f>ABS(Finance[[#This Row],[Total (EGP)]])</f>
        <v>9562.5</v>
      </c>
      <c r="V524" s="245"/>
    </row>
    <row r="525" spans="2:22" ht="18" customHeight="1" x14ac:dyDescent="0.3">
      <c r="B525" s="246">
        <v>45856</v>
      </c>
      <c r="C525" s="169">
        <f>YEAR(Finance[[#This Row],[Date]])</f>
        <v>2025</v>
      </c>
      <c r="D525" s="243">
        <f>MONTH(Finance[[#This Row],[Date]])</f>
        <v>7</v>
      </c>
      <c r="E525" s="39" t="s">
        <v>664</v>
      </c>
      <c r="F525" s="39" t="s">
        <v>30</v>
      </c>
      <c r="G525" s="39" t="s">
        <v>145</v>
      </c>
      <c r="H525" s="48" t="s">
        <v>176</v>
      </c>
      <c r="I525" s="114" t="s">
        <v>662</v>
      </c>
      <c r="J525" s="192">
        <v>4</v>
      </c>
      <c r="K525" s="193"/>
      <c r="L525" s="194">
        <f>22*51*1.25</f>
        <v>1402.5</v>
      </c>
      <c r="M525" s="253"/>
      <c r="N525" s="253"/>
      <c r="O525" s="254"/>
      <c r="P525" s="254"/>
      <c r="Q525" s="253"/>
      <c r="R525" s="253"/>
      <c r="S525" s="244"/>
      <c r="T525" s="102">
        <f>SUM(Finance[[#This Row],[Samer]:[Margins]])</f>
        <v>1402.5</v>
      </c>
      <c r="U525" s="103">
        <f>ABS(Finance[[#This Row],[Total (EGP)]])</f>
        <v>1402.5</v>
      </c>
      <c r="V525" s="245"/>
    </row>
    <row r="526" spans="2:22" ht="18" customHeight="1" x14ac:dyDescent="0.3">
      <c r="B526" s="246">
        <v>45857</v>
      </c>
      <c r="C526" s="169">
        <f>YEAR(Finance[[#This Row],[Date]])</f>
        <v>2025</v>
      </c>
      <c r="D526" s="243">
        <f>MONTH(Finance[[#This Row],[Date]])</f>
        <v>7</v>
      </c>
      <c r="E526" s="6" t="s">
        <v>649</v>
      </c>
      <c r="F526" s="6" t="s">
        <v>29</v>
      </c>
      <c r="G526" s="6" t="s">
        <v>56</v>
      </c>
      <c r="H526" s="134" t="s">
        <v>142</v>
      </c>
      <c r="I526" s="135" t="s">
        <v>175</v>
      </c>
      <c r="J526" s="250">
        <v>3</v>
      </c>
      <c r="K526" s="251"/>
      <c r="L526" s="252"/>
      <c r="M526" s="253"/>
      <c r="N526" s="253"/>
      <c r="O526" s="254"/>
      <c r="P526" s="254"/>
      <c r="Q526" s="253"/>
      <c r="R526" s="253"/>
      <c r="S526" s="244">
        <v>455</v>
      </c>
      <c r="T526" s="102">
        <f>SUM(Finance[[#This Row],[Samer]:[Margins]])</f>
        <v>455</v>
      </c>
      <c r="U526" s="103">
        <f>ABS(Finance[[#This Row],[Total (EGP)]])</f>
        <v>455</v>
      </c>
      <c r="V526" s="245"/>
    </row>
    <row r="527" spans="2:22" ht="18" customHeight="1" x14ac:dyDescent="0.3">
      <c r="B527" s="246">
        <v>45858</v>
      </c>
      <c r="C527" s="169">
        <f>YEAR(Finance[[#This Row],[Date]])</f>
        <v>2025</v>
      </c>
      <c r="D527" s="243">
        <f>MONTH(Finance[[#This Row],[Date]])</f>
        <v>7</v>
      </c>
      <c r="E527" s="6" t="s">
        <v>640</v>
      </c>
      <c r="F527" s="6" t="s">
        <v>73</v>
      </c>
      <c r="G527" s="6" t="s">
        <v>93</v>
      </c>
      <c r="H527" s="134" t="s">
        <v>199</v>
      </c>
      <c r="I527" s="114" t="s">
        <v>369</v>
      </c>
      <c r="J527" s="136">
        <v>4</v>
      </c>
      <c r="K527" s="201"/>
      <c r="L527" s="202"/>
      <c r="M527" s="203"/>
      <c r="N527" s="203"/>
      <c r="O527" s="204"/>
      <c r="P527" s="204"/>
      <c r="Q527" s="203"/>
      <c r="R527" s="203">
        <v>-13125</v>
      </c>
      <c r="S527" s="244"/>
      <c r="T527" s="102">
        <f>SUM(Finance[[#This Row],[Samer]:[Margins]])</f>
        <v>-13125</v>
      </c>
      <c r="U527" s="103">
        <f>ABS(Finance[[#This Row],[Total (EGP)]])</f>
        <v>13125</v>
      </c>
      <c r="V527" s="245"/>
    </row>
    <row r="528" spans="2:22" ht="18" customHeight="1" x14ac:dyDescent="0.3">
      <c r="B528" s="246">
        <v>45858</v>
      </c>
      <c r="C528" s="169">
        <f>YEAR(Finance[[#This Row],[Date]])</f>
        <v>2025</v>
      </c>
      <c r="D528" s="243">
        <f>MONTH(Finance[[#This Row],[Date]])</f>
        <v>7</v>
      </c>
      <c r="E528" s="6" t="s">
        <v>638</v>
      </c>
      <c r="F528" s="6" t="s">
        <v>73</v>
      </c>
      <c r="G528" s="6" t="s">
        <v>93</v>
      </c>
      <c r="H528" s="134" t="s">
        <v>90</v>
      </c>
      <c r="I528" s="114" t="s">
        <v>369</v>
      </c>
      <c r="J528" s="136">
        <v>4</v>
      </c>
      <c r="K528" s="201"/>
      <c r="L528" s="202"/>
      <c r="M528" s="203"/>
      <c r="N528" s="203"/>
      <c r="O528" s="204"/>
      <c r="P528" s="204"/>
      <c r="Q528" s="203"/>
      <c r="R528" s="203">
        <f>-13125*0.14</f>
        <v>-1837.5000000000002</v>
      </c>
      <c r="S528" s="244"/>
      <c r="T528" s="102">
        <f>SUM(Finance[[#This Row],[Samer]:[Margins]])</f>
        <v>-1837.5000000000002</v>
      </c>
      <c r="U528" s="103">
        <f>ABS(Finance[[#This Row],[Total (EGP)]])</f>
        <v>1837.5000000000002</v>
      </c>
      <c r="V528" s="245"/>
    </row>
    <row r="529" spans="2:22" ht="18" customHeight="1" x14ac:dyDescent="0.3">
      <c r="B529" s="246">
        <v>45858</v>
      </c>
      <c r="C529" s="169">
        <f>YEAR(Finance[[#This Row],[Date]])</f>
        <v>2025</v>
      </c>
      <c r="D529" s="243">
        <f>MONTH(Finance[[#This Row],[Date]])</f>
        <v>7</v>
      </c>
      <c r="E529" s="6" t="s">
        <v>639</v>
      </c>
      <c r="F529" s="6" t="s">
        <v>84</v>
      </c>
      <c r="G529" s="6" t="s">
        <v>86</v>
      </c>
      <c r="H529" s="134" t="s">
        <v>199</v>
      </c>
      <c r="I529" s="114" t="s">
        <v>369</v>
      </c>
      <c r="J529" s="136">
        <v>4</v>
      </c>
      <c r="K529" s="201"/>
      <c r="L529" s="202"/>
      <c r="M529" s="203"/>
      <c r="N529" s="203"/>
      <c r="O529" s="204"/>
      <c r="P529" s="204"/>
      <c r="Q529" s="203"/>
      <c r="R529" s="203">
        <f>13125*0.03</f>
        <v>393.75</v>
      </c>
      <c r="S529" s="244"/>
      <c r="T529" s="102">
        <f>SUM(Finance[[#This Row],[Samer]:[Margins]])</f>
        <v>393.75</v>
      </c>
      <c r="U529" s="103">
        <f>ABS(Finance[[#This Row],[Total (EGP)]])</f>
        <v>393.75</v>
      </c>
      <c r="V529" s="245"/>
    </row>
    <row r="530" spans="2:22" ht="18" customHeight="1" x14ac:dyDescent="0.3">
      <c r="B530" s="246">
        <v>45858</v>
      </c>
      <c r="C530" s="169">
        <f>YEAR(Finance[[#This Row],[Date]])</f>
        <v>2025</v>
      </c>
      <c r="D530" s="243">
        <f>MONTH(Finance[[#This Row],[Date]])</f>
        <v>7</v>
      </c>
      <c r="E530" s="6" t="s">
        <v>370</v>
      </c>
      <c r="F530" s="6" t="s">
        <v>29</v>
      </c>
      <c r="G530" s="6" t="s">
        <v>95</v>
      </c>
      <c r="H530" s="134" t="s">
        <v>194</v>
      </c>
      <c r="I530" s="114" t="s">
        <v>369</v>
      </c>
      <c r="J530" s="136">
        <v>3</v>
      </c>
      <c r="K530" s="201"/>
      <c r="L530" s="202"/>
      <c r="M530" s="203"/>
      <c r="N530" s="203"/>
      <c r="O530" s="204"/>
      <c r="P530" s="204"/>
      <c r="Q530" s="203"/>
      <c r="R530" s="203">
        <v>10</v>
      </c>
      <c r="S530" s="244"/>
      <c r="T530" s="102">
        <f>SUM(Finance[[#This Row],[Samer]:[Margins]])</f>
        <v>10</v>
      </c>
      <c r="U530" s="103">
        <f>ABS(Finance[[#This Row],[Total (EGP)]])</f>
        <v>10</v>
      </c>
      <c r="V530" s="245"/>
    </row>
    <row r="531" spans="2:22" ht="18" customHeight="1" x14ac:dyDescent="0.3">
      <c r="B531" s="218">
        <v>45861</v>
      </c>
      <c r="C531" s="169">
        <f>YEAR(Finance[[#This Row],[Date]])</f>
        <v>2025</v>
      </c>
      <c r="D531" s="200">
        <f>MONTH(Finance[[#This Row],[Date]])</f>
        <v>7</v>
      </c>
      <c r="E531" s="153" t="s">
        <v>295</v>
      </c>
      <c r="F531" s="6" t="s">
        <v>29</v>
      </c>
      <c r="G531" s="6" t="s">
        <v>111</v>
      </c>
      <c r="H531" s="134" t="s">
        <v>296</v>
      </c>
      <c r="I531" s="114" t="s">
        <v>175</v>
      </c>
      <c r="J531" s="136">
        <v>3</v>
      </c>
      <c r="K531" s="201"/>
      <c r="L531" s="202">
        <v>1030.78</v>
      </c>
      <c r="M531" s="203"/>
      <c r="N531" s="203"/>
      <c r="O531" s="204"/>
      <c r="P531" s="204"/>
      <c r="Q531" s="203"/>
      <c r="R531" s="203"/>
      <c r="S531" s="205"/>
      <c r="T531" s="102">
        <f>SUM(Finance[[#This Row],[Samer]:[Margins]])</f>
        <v>1030.78</v>
      </c>
      <c r="U531" s="103">
        <f>ABS(Finance[[#This Row],[Total (EGP)]])</f>
        <v>1030.78</v>
      </c>
      <c r="V531" s="206"/>
    </row>
    <row r="532" spans="2:22" ht="18" customHeight="1" x14ac:dyDescent="0.3">
      <c r="B532" s="218">
        <v>45861</v>
      </c>
      <c r="C532" s="169">
        <f>YEAR(Finance[[#This Row],[Date]])</f>
        <v>2025</v>
      </c>
      <c r="D532" s="200">
        <f>MONTH(Finance[[#This Row],[Date]])</f>
        <v>7</v>
      </c>
      <c r="E532" s="19" t="s">
        <v>632</v>
      </c>
      <c r="F532" s="6" t="s">
        <v>29</v>
      </c>
      <c r="G532" s="6" t="s">
        <v>108</v>
      </c>
      <c r="H532" s="134" t="s">
        <v>182</v>
      </c>
      <c r="I532" s="135" t="s">
        <v>175</v>
      </c>
      <c r="J532" s="136">
        <v>3</v>
      </c>
      <c r="K532" s="31"/>
      <c r="L532" s="132">
        <f>15.99*48.8*1.05</f>
        <v>819.32760000000007</v>
      </c>
      <c r="M532" s="203"/>
      <c r="N532" s="203"/>
      <c r="O532" s="204"/>
      <c r="P532" s="204"/>
      <c r="Q532" s="203"/>
      <c r="R532" s="203"/>
      <c r="S532" s="205"/>
      <c r="T532" s="102">
        <f>SUM(Finance[[#This Row],[Samer]:[Margins]])</f>
        <v>819.32760000000007</v>
      </c>
      <c r="U532" s="103">
        <f>ABS(Finance[[#This Row],[Total (EGP)]])</f>
        <v>819.32760000000007</v>
      </c>
      <c r="V532" s="206"/>
    </row>
    <row r="533" spans="2:22" ht="18" customHeight="1" x14ac:dyDescent="0.3">
      <c r="B533" s="218">
        <v>45865</v>
      </c>
      <c r="C533" s="169">
        <f>YEAR(Finance[[#This Row],[Date]])</f>
        <v>2025</v>
      </c>
      <c r="D533" s="200">
        <f>MONTH(Finance[[#This Row],[Date]])</f>
        <v>7</v>
      </c>
      <c r="E533" s="6" t="s">
        <v>624</v>
      </c>
      <c r="F533" s="39" t="s">
        <v>29</v>
      </c>
      <c r="G533" s="6" t="s">
        <v>56</v>
      </c>
      <c r="H533" s="48" t="s">
        <v>142</v>
      </c>
      <c r="I533" s="135" t="s">
        <v>175</v>
      </c>
      <c r="J533" s="131">
        <v>3</v>
      </c>
      <c r="K533" s="201"/>
      <c r="L533" s="202"/>
      <c r="M533" s="203"/>
      <c r="N533" s="203"/>
      <c r="O533" s="204"/>
      <c r="P533" s="204"/>
      <c r="Q533" s="203"/>
      <c r="R533" s="203"/>
      <c r="S533" s="205">
        <f>350*3+50</f>
        <v>1100</v>
      </c>
      <c r="T533" s="102">
        <f>SUM(Finance[[#This Row],[Samer]:[Margins]])</f>
        <v>1100</v>
      </c>
      <c r="U533" s="103">
        <f>ABS(Finance[[#This Row],[Total (EGP)]])</f>
        <v>1100</v>
      </c>
      <c r="V533" s="206"/>
    </row>
    <row r="534" spans="2:22" ht="18" customHeight="1" x14ac:dyDescent="0.3">
      <c r="B534" s="218">
        <v>45865</v>
      </c>
      <c r="C534" s="169">
        <f>YEAR(Finance[[#This Row],[Date]])</f>
        <v>2025</v>
      </c>
      <c r="D534" s="200">
        <f>MONTH(Finance[[#This Row],[Date]])</f>
        <v>7</v>
      </c>
      <c r="E534" s="39" t="s">
        <v>625</v>
      </c>
      <c r="F534" s="39" t="s">
        <v>27</v>
      </c>
      <c r="G534" s="39" t="s">
        <v>50</v>
      </c>
      <c r="H534" s="48" t="s">
        <v>50</v>
      </c>
      <c r="I534" s="114" t="s">
        <v>175</v>
      </c>
      <c r="J534" s="225">
        <v>1</v>
      </c>
      <c r="K534" s="201"/>
      <c r="L534" s="202">
        <v>103000</v>
      </c>
      <c r="M534" s="203"/>
      <c r="N534" s="203"/>
      <c r="O534" s="204"/>
      <c r="P534" s="204"/>
      <c r="Q534" s="203"/>
      <c r="R534" s="203"/>
      <c r="S534" s="205"/>
      <c r="T534" s="102">
        <f>SUM(Finance[[#This Row],[Samer]:[Margins]])</f>
        <v>103000</v>
      </c>
      <c r="U534" s="103">
        <f>ABS(Finance[[#This Row],[Total (EGP)]])</f>
        <v>103000</v>
      </c>
      <c r="V534" s="206"/>
    </row>
    <row r="535" spans="2:22" ht="18" customHeight="1" x14ac:dyDescent="0.3">
      <c r="B535" s="246">
        <v>45865</v>
      </c>
      <c r="C535" s="169">
        <f>YEAR(Finance[[#This Row],[Date]])</f>
        <v>2025</v>
      </c>
      <c r="D535" s="243">
        <f>MONTH(Finance[[#This Row],[Date]])</f>
        <v>7</v>
      </c>
      <c r="E535" s="39" t="s">
        <v>242</v>
      </c>
      <c r="F535" s="39" t="s">
        <v>29</v>
      </c>
      <c r="G535" s="39" t="s">
        <v>112</v>
      </c>
      <c r="H535" s="48" t="s">
        <v>618</v>
      </c>
      <c r="I535" s="114" t="s">
        <v>175</v>
      </c>
      <c r="J535" s="225">
        <v>3</v>
      </c>
      <c r="K535" s="251"/>
      <c r="L535" s="252"/>
      <c r="M535" s="253"/>
      <c r="N535" s="253"/>
      <c r="O535" s="254"/>
      <c r="P535" s="254"/>
      <c r="Q535" s="253"/>
      <c r="R535" s="253">
        <v>2000</v>
      </c>
      <c r="S535" s="244"/>
      <c r="T535" s="102">
        <f>SUM(Finance[[#This Row],[Samer]:[Margins]])</f>
        <v>2000</v>
      </c>
      <c r="U535" s="103">
        <f>ABS(Finance[[#This Row],[Total (EGP)]])</f>
        <v>2000</v>
      </c>
      <c r="V535" s="245"/>
    </row>
    <row r="536" spans="2:22" ht="18" customHeight="1" x14ac:dyDescent="0.3">
      <c r="B536" s="246">
        <v>45865</v>
      </c>
      <c r="C536" s="169">
        <f>YEAR(Finance[[#This Row],[Date]])</f>
        <v>2025</v>
      </c>
      <c r="D536" s="243">
        <f>MONTH(Finance[[#This Row],[Date]])</f>
        <v>7</v>
      </c>
      <c r="E536" s="39" t="s">
        <v>242</v>
      </c>
      <c r="F536" s="39" t="s">
        <v>29</v>
      </c>
      <c r="G536" s="39" t="s">
        <v>112</v>
      </c>
      <c r="H536" s="48" t="s">
        <v>618</v>
      </c>
      <c r="I536" s="114" t="s">
        <v>175</v>
      </c>
      <c r="J536" s="225">
        <v>3</v>
      </c>
      <c r="K536" s="251"/>
      <c r="L536" s="252"/>
      <c r="M536" s="253"/>
      <c r="N536" s="253"/>
      <c r="O536" s="254"/>
      <c r="P536" s="254"/>
      <c r="Q536" s="253"/>
      <c r="R536" s="253">
        <v>200</v>
      </c>
      <c r="S536" s="244"/>
      <c r="T536" s="102">
        <f>SUM(Finance[[#This Row],[Samer]:[Margins]])</f>
        <v>200</v>
      </c>
      <c r="U536" s="103">
        <f>ABS(Finance[[#This Row],[Total (EGP)]])</f>
        <v>200</v>
      </c>
      <c r="V536" s="245"/>
    </row>
    <row r="537" spans="2:22" ht="18" customHeight="1" x14ac:dyDescent="0.3">
      <c r="B537" s="218">
        <v>45866</v>
      </c>
      <c r="C537" s="169">
        <f>YEAR(Finance[[#This Row],[Date]])</f>
        <v>2025</v>
      </c>
      <c r="D537" s="200">
        <f>MONTH(Finance[[#This Row],[Date]])</f>
        <v>7</v>
      </c>
      <c r="E537" s="6" t="s">
        <v>687</v>
      </c>
      <c r="F537" s="6" t="s">
        <v>73</v>
      </c>
      <c r="G537" s="6" t="s">
        <v>75</v>
      </c>
      <c r="H537" s="134" t="s">
        <v>234</v>
      </c>
      <c r="I537" s="135" t="s">
        <v>177</v>
      </c>
      <c r="J537" s="136">
        <v>4</v>
      </c>
      <c r="K537" s="201"/>
      <c r="L537" s="202"/>
      <c r="M537" s="203"/>
      <c r="N537" s="203"/>
      <c r="O537" s="204"/>
      <c r="P537" s="204"/>
      <c r="Q537" s="203">
        <v>-13738.99</v>
      </c>
      <c r="R537" s="203"/>
      <c r="S537" s="205"/>
      <c r="T537" s="102">
        <f>SUM(Finance[[#This Row],[Samer]:[Margins]])</f>
        <v>-13738.99</v>
      </c>
      <c r="U537" s="103">
        <f>ABS(Finance[[#This Row],[Total (EGP)]])</f>
        <v>13738.99</v>
      </c>
      <c r="V537" s="206"/>
    </row>
    <row r="538" spans="2:22" ht="18" customHeight="1" x14ac:dyDescent="0.3">
      <c r="B538" s="218">
        <v>45866</v>
      </c>
      <c r="C538" s="169">
        <f>YEAR(Finance[[#This Row],[Date]])</f>
        <v>2025</v>
      </c>
      <c r="D538" s="200">
        <f>MONTH(Finance[[#This Row],[Date]])</f>
        <v>7</v>
      </c>
      <c r="E538" s="6" t="s">
        <v>237</v>
      </c>
      <c r="F538" s="6" t="s">
        <v>73</v>
      </c>
      <c r="G538" s="6" t="s">
        <v>75</v>
      </c>
      <c r="H538" s="134" t="s">
        <v>90</v>
      </c>
      <c r="I538" s="135" t="s">
        <v>177</v>
      </c>
      <c r="J538" s="136">
        <v>4</v>
      </c>
      <c r="K538" s="201"/>
      <c r="L538" s="202"/>
      <c r="M538" s="203"/>
      <c r="N538" s="203"/>
      <c r="O538" s="204"/>
      <c r="P538" s="204"/>
      <c r="Q538" s="203">
        <f>-13738.99*0.14</f>
        <v>-1923.4586000000002</v>
      </c>
      <c r="R538" s="203"/>
      <c r="S538" s="205"/>
      <c r="T538" s="102">
        <f>SUM(Finance[[#This Row],[Samer]:[Margins]])</f>
        <v>-1923.4586000000002</v>
      </c>
      <c r="U538" s="103">
        <f>ABS(Finance[[#This Row],[Total (EGP)]])</f>
        <v>1923.4586000000002</v>
      </c>
      <c r="V538" s="206"/>
    </row>
    <row r="539" spans="2:22" ht="18" customHeight="1" x14ac:dyDescent="0.3">
      <c r="B539" s="218">
        <v>45866</v>
      </c>
      <c r="C539" s="169">
        <f>YEAR(Finance[[#This Row],[Date]])</f>
        <v>2025</v>
      </c>
      <c r="D539" s="200">
        <f>MONTH(Finance[[#This Row],[Date]])</f>
        <v>7</v>
      </c>
      <c r="E539" s="6" t="s">
        <v>238</v>
      </c>
      <c r="F539" s="6" t="s">
        <v>84</v>
      </c>
      <c r="G539" s="6" t="s">
        <v>86</v>
      </c>
      <c r="H539" s="134" t="s">
        <v>234</v>
      </c>
      <c r="I539" s="135" t="s">
        <v>177</v>
      </c>
      <c r="J539" s="136">
        <v>4</v>
      </c>
      <c r="K539" s="201"/>
      <c r="L539" s="202"/>
      <c r="M539" s="203"/>
      <c r="N539" s="203"/>
      <c r="O539" s="204"/>
      <c r="P539" s="204"/>
      <c r="Q539" s="203">
        <f>13738.99*0.03</f>
        <v>412.16969999999998</v>
      </c>
      <c r="R539" s="203"/>
      <c r="S539" s="205"/>
      <c r="T539" s="102">
        <f>SUM(Finance[[#This Row],[Samer]:[Margins]])</f>
        <v>412.16969999999998</v>
      </c>
      <c r="U539" s="103">
        <f>ABS(Finance[[#This Row],[Total (EGP)]])</f>
        <v>412.16969999999998</v>
      </c>
      <c r="V539" s="206"/>
    </row>
    <row r="540" spans="2:22" ht="18" customHeight="1" x14ac:dyDescent="0.3">
      <c r="B540" s="218">
        <v>45866</v>
      </c>
      <c r="C540" s="169">
        <f>YEAR(Finance[[#This Row],[Date]])</f>
        <v>2025</v>
      </c>
      <c r="D540" s="200">
        <f>MONTH(Finance[[#This Row],[Date]])</f>
        <v>7</v>
      </c>
      <c r="E540" s="6" t="s">
        <v>626</v>
      </c>
      <c r="F540" s="6" t="s">
        <v>73</v>
      </c>
      <c r="G540" s="6" t="s">
        <v>233</v>
      </c>
      <c r="H540" s="134" t="s">
        <v>234</v>
      </c>
      <c r="I540" s="135" t="s">
        <v>235</v>
      </c>
      <c r="J540" s="136">
        <v>1</v>
      </c>
      <c r="K540" s="201"/>
      <c r="L540" s="202"/>
      <c r="M540" s="203"/>
      <c r="N540" s="203"/>
      <c r="O540" s="204"/>
      <c r="P540" s="204"/>
      <c r="Q540" s="203">
        <v>-234749.72</v>
      </c>
      <c r="R540" s="203"/>
      <c r="S540" s="205"/>
      <c r="T540" s="102">
        <f>SUM(Finance[[#This Row],[Samer]:[Margins]])</f>
        <v>-234749.72</v>
      </c>
      <c r="U540" s="103">
        <f>ABS(Finance[[#This Row],[Total (EGP)]])</f>
        <v>234749.72</v>
      </c>
      <c r="V540" s="206"/>
    </row>
    <row r="541" spans="2:22" ht="18" customHeight="1" x14ac:dyDescent="0.3">
      <c r="B541" s="218">
        <v>45866</v>
      </c>
      <c r="C541" s="169">
        <f>YEAR(Finance[[#This Row],[Date]])</f>
        <v>2025</v>
      </c>
      <c r="D541" s="200">
        <f>MONTH(Finance[[#This Row],[Date]])</f>
        <v>7</v>
      </c>
      <c r="E541" s="188" t="s">
        <v>516</v>
      </c>
      <c r="F541" s="189" t="s">
        <v>37</v>
      </c>
      <c r="G541" s="189" t="s">
        <v>36</v>
      </c>
      <c r="H541" s="190" t="s">
        <v>181</v>
      </c>
      <c r="I541" s="191" t="s">
        <v>175</v>
      </c>
      <c r="J541" s="192">
        <v>0</v>
      </c>
      <c r="K541" s="201"/>
      <c r="L541" s="202"/>
      <c r="M541" s="203"/>
      <c r="N541" s="203"/>
      <c r="O541" s="204"/>
      <c r="P541" s="204"/>
      <c r="Q541" s="203">
        <v>250000</v>
      </c>
      <c r="R541" s="203">
        <v>-250000</v>
      </c>
      <c r="S541" s="205"/>
      <c r="T541" s="102">
        <f>SUM(Finance[[#This Row],[Samer]:[Margins]])</f>
        <v>0</v>
      </c>
      <c r="U541" s="103">
        <f>ABS(Finance[[#This Row],[Total (EGP)]])</f>
        <v>0</v>
      </c>
      <c r="V541" s="206"/>
    </row>
    <row r="542" spans="2:22" ht="18" customHeight="1" x14ac:dyDescent="0.3">
      <c r="B542" s="218">
        <v>45866</v>
      </c>
      <c r="C542" s="169">
        <f>YEAR(Finance[[#This Row],[Date]])</f>
        <v>2025</v>
      </c>
      <c r="D542" s="243">
        <f>MONTH(Finance[[#This Row],[Date]])</f>
        <v>7</v>
      </c>
      <c r="E542" s="6" t="s">
        <v>627</v>
      </c>
      <c r="F542" s="39" t="s">
        <v>84</v>
      </c>
      <c r="G542" s="39" t="s">
        <v>90</v>
      </c>
      <c r="H542" s="48" t="s">
        <v>143</v>
      </c>
      <c r="I542" s="149" t="s">
        <v>175</v>
      </c>
      <c r="J542" s="131">
        <v>1</v>
      </c>
      <c r="K542" s="193"/>
      <c r="L542" s="194"/>
      <c r="M542" s="195"/>
      <c r="N542" s="195"/>
      <c r="O542" s="196"/>
      <c r="P542" s="196"/>
      <c r="Q542" s="195"/>
      <c r="R542" s="195">
        <v>0</v>
      </c>
      <c r="S542" s="244"/>
      <c r="T542" s="102">
        <f>SUM(Finance[[#This Row],[Samer]:[Margins]])</f>
        <v>0</v>
      </c>
      <c r="U542" s="103">
        <f>ABS(Finance[[#This Row],[Total (EGP)]])</f>
        <v>0</v>
      </c>
      <c r="V542" s="245"/>
    </row>
    <row r="543" spans="2:22" ht="18" customHeight="1" x14ac:dyDescent="0.3">
      <c r="B543" s="218">
        <v>45866</v>
      </c>
      <c r="C543" s="169">
        <f>YEAR(Finance[[#This Row],[Date]])</f>
        <v>2025</v>
      </c>
      <c r="D543" s="243">
        <f>MONTH(Finance[[#This Row],[Date]])</f>
        <v>7</v>
      </c>
      <c r="E543" s="6" t="s">
        <v>628</v>
      </c>
      <c r="F543" s="39" t="s">
        <v>84</v>
      </c>
      <c r="G543" s="39" t="s">
        <v>90</v>
      </c>
      <c r="H543" s="48" t="s">
        <v>143</v>
      </c>
      <c r="I543" s="149" t="s">
        <v>175</v>
      </c>
      <c r="J543" s="131">
        <v>4</v>
      </c>
      <c r="K543" s="193"/>
      <c r="L543" s="194"/>
      <c r="M543" s="195"/>
      <c r="N543" s="195"/>
      <c r="O543" s="196"/>
      <c r="P543" s="196"/>
      <c r="Q543" s="195"/>
      <c r="R543" s="195">
        <v>12456.7</v>
      </c>
      <c r="S543" s="244"/>
      <c r="T543" s="102">
        <f>SUM(Finance[[#This Row],[Samer]:[Margins]])</f>
        <v>12456.7</v>
      </c>
      <c r="U543" s="103">
        <f>ABS(Finance[[#This Row],[Total (EGP)]])</f>
        <v>12456.7</v>
      </c>
      <c r="V543" s="245"/>
    </row>
    <row r="544" spans="2:22" ht="18" customHeight="1" x14ac:dyDescent="0.3">
      <c r="B544" s="218">
        <v>45866</v>
      </c>
      <c r="C544" s="169">
        <f>YEAR(Finance[[#This Row],[Date]])</f>
        <v>2025</v>
      </c>
      <c r="D544" s="243">
        <f>MONTH(Finance[[#This Row],[Date]])</f>
        <v>7</v>
      </c>
      <c r="E544" s="6" t="s">
        <v>629</v>
      </c>
      <c r="F544" s="39" t="s">
        <v>84</v>
      </c>
      <c r="G544" s="39" t="s">
        <v>90</v>
      </c>
      <c r="H544" s="48" t="s">
        <v>143</v>
      </c>
      <c r="I544" s="149" t="s">
        <v>175</v>
      </c>
      <c r="J544" s="131">
        <v>5</v>
      </c>
      <c r="K544" s="193"/>
      <c r="L544" s="194"/>
      <c r="M544" s="195"/>
      <c r="N544" s="195"/>
      <c r="O544" s="196"/>
      <c r="P544" s="196"/>
      <c r="Q544" s="195"/>
      <c r="R544" s="195">
        <v>682.5</v>
      </c>
      <c r="S544" s="244"/>
      <c r="T544" s="102">
        <f>SUM(Finance[[#This Row],[Samer]:[Margins]])</f>
        <v>682.5</v>
      </c>
      <c r="U544" s="103">
        <f>ABS(Finance[[#This Row],[Total (EGP)]])</f>
        <v>682.5</v>
      </c>
      <c r="V544" s="245"/>
    </row>
    <row r="545" spans="2:22" ht="18" customHeight="1" x14ac:dyDescent="0.3">
      <c r="B545" s="218">
        <v>45866</v>
      </c>
      <c r="C545" s="169">
        <f>YEAR(Finance[[#This Row],[Date]])</f>
        <v>2025</v>
      </c>
      <c r="D545" s="243">
        <f>MONTH(Finance[[#This Row],[Date]])</f>
        <v>7</v>
      </c>
      <c r="E545" s="6" t="s">
        <v>630</v>
      </c>
      <c r="F545" s="39" t="s">
        <v>84</v>
      </c>
      <c r="G545" s="39" t="s">
        <v>90</v>
      </c>
      <c r="H545" s="48" t="s">
        <v>143</v>
      </c>
      <c r="I545" s="149" t="s">
        <v>175</v>
      </c>
      <c r="J545" s="131">
        <v>2</v>
      </c>
      <c r="K545" s="193"/>
      <c r="L545" s="194"/>
      <c r="M545" s="195"/>
      <c r="N545" s="195"/>
      <c r="O545" s="196"/>
      <c r="P545" s="196"/>
      <c r="Q545" s="195"/>
      <c r="R545" s="66">
        <f>70750.3+0.5</f>
        <v>70750.8</v>
      </c>
      <c r="S545" s="244"/>
      <c r="T545" s="102">
        <f>SUM(Finance[[#This Row],[Samer]:[Margins]])</f>
        <v>70750.8</v>
      </c>
      <c r="U545" s="103">
        <f>ABS(Finance[[#This Row],[Total (EGP)]])</f>
        <v>70750.8</v>
      </c>
      <c r="V545" s="245"/>
    </row>
    <row r="546" spans="2:22" ht="18" customHeight="1" x14ac:dyDescent="0.3">
      <c r="B546" s="218">
        <v>45866</v>
      </c>
      <c r="C546" s="169">
        <f>YEAR(Finance[[#This Row],[Date]])</f>
        <v>2025</v>
      </c>
      <c r="D546" s="243">
        <f>MONTH(Finance[[#This Row],[Date]])</f>
        <v>7</v>
      </c>
      <c r="E546" s="6" t="s">
        <v>221</v>
      </c>
      <c r="F546" s="39" t="s">
        <v>29</v>
      </c>
      <c r="G546" s="6" t="s">
        <v>95</v>
      </c>
      <c r="H546" s="48" t="s">
        <v>194</v>
      </c>
      <c r="I546" s="135" t="s">
        <v>175</v>
      </c>
      <c r="J546" s="136">
        <v>3</v>
      </c>
      <c r="K546" s="193"/>
      <c r="L546" s="194"/>
      <c r="M546" s="195"/>
      <c r="N546" s="195"/>
      <c r="O546" s="196"/>
      <c r="P546" s="196"/>
      <c r="Q546" s="195"/>
      <c r="R546" s="195">
        <f>83890*0.0107001</f>
        <v>897.63138900000001</v>
      </c>
      <c r="S546" s="244"/>
      <c r="T546" s="102">
        <f>SUM(Finance[[#This Row],[Samer]:[Margins]])</f>
        <v>897.63138900000001</v>
      </c>
      <c r="U546" s="103">
        <f>ABS(Finance[[#This Row],[Total (EGP)]])</f>
        <v>897.63138900000001</v>
      </c>
      <c r="V546" s="245"/>
    </row>
    <row r="547" spans="2:22" ht="18" customHeight="1" x14ac:dyDescent="0.3">
      <c r="B547" s="218">
        <v>45866</v>
      </c>
      <c r="C547" s="169">
        <f>YEAR(Finance[[#This Row],[Date]])</f>
        <v>2025</v>
      </c>
      <c r="D547" s="243">
        <f>MONTH(Finance[[#This Row],[Date]])</f>
        <v>7</v>
      </c>
      <c r="E547" s="6" t="s">
        <v>631</v>
      </c>
      <c r="F547" s="39" t="s">
        <v>84</v>
      </c>
      <c r="G547" s="6" t="s">
        <v>85</v>
      </c>
      <c r="H547" s="48" t="s">
        <v>222</v>
      </c>
      <c r="I547" s="135" t="s">
        <v>175</v>
      </c>
      <c r="J547" s="136">
        <v>3</v>
      </c>
      <c r="K547" s="193"/>
      <c r="L547" s="194"/>
      <c r="M547" s="195"/>
      <c r="N547" s="195"/>
      <c r="O547" s="196"/>
      <c r="P547" s="196"/>
      <c r="Q547" s="195"/>
      <c r="R547" s="195">
        <v>9851</v>
      </c>
      <c r="S547" s="244"/>
      <c r="T547" s="102">
        <f>SUM(Finance[[#This Row],[Samer]:[Margins]])</f>
        <v>9851</v>
      </c>
      <c r="U547" s="103">
        <f>ABS(Finance[[#This Row],[Total (EGP)]])</f>
        <v>9851</v>
      </c>
      <c r="V547" s="245"/>
    </row>
    <row r="548" spans="2:22" ht="18" customHeight="1" x14ac:dyDescent="0.3">
      <c r="B548" s="218">
        <v>45866</v>
      </c>
      <c r="C548" s="169">
        <f>YEAR(Finance[[#This Row],[Date]])</f>
        <v>2025</v>
      </c>
      <c r="D548" s="200">
        <f>MONTH(Finance[[#This Row],[Date]])</f>
        <v>7</v>
      </c>
      <c r="E548" s="6" t="s">
        <v>223</v>
      </c>
      <c r="F548" s="39" t="s">
        <v>29</v>
      </c>
      <c r="G548" s="6" t="s">
        <v>95</v>
      </c>
      <c r="H548" s="48" t="s">
        <v>194</v>
      </c>
      <c r="I548" s="135" t="s">
        <v>175</v>
      </c>
      <c r="J548" s="136">
        <v>3</v>
      </c>
      <c r="K548" s="193"/>
      <c r="L548" s="194"/>
      <c r="M548" s="195"/>
      <c r="N548" s="195"/>
      <c r="O548" s="196"/>
      <c r="P548" s="196"/>
      <c r="Q548" s="195"/>
      <c r="R548" s="195">
        <f>+R547*0.0107001</f>
        <v>105.4066851</v>
      </c>
      <c r="S548" s="205"/>
      <c r="T548" s="102">
        <f>SUM(Finance[[#This Row],[Samer]:[Margins]])</f>
        <v>105.4066851</v>
      </c>
      <c r="U548" s="103">
        <f>ABS(Finance[[#This Row],[Total (EGP)]])</f>
        <v>105.4066851</v>
      </c>
      <c r="V548" s="206"/>
    </row>
    <row r="549" spans="2:22" ht="18" customHeight="1" x14ac:dyDescent="0.3">
      <c r="B549" s="187">
        <v>45866</v>
      </c>
      <c r="C549" s="169">
        <f>YEAR(Finance[[#This Row],[Date]])</f>
        <v>2025</v>
      </c>
      <c r="D549" s="200">
        <f>MONTH(Finance[[#This Row],[Date]])</f>
        <v>7</v>
      </c>
      <c r="E549" s="6" t="s">
        <v>637</v>
      </c>
      <c r="F549" s="6" t="s">
        <v>73</v>
      </c>
      <c r="G549" s="6" t="s">
        <v>103</v>
      </c>
      <c r="H549" s="134" t="s">
        <v>199</v>
      </c>
      <c r="I549" s="135" t="s">
        <v>200</v>
      </c>
      <c r="J549" s="136">
        <v>4</v>
      </c>
      <c r="K549" s="175"/>
      <c r="L549" s="176"/>
      <c r="M549" s="177"/>
      <c r="N549" s="177"/>
      <c r="O549" s="178"/>
      <c r="P549" s="178"/>
      <c r="Q549" s="177"/>
      <c r="R549" s="177">
        <v>-13125</v>
      </c>
      <c r="S549" s="244"/>
      <c r="T549" s="102">
        <f>SUM(Finance[[#This Row],[Samer]:[Margins]])</f>
        <v>-13125</v>
      </c>
      <c r="U549" s="103">
        <f>ABS(Finance[[#This Row],[Total (EGP)]])</f>
        <v>13125</v>
      </c>
      <c r="V549" s="245"/>
    </row>
    <row r="550" spans="2:22" ht="18" customHeight="1" x14ac:dyDescent="0.3">
      <c r="B550" s="187">
        <v>45866</v>
      </c>
      <c r="C550" s="169">
        <f>YEAR(Finance[[#This Row],[Date]])</f>
        <v>2025</v>
      </c>
      <c r="D550" s="200">
        <f>MONTH(Finance[[#This Row],[Date]])</f>
        <v>7</v>
      </c>
      <c r="E550" s="6" t="s">
        <v>374</v>
      </c>
      <c r="F550" s="6" t="s">
        <v>73</v>
      </c>
      <c r="G550" s="6" t="s">
        <v>103</v>
      </c>
      <c r="H550" s="134" t="s">
        <v>90</v>
      </c>
      <c r="I550" s="135" t="s">
        <v>200</v>
      </c>
      <c r="J550" s="136">
        <v>4</v>
      </c>
      <c r="K550" s="175"/>
      <c r="L550" s="176"/>
      <c r="M550" s="177"/>
      <c r="N550" s="177"/>
      <c r="O550" s="178"/>
      <c r="P550" s="178"/>
      <c r="Q550" s="177"/>
      <c r="R550" s="177">
        <f>-13125*0.14</f>
        <v>-1837.5000000000002</v>
      </c>
      <c r="S550" s="244"/>
      <c r="T550" s="102">
        <f>SUM(Finance[[#This Row],[Samer]:[Margins]])</f>
        <v>-1837.5000000000002</v>
      </c>
      <c r="U550" s="103">
        <f>ABS(Finance[[#This Row],[Total (EGP)]])</f>
        <v>1837.5000000000002</v>
      </c>
      <c r="V550" s="245"/>
    </row>
    <row r="551" spans="2:22" ht="18" customHeight="1" x14ac:dyDescent="0.3">
      <c r="B551" s="187">
        <v>45866</v>
      </c>
      <c r="C551" s="169">
        <f>YEAR(Finance[[#This Row],[Date]])</f>
        <v>2025</v>
      </c>
      <c r="D551" s="200">
        <f>MONTH(Finance[[#This Row],[Date]])</f>
        <v>7</v>
      </c>
      <c r="E551" s="6" t="s">
        <v>375</v>
      </c>
      <c r="F551" s="6" t="s">
        <v>84</v>
      </c>
      <c r="G551" s="6" t="s">
        <v>86</v>
      </c>
      <c r="H551" s="134" t="s">
        <v>199</v>
      </c>
      <c r="I551" s="135" t="s">
        <v>200</v>
      </c>
      <c r="J551" s="136">
        <v>4</v>
      </c>
      <c r="K551" s="175"/>
      <c r="L551" s="176"/>
      <c r="M551" s="177"/>
      <c r="N551" s="177"/>
      <c r="O551" s="178"/>
      <c r="P551" s="178"/>
      <c r="Q551" s="177"/>
      <c r="R551" s="177">
        <f>13125*0.03</f>
        <v>393.75</v>
      </c>
      <c r="S551" s="244"/>
      <c r="T551" s="102">
        <f>SUM(Finance[[#This Row],[Samer]:[Margins]])</f>
        <v>393.75</v>
      </c>
      <c r="U551" s="103">
        <f>ABS(Finance[[#This Row],[Total (EGP)]])</f>
        <v>393.75</v>
      </c>
      <c r="V551" s="245"/>
    </row>
    <row r="552" spans="2:22" ht="18" customHeight="1" x14ac:dyDescent="0.3">
      <c r="B552" s="187">
        <v>45866</v>
      </c>
      <c r="C552" s="169">
        <f>YEAR(Finance[[#This Row],[Date]])</f>
        <v>2025</v>
      </c>
      <c r="D552" s="200">
        <f>MONTH(Finance[[#This Row],[Date]])</f>
        <v>7</v>
      </c>
      <c r="E552" s="6" t="s">
        <v>244</v>
      </c>
      <c r="F552" s="6" t="s">
        <v>29</v>
      </c>
      <c r="G552" s="6" t="s">
        <v>95</v>
      </c>
      <c r="H552" s="134" t="s">
        <v>194</v>
      </c>
      <c r="I552" s="135" t="s">
        <v>200</v>
      </c>
      <c r="J552" s="136">
        <v>3</v>
      </c>
      <c r="K552" s="175"/>
      <c r="L552" s="176"/>
      <c r="M552" s="177"/>
      <c r="N552" s="177"/>
      <c r="O552" s="178"/>
      <c r="P552" s="178"/>
      <c r="Q552" s="177"/>
      <c r="R552" s="177">
        <v>10</v>
      </c>
      <c r="S552" s="244"/>
      <c r="T552" s="102">
        <f>SUM(Finance[[#This Row],[Samer]:[Margins]])</f>
        <v>10</v>
      </c>
      <c r="U552" s="103">
        <f>ABS(Finance[[#This Row],[Total (EGP)]])</f>
        <v>10</v>
      </c>
      <c r="V552" s="245"/>
    </row>
    <row r="553" spans="2:22" ht="18" customHeight="1" x14ac:dyDescent="0.3">
      <c r="B553" s="218">
        <v>45867</v>
      </c>
      <c r="C553" s="169">
        <f>YEAR(Finance[[#This Row],[Date]])</f>
        <v>2025</v>
      </c>
      <c r="D553" s="200">
        <f>MONTH(Finance[[#This Row],[Date]])</f>
        <v>7</v>
      </c>
      <c r="E553" s="39" t="s">
        <v>633</v>
      </c>
      <c r="F553" s="39" t="s">
        <v>73</v>
      </c>
      <c r="G553" s="39" t="s">
        <v>93</v>
      </c>
      <c r="H553" s="48" t="s">
        <v>199</v>
      </c>
      <c r="I553" s="114" t="s">
        <v>635</v>
      </c>
      <c r="J553" s="225">
        <v>4</v>
      </c>
      <c r="K553" s="201"/>
      <c r="L553" s="202"/>
      <c r="M553" s="203"/>
      <c r="N553" s="203"/>
      <c r="O553" s="204"/>
      <c r="P553" s="204"/>
      <c r="Q553" s="203"/>
      <c r="R553" s="203">
        <f>-2625-1750-875-0.5</f>
        <v>-5250.5</v>
      </c>
      <c r="S553" s="205"/>
      <c r="T553" s="102">
        <f>SUM(Finance[[#This Row],[Samer]:[Margins]])</f>
        <v>-5250.5</v>
      </c>
      <c r="U553" s="103">
        <f>ABS(Finance[[#This Row],[Total (EGP)]])</f>
        <v>5250.5</v>
      </c>
      <c r="V553" s="206"/>
    </row>
    <row r="554" spans="2:22" ht="18" customHeight="1" x14ac:dyDescent="0.3">
      <c r="B554" s="218">
        <v>45867</v>
      </c>
      <c r="C554" s="169">
        <f>YEAR(Finance[[#This Row],[Date]])</f>
        <v>2025</v>
      </c>
      <c r="D554" s="200">
        <f>MONTH(Finance[[#This Row],[Date]])</f>
        <v>7</v>
      </c>
      <c r="E554" s="6" t="s">
        <v>634</v>
      </c>
      <c r="F554" s="6" t="s">
        <v>73</v>
      </c>
      <c r="G554" s="6" t="s">
        <v>93</v>
      </c>
      <c r="H554" s="134" t="s">
        <v>90</v>
      </c>
      <c r="I554" s="135" t="s">
        <v>635</v>
      </c>
      <c r="J554" s="136">
        <v>4</v>
      </c>
      <c r="K554" s="201"/>
      <c r="L554" s="202"/>
      <c r="M554" s="203"/>
      <c r="N554" s="203"/>
      <c r="O554" s="204"/>
      <c r="P554" s="204"/>
      <c r="Q554" s="203"/>
      <c r="R554" s="203">
        <f>-2625*0.14-1750*0.14-875*0.14</f>
        <v>-735.00000000000011</v>
      </c>
      <c r="S554" s="205"/>
      <c r="T554" s="102">
        <f>SUM(Finance[[#This Row],[Samer]:[Margins]])</f>
        <v>-735.00000000000011</v>
      </c>
      <c r="U554" s="103">
        <f>ABS(Finance[[#This Row],[Total (EGP)]])</f>
        <v>735.00000000000011</v>
      </c>
      <c r="V554" s="206"/>
    </row>
    <row r="555" spans="2:22" ht="18" customHeight="1" x14ac:dyDescent="0.3">
      <c r="B555" s="218">
        <v>45867</v>
      </c>
      <c r="C555" s="169">
        <f>YEAR(Finance[[#This Row],[Date]])</f>
        <v>2025</v>
      </c>
      <c r="D555" s="200">
        <f>MONTH(Finance[[#This Row],[Date]])</f>
        <v>7</v>
      </c>
      <c r="E555" s="6" t="s">
        <v>636</v>
      </c>
      <c r="F555" s="6" t="s">
        <v>84</v>
      </c>
      <c r="G555" s="6" t="s">
        <v>86</v>
      </c>
      <c r="H555" s="134" t="s">
        <v>199</v>
      </c>
      <c r="I555" s="135" t="s">
        <v>635</v>
      </c>
      <c r="J555" s="136">
        <v>4</v>
      </c>
      <c r="K555" s="201"/>
      <c r="L555" s="202"/>
      <c r="M555" s="203"/>
      <c r="N555" s="203"/>
      <c r="O555" s="204"/>
      <c r="P555" s="204"/>
      <c r="Q555" s="203"/>
      <c r="R555" s="203">
        <f>2625*0.03+1750*0.03+875*0.03</f>
        <v>157.5</v>
      </c>
      <c r="S555" s="205"/>
      <c r="T555" s="102">
        <f>SUM(Finance[[#This Row],[Samer]:[Margins]])</f>
        <v>157.5</v>
      </c>
      <c r="U555" s="103">
        <f>ABS(Finance[[#This Row],[Total (EGP)]])</f>
        <v>157.5</v>
      </c>
      <c r="V555" s="206"/>
    </row>
    <row r="556" spans="2:22" ht="18" customHeight="1" x14ac:dyDescent="0.3">
      <c r="B556" s="246">
        <v>45869</v>
      </c>
      <c r="C556" s="169">
        <f>YEAR(Finance[[#This Row],[Date]])</f>
        <v>2025</v>
      </c>
      <c r="D556" s="243">
        <f>MONTH(Finance[[#This Row],[Date]])</f>
        <v>7</v>
      </c>
      <c r="E556" s="171" t="s">
        <v>179</v>
      </c>
      <c r="F556" s="172" t="s">
        <v>37</v>
      </c>
      <c r="G556" s="172" t="s">
        <v>36</v>
      </c>
      <c r="H556" s="173" t="s">
        <v>181</v>
      </c>
      <c r="I556" s="181" t="s">
        <v>175</v>
      </c>
      <c r="J556" s="174">
        <v>0</v>
      </c>
      <c r="K556" s="175"/>
      <c r="L556" s="176">
        <v>-89689</v>
      </c>
      <c r="M556" s="177"/>
      <c r="N556" s="177"/>
      <c r="O556" s="178"/>
      <c r="P556" s="178"/>
      <c r="Q556" s="177"/>
      <c r="R556" s="177">
        <v>89689</v>
      </c>
      <c r="S556" s="244"/>
      <c r="T556" s="102">
        <f>SUM(Finance[[#This Row],[Samer]:[Margins]])</f>
        <v>0</v>
      </c>
      <c r="U556" s="103">
        <f>ABS(Finance[[#This Row],[Total (EGP)]])</f>
        <v>0</v>
      </c>
      <c r="V556" s="245"/>
    </row>
    <row r="557" spans="2:22" ht="18" customHeight="1" x14ac:dyDescent="0.3">
      <c r="B557" s="246">
        <v>45869</v>
      </c>
      <c r="C557" s="169">
        <f>YEAR(Finance[[#This Row],[Date]])</f>
        <v>2025</v>
      </c>
      <c r="D557" s="243">
        <f>MONTH(Finance[[#This Row],[Date]])</f>
        <v>7</v>
      </c>
      <c r="E557" s="39" t="s">
        <v>642</v>
      </c>
      <c r="F557" s="6" t="s">
        <v>34</v>
      </c>
      <c r="G557" s="6" t="s">
        <v>66</v>
      </c>
      <c r="H557" s="134" t="s">
        <v>210</v>
      </c>
      <c r="I557" s="135" t="s">
        <v>175</v>
      </c>
      <c r="J557" s="136">
        <v>1</v>
      </c>
      <c r="K557" s="31"/>
      <c r="L557" s="132">
        <f>90000*0.25</f>
        <v>22500</v>
      </c>
      <c r="M557" s="164"/>
      <c r="N557" s="164"/>
      <c r="O557" s="165"/>
      <c r="P557" s="165"/>
      <c r="Q557" s="145"/>
      <c r="R557" s="145">
        <f>38985.75+33320+30000*0.5+17996.8+25000</f>
        <v>130302.55</v>
      </c>
      <c r="S557" s="244"/>
      <c r="T557" s="102">
        <f>SUM(Finance[[#This Row],[Samer]:[Margins]])</f>
        <v>152802.54999999999</v>
      </c>
      <c r="U557" s="103">
        <f>ABS(Finance[[#This Row],[Total (EGP)]])</f>
        <v>152802.54999999999</v>
      </c>
      <c r="V557" s="245"/>
    </row>
    <row r="558" spans="2:22" ht="18" customHeight="1" x14ac:dyDescent="0.3">
      <c r="B558" s="246">
        <v>45869</v>
      </c>
      <c r="C558" s="169">
        <f>YEAR(Finance[[#This Row],[Date]])</f>
        <v>2025</v>
      </c>
      <c r="D558" s="243">
        <f>MONTH(Finance[[#This Row],[Date]])</f>
        <v>7</v>
      </c>
      <c r="E558" s="39" t="s">
        <v>643</v>
      </c>
      <c r="F558" s="6" t="s">
        <v>34</v>
      </c>
      <c r="G558" s="6" t="s">
        <v>66</v>
      </c>
      <c r="H558" s="134" t="s">
        <v>211</v>
      </c>
      <c r="I558" s="135" t="s">
        <v>175</v>
      </c>
      <c r="J558" s="136">
        <v>3</v>
      </c>
      <c r="K558" s="31"/>
      <c r="L558" s="132">
        <f>90000*0.3</f>
        <v>27000</v>
      </c>
      <c r="M558" s="164"/>
      <c r="N558" s="164"/>
      <c r="O558" s="165"/>
      <c r="P558" s="165"/>
      <c r="Q558" s="145"/>
      <c r="R558" s="145">
        <f>18331.95+12500+19500</f>
        <v>50331.95</v>
      </c>
      <c r="S558" s="244"/>
      <c r="T558" s="102">
        <f>SUM(Finance[[#This Row],[Samer]:[Margins]])</f>
        <v>77331.95</v>
      </c>
      <c r="U558" s="103">
        <f>ABS(Finance[[#This Row],[Total (EGP)]])</f>
        <v>77331.95</v>
      </c>
      <c r="V558" s="245"/>
    </row>
    <row r="559" spans="2:22" ht="18" customHeight="1" x14ac:dyDescent="0.3">
      <c r="B559" s="246">
        <v>45869</v>
      </c>
      <c r="C559" s="169">
        <f>YEAR(Finance[[#This Row],[Date]])</f>
        <v>2025</v>
      </c>
      <c r="D559" s="243">
        <f>MONTH(Finance[[#This Row],[Date]])</f>
        <v>7</v>
      </c>
      <c r="E559" s="39" t="s">
        <v>644</v>
      </c>
      <c r="F559" s="6" t="s">
        <v>34</v>
      </c>
      <c r="G559" s="6" t="s">
        <v>66</v>
      </c>
      <c r="H559" s="134" t="s">
        <v>212</v>
      </c>
      <c r="I559" s="135" t="s">
        <v>175</v>
      </c>
      <c r="J559" s="136">
        <v>4</v>
      </c>
      <c r="K559" s="31"/>
      <c r="L559" s="132">
        <f>90000*0.2</f>
        <v>18000</v>
      </c>
      <c r="M559" s="164"/>
      <c r="N559" s="164"/>
      <c r="O559" s="165"/>
      <c r="P559" s="165"/>
      <c r="Q559" s="145"/>
      <c r="R559" s="145">
        <f>22213.4+30000*0.5+16800</f>
        <v>54013.4</v>
      </c>
      <c r="S559" s="244"/>
      <c r="T559" s="102">
        <f>SUM(Finance[[#This Row],[Samer]:[Margins]])</f>
        <v>72013.399999999994</v>
      </c>
      <c r="U559" s="103">
        <f>ABS(Finance[[#This Row],[Total (EGP)]])</f>
        <v>72013.399999999994</v>
      </c>
      <c r="V559" s="245"/>
    </row>
    <row r="560" spans="2:22" ht="18" customHeight="1" x14ac:dyDescent="0.3">
      <c r="B560" s="246">
        <v>45869</v>
      </c>
      <c r="C560" s="169">
        <f>YEAR(Finance[[#This Row],[Date]])</f>
        <v>2025</v>
      </c>
      <c r="D560" s="243">
        <f>MONTH(Finance[[#This Row],[Date]])</f>
        <v>7</v>
      </c>
      <c r="E560" s="39" t="s">
        <v>645</v>
      </c>
      <c r="F560" s="6" t="s">
        <v>34</v>
      </c>
      <c r="G560" s="6" t="s">
        <v>66</v>
      </c>
      <c r="H560" s="134" t="s">
        <v>209</v>
      </c>
      <c r="I560" s="135" t="s">
        <v>175</v>
      </c>
      <c r="J560" s="136">
        <v>2</v>
      </c>
      <c r="K560" s="31"/>
      <c r="L560" s="132">
        <f>90000*0.25</f>
        <v>22500</v>
      </c>
      <c r="M560" s="164"/>
      <c r="N560" s="164"/>
      <c r="O560" s="165"/>
      <c r="P560" s="165"/>
      <c r="Q560" s="145"/>
      <c r="R560" s="145">
        <f>39100+16763.7+12740+13535.2</f>
        <v>82138.899999999994</v>
      </c>
      <c r="S560" s="244"/>
      <c r="T560" s="102">
        <f>SUM(Finance[[#This Row],[Samer]:[Margins]])</f>
        <v>104638.9</v>
      </c>
      <c r="U560" s="103">
        <f>ABS(Finance[[#This Row],[Total (EGP)]])</f>
        <v>104638.9</v>
      </c>
      <c r="V560" s="245"/>
    </row>
    <row r="561" spans="2:22" ht="18" customHeight="1" x14ac:dyDescent="0.3">
      <c r="B561" s="246">
        <v>45869</v>
      </c>
      <c r="C561" s="169">
        <f>YEAR(Finance[[#This Row],[Date]])</f>
        <v>2025</v>
      </c>
      <c r="D561" s="243">
        <f>MONTH(Finance[[#This Row],[Date]])</f>
        <v>7</v>
      </c>
      <c r="E561" s="39" t="s">
        <v>710</v>
      </c>
      <c r="F561" s="39" t="s">
        <v>29</v>
      </c>
      <c r="G561" s="39" t="s">
        <v>213</v>
      </c>
      <c r="H561" s="48" t="s">
        <v>214</v>
      </c>
      <c r="I561" s="114" t="s">
        <v>175</v>
      </c>
      <c r="J561" s="131">
        <v>3</v>
      </c>
      <c r="K561" s="31"/>
      <c r="L561" s="132">
        <v>-311</v>
      </c>
      <c r="M561" s="164"/>
      <c r="N561" s="164"/>
      <c r="O561" s="165"/>
      <c r="P561" s="165"/>
      <c r="Q561" s="145"/>
      <c r="R561" s="145">
        <f>-311*10-691</f>
        <v>-3801</v>
      </c>
      <c r="S561" s="244"/>
      <c r="T561" s="102">
        <f>SUM(Finance[[#This Row],[Samer]:[Margins]])</f>
        <v>-4112</v>
      </c>
      <c r="U561" s="103">
        <f>ABS(Finance[[#This Row],[Total (EGP)]])</f>
        <v>4112</v>
      </c>
      <c r="V561" s="245"/>
    </row>
    <row r="562" spans="2:22" ht="18" customHeight="1" x14ac:dyDescent="0.3">
      <c r="B562" s="246">
        <v>45869</v>
      </c>
      <c r="C562" s="169">
        <f>YEAR(Finance[[#This Row],[Date]])</f>
        <v>2025</v>
      </c>
      <c r="D562" s="243">
        <f>MONTH(Finance[[#This Row],[Date]])</f>
        <v>7</v>
      </c>
      <c r="E562" s="171" t="s">
        <v>179</v>
      </c>
      <c r="F562" s="172" t="s">
        <v>37</v>
      </c>
      <c r="G562" s="172" t="s">
        <v>36</v>
      </c>
      <c r="H562" s="173" t="s">
        <v>181</v>
      </c>
      <c r="I562" s="181" t="s">
        <v>175</v>
      </c>
      <c r="J562" s="174">
        <v>0</v>
      </c>
      <c r="K562" s="251"/>
      <c r="L562" s="252">
        <v>-145000</v>
      </c>
      <c r="M562" s="253"/>
      <c r="N562" s="253"/>
      <c r="O562" s="254"/>
      <c r="P562" s="254"/>
      <c r="Q562" s="253"/>
      <c r="R562" s="253">
        <v>145000</v>
      </c>
      <c r="S562" s="244"/>
      <c r="T562" s="102">
        <f>SUM(Finance[[#This Row],[Samer]:[Margins]])</f>
        <v>0</v>
      </c>
      <c r="U562" s="103">
        <f>ABS(Finance[[#This Row],[Total (EGP)]])</f>
        <v>0</v>
      </c>
      <c r="V562" s="245"/>
    </row>
    <row r="563" spans="2:22" ht="18" customHeight="1" x14ac:dyDescent="0.3">
      <c r="B563" s="246">
        <v>45869</v>
      </c>
      <c r="C563" s="169">
        <f>YEAR(Finance[[#This Row],[Date]])</f>
        <v>2025</v>
      </c>
      <c r="D563" s="243">
        <f>MONTH(Finance[[#This Row],[Date]])</f>
        <v>7</v>
      </c>
      <c r="E563" s="6" t="s">
        <v>254</v>
      </c>
      <c r="F563" s="172" t="s">
        <v>29</v>
      </c>
      <c r="G563" s="6" t="s">
        <v>55</v>
      </c>
      <c r="H563" s="134" t="s">
        <v>352</v>
      </c>
      <c r="I563" s="135" t="s">
        <v>175</v>
      </c>
      <c r="J563" s="136">
        <v>3</v>
      </c>
      <c r="K563" s="251"/>
      <c r="L563" s="252"/>
      <c r="M563" s="253"/>
      <c r="N563" s="253"/>
      <c r="O563" s="254"/>
      <c r="P563" s="254"/>
      <c r="Q563" s="253"/>
      <c r="R563" s="253"/>
      <c r="S563" s="244">
        <v>4073</v>
      </c>
      <c r="T563" s="102">
        <f>SUM(Finance[[#This Row],[Samer]:[Margins]])</f>
        <v>4073</v>
      </c>
      <c r="U563" s="103">
        <f>ABS(Finance[[#This Row],[Total (EGP)]])</f>
        <v>4073</v>
      </c>
      <c r="V563" s="245"/>
    </row>
    <row r="564" spans="2:22" ht="18" customHeight="1" x14ac:dyDescent="0.3">
      <c r="B564" s="246">
        <v>45869</v>
      </c>
      <c r="C564" s="169">
        <f>YEAR(Finance[[#This Row],[Date]])</f>
        <v>2025</v>
      </c>
      <c r="D564" s="243">
        <f>MONTH(Finance[[#This Row],[Date]])</f>
        <v>7</v>
      </c>
      <c r="E564" s="6" t="s">
        <v>101</v>
      </c>
      <c r="F564" s="39" t="s">
        <v>29</v>
      </c>
      <c r="G564" s="6" t="s">
        <v>101</v>
      </c>
      <c r="H564" s="134" t="s">
        <v>74</v>
      </c>
      <c r="I564" s="135" t="s">
        <v>175</v>
      </c>
      <c r="J564" s="136">
        <v>3</v>
      </c>
      <c r="K564" s="251"/>
      <c r="L564" s="252"/>
      <c r="M564" s="253"/>
      <c r="N564" s="253"/>
      <c r="O564" s="254"/>
      <c r="P564" s="254"/>
      <c r="Q564" s="253"/>
      <c r="R564" s="253"/>
      <c r="S564" s="244">
        <v>135</v>
      </c>
      <c r="T564" s="102">
        <f>SUM(Finance[[#This Row],[Samer]:[Margins]])</f>
        <v>135</v>
      </c>
      <c r="U564" s="103">
        <f>ABS(Finance[[#This Row],[Total (EGP)]])</f>
        <v>135</v>
      </c>
      <c r="V564" s="245"/>
    </row>
    <row r="565" spans="2:22" ht="18" customHeight="1" x14ac:dyDescent="0.3">
      <c r="B565" s="246">
        <v>45869</v>
      </c>
      <c r="C565" s="169">
        <f>YEAR(Finance[[#This Row],[Date]])</f>
        <v>2025</v>
      </c>
      <c r="D565" s="243">
        <f>MONTH(Finance[[#This Row],[Date]])</f>
        <v>7</v>
      </c>
      <c r="E565" s="39" t="s">
        <v>32</v>
      </c>
      <c r="F565" s="39" t="s">
        <v>29</v>
      </c>
      <c r="G565" s="6" t="s">
        <v>32</v>
      </c>
      <c r="H565" s="134" t="s">
        <v>142</v>
      </c>
      <c r="I565" s="135" t="s">
        <v>175</v>
      </c>
      <c r="J565" s="136">
        <v>3</v>
      </c>
      <c r="K565" s="251"/>
      <c r="L565" s="252"/>
      <c r="M565" s="253"/>
      <c r="N565" s="253"/>
      <c r="O565" s="254"/>
      <c r="P565" s="254"/>
      <c r="Q565" s="253"/>
      <c r="R565" s="253"/>
      <c r="S565" s="244">
        <v>35</v>
      </c>
      <c r="T565" s="102">
        <f>SUM(Finance[[#This Row],[Samer]:[Margins]])</f>
        <v>35</v>
      </c>
      <c r="U565" s="103">
        <f>ABS(Finance[[#This Row],[Total (EGP)]])</f>
        <v>35</v>
      </c>
      <c r="V565" s="245"/>
    </row>
    <row r="566" spans="2:22" ht="18" customHeight="1" x14ac:dyDescent="0.3">
      <c r="B566" s="246">
        <v>45869</v>
      </c>
      <c r="C566" s="169">
        <f>YEAR(Finance[[#This Row],[Date]])</f>
        <v>2025</v>
      </c>
      <c r="D566" s="243">
        <f>MONTH(Finance[[#This Row],[Date]])</f>
        <v>7</v>
      </c>
      <c r="E566" s="6" t="s">
        <v>167</v>
      </c>
      <c r="F566" s="6" t="s">
        <v>29</v>
      </c>
      <c r="G566" s="6" t="s">
        <v>55</v>
      </c>
      <c r="H566" s="134" t="s">
        <v>258</v>
      </c>
      <c r="I566" s="135" t="s">
        <v>175</v>
      </c>
      <c r="J566" s="136">
        <v>3</v>
      </c>
      <c r="K566" s="251"/>
      <c r="L566" s="252"/>
      <c r="M566" s="253"/>
      <c r="N566" s="253"/>
      <c r="O566" s="254"/>
      <c r="P566" s="254"/>
      <c r="Q566" s="253"/>
      <c r="R566" s="253"/>
      <c r="S566" s="244">
        <v>120</v>
      </c>
      <c r="T566" s="102">
        <f>SUM(Finance[[#This Row],[Samer]:[Margins]])</f>
        <v>120</v>
      </c>
      <c r="U566" s="103">
        <f>ABS(Finance[[#This Row],[Total (EGP)]])</f>
        <v>120</v>
      </c>
      <c r="V566" s="245"/>
    </row>
    <row r="567" spans="2:22" ht="18" customHeight="1" x14ac:dyDescent="0.3">
      <c r="B567" s="246">
        <v>45869</v>
      </c>
      <c r="C567" s="169">
        <f>YEAR(Finance[[#This Row],[Date]])</f>
        <v>2025</v>
      </c>
      <c r="D567" s="243">
        <f>MONTH(Finance[[#This Row],[Date]])</f>
        <v>7</v>
      </c>
      <c r="E567" s="153" t="s">
        <v>295</v>
      </c>
      <c r="F567" s="6" t="s">
        <v>29</v>
      </c>
      <c r="G567" s="6" t="s">
        <v>111</v>
      </c>
      <c r="H567" s="134" t="s">
        <v>296</v>
      </c>
      <c r="I567" s="114" t="s">
        <v>175</v>
      </c>
      <c r="J567" s="136">
        <v>3</v>
      </c>
      <c r="K567" s="201"/>
      <c r="L567" s="202"/>
      <c r="M567" s="253"/>
      <c r="N567" s="253"/>
      <c r="O567" s="254"/>
      <c r="P567" s="254"/>
      <c r="Q567" s="253"/>
      <c r="R567" s="253"/>
      <c r="S567" s="244">
        <v>500</v>
      </c>
      <c r="T567" s="102">
        <f>SUM(Finance[[#This Row],[Samer]:[Margins]])</f>
        <v>500</v>
      </c>
      <c r="U567" s="103">
        <f>ABS(Finance[[#This Row],[Total (EGP)]])</f>
        <v>500</v>
      </c>
      <c r="V567" s="245"/>
    </row>
    <row r="568" spans="2:22" ht="18" customHeight="1" x14ac:dyDescent="0.3">
      <c r="B568" s="246">
        <v>45869</v>
      </c>
      <c r="C568" s="169">
        <f>YEAR(Finance[[#This Row],[Date]])</f>
        <v>2025</v>
      </c>
      <c r="D568" s="243">
        <f>MONTH(Finance[[#This Row],[Date]])</f>
        <v>7</v>
      </c>
      <c r="E568" s="6" t="s">
        <v>622</v>
      </c>
      <c r="F568" s="6" t="s">
        <v>29</v>
      </c>
      <c r="G568" s="6" t="s">
        <v>56</v>
      </c>
      <c r="H568" s="134" t="s">
        <v>142</v>
      </c>
      <c r="I568" s="135" t="s">
        <v>175</v>
      </c>
      <c r="J568" s="250">
        <v>3</v>
      </c>
      <c r="K568" s="251"/>
      <c r="L568" s="252"/>
      <c r="M568" s="253"/>
      <c r="N568" s="253"/>
      <c r="O568" s="254"/>
      <c r="P568" s="254"/>
      <c r="Q568" s="253"/>
      <c r="R568" s="253"/>
      <c r="S568" s="244">
        <v>245</v>
      </c>
      <c r="T568" s="102">
        <f>SUM(Finance[[#This Row],[Samer]:[Margins]])</f>
        <v>245</v>
      </c>
      <c r="U568" s="103">
        <f>ABS(Finance[[#This Row],[Total (EGP)]])</f>
        <v>245</v>
      </c>
      <c r="V568" s="245"/>
    </row>
    <row r="569" spans="2:22" ht="18" customHeight="1" x14ac:dyDescent="0.3">
      <c r="B569" s="218">
        <v>45869</v>
      </c>
      <c r="C569" s="169">
        <f>YEAR(Finance[[#This Row],[Date]])</f>
        <v>2025</v>
      </c>
      <c r="D569" s="200">
        <f>MONTH(Finance[[#This Row],[Date]])</f>
        <v>7</v>
      </c>
      <c r="E569" s="39" t="s">
        <v>208</v>
      </c>
      <c r="F569" s="6" t="s">
        <v>30</v>
      </c>
      <c r="G569" s="6" t="s">
        <v>88</v>
      </c>
      <c r="H569" s="134" t="s">
        <v>209</v>
      </c>
      <c r="I569" s="135" t="s">
        <v>175</v>
      </c>
      <c r="J569" s="136">
        <v>2</v>
      </c>
      <c r="K569" s="143"/>
      <c r="L569" s="144">
        <f>32*325</f>
        <v>10400</v>
      </c>
      <c r="M569" s="203"/>
      <c r="N569" s="203"/>
      <c r="O569" s="204"/>
      <c r="P569" s="204"/>
      <c r="Q569" s="203"/>
      <c r="R569" s="203"/>
      <c r="S569" s="205"/>
      <c r="T569" s="102">
        <f>SUM(Finance[[#This Row],[Samer]:[Margins]])</f>
        <v>10400</v>
      </c>
      <c r="U569" s="103">
        <f>ABS(Finance[[#This Row],[Total (EGP)]])</f>
        <v>10400</v>
      </c>
      <c r="V569" s="206"/>
    </row>
    <row r="570" spans="2:22" ht="18" customHeight="1" x14ac:dyDescent="0.3">
      <c r="B570" s="246">
        <v>45869</v>
      </c>
      <c r="C570" s="169">
        <f>YEAR(Finance[[#This Row],[Date]])</f>
        <v>2025</v>
      </c>
      <c r="D570" s="243">
        <f>MONTH(Finance[[#This Row],[Date]])</f>
        <v>7</v>
      </c>
      <c r="E570" s="255" t="s">
        <v>625</v>
      </c>
      <c r="F570" s="39" t="s">
        <v>27</v>
      </c>
      <c r="G570" s="39" t="s">
        <v>50</v>
      </c>
      <c r="H570" s="39" t="s">
        <v>50</v>
      </c>
      <c r="I570" s="114" t="s">
        <v>175</v>
      </c>
      <c r="J570" s="131">
        <v>2</v>
      </c>
      <c r="K570" s="251"/>
      <c r="L570" s="252"/>
      <c r="M570" s="253"/>
      <c r="N570" s="253"/>
      <c r="O570" s="254"/>
      <c r="P570" s="254"/>
      <c r="Q570" s="253"/>
      <c r="R570" s="253"/>
      <c r="S570" s="244"/>
      <c r="T570" s="102">
        <f>SUM(Finance[[#This Row],[Samer]:[Margins]])</f>
        <v>0</v>
      </c>
      <c r="U570" s="103">
        <f>ABS(Finance[[#This Row],[Total (EGP)]])</f>
        <v>0</v>
      </c>
      <c r="V570" s="245"/>
    </row>
    <row r="571" spans="2:22" ht="18" customHeight="1" x14ac:dyDescent="0.3">
      <c r="B571" s="246">
        <v>45869</v>
      </c>
      <c r="C571" s="169">
        <f>YEAR(Finance[[#This Row],[Date]])</f>
        <v>2025</v>
      </c>
      <c r="D571" s="243">
        <f>MONTH(Finance[[#This Row],[Date]])</f>
        <v>7</v>
      </c>
      <c r="E571" s="133" t="s">
        <v>646</v>
      </c>
      <c r="F571" s="6" t="s">
        <v>34</v>
      </c>
      <c r="G571" s="6" t="s">
        <v>66</v>
      </c>
      <c r="H571" s="134" t="s">
        <v>272</v>
      </c>
      <c r="I571" s="114" t="s">
        <v>175</v>
      </c>
      <c r="J571" s="136">
        <v>5</v>
      </c>
      <c r="K571" s="251"/>
      <c r="L571" s="252">
        <v>10000</v>
      </c>
      <c r="M571" s="253"/>
      <c r="N571" s="253"/>
      <c r="O571" s="254"/>
      <c r="P571" s="254"/>
      <c r="Q571" s="253"/>
      <c r="R571" s="253"/>
      <c r="S571" s="244"/>
      <c r="T571" s="102">
        <f>SUM(Finance[[#This Row],[Samer]:[Margins]])</f>
        <v>10000</v>
      </c>
      <c r="U571" s="103">
        <f>ABS(Finance[[#This Row],[Total (EGP)]])</f>
        <v>10000</v>
      </c>
      <c r="V571" s="245"/>
    </row>
    <row r="572" spans="2:22" ht="18" customHeight="1" x14ac:dyDescent="0.3">
      <c r="B572" s="246">
        <v>45869</v>
      </c>
      <c r="C572" s="169">
        <f>YEAR(Finance[[#This Row],[Date]])</f>
        <v>2025</v>
      </c>
      <c r="D572" s="243">
        <f>MONTH(Finance[[#This Row],[Date]])</f>
        <v>7</v>
      </c>
      <c r="E572" s="133" t="s">
        <v>647</v>
      </c>
      <c r="F572" s="6" t="s">
        <v>34</v>
      </c>
      <c r="G572" s="6" t="s">
        <v>66</v>
      </c>
      <c r="H572" s="134"/>
      <c r="I572" s="114" t="s">
        <v>175</v>
      </c>
      <c r="J572" s="136">
        <v>5</v>
      </c>
      <c r="K572" s="251"/>
      <c r="L572" s="252">
        <v>12000</v>
      </c>
      <c r="M572" s="253"/>
      <c r="N572" s="253"/>
      <c r="O572" s="254"/>
      <c r="P572" s="254"/>
      <c r="Q572" s="253"/>
      <c r="R572" s="253"/>
      <c r="S572" s="244"/>
      <c r="T572" s="102">
        <f>SUM(Finance[[#This Row],[Samer]:[Margins]])</f>
        <v>12000</v>
      </c>
      <c r="U572" s="103">
        <f>ABS(Finance[[#This Row],[Total (EGP)]])</f>
        <v>12000</v>
      </c>
      <c r="V572" s="245"/>
    </row>
    <row r="573" spans="2:22" ht="18" customHeight="1" x14ac:dyDescent="0.3">
      <c r="B573" s="246">
        <v>45870</v>
      </c>
      <c r="C573" s="169">
        <f>YEAR(Finance[[#This Row],[Date]])</f>
        <v>2025</v>
      </c>
      <c r="D573" s="247">
        <f>MONTH(Finance[[#This Row],[Date]])</f>
        <v>8</v>
      </c>
      <c r="E573" s="39" t="s">
        <v>651</v>
      </c>
      <c r="F573" s="39" t="s">
        <v>30</v>
      </c>
      <c r="G573" s="39" t="s">
        <v>127</v>
      </c>
      <c r="H573" s="130" t="s">
        <v>176</v>
      </c>
      <c r="I573" s="114" t="s">
        <v>177</v>
      </c>
      <c r="J573" s="131">
        <v>1</v>
      </c>
      <c r="K573" s="31"/>
      <c r="L573" s="132">
        <f>57*56.46*1.25</f>
        <v>4022.7750000000005</v>
      </c>
      <c r="M573" s="253"/>
      <c r="N573" s="253"/>
      <c r="O573" s="254"/>
      <c r="P573" s="254"/>
      <c r="Q573" s="253"/>
      <c r="R573" s="253"/>
      <c r="S573" s="244"/>
      <c r="T573" s="102">
        <f>SUM(Finance[[#This Row],[Samer]:[Margins]])</f>
        <v>4022.7750000000005</v>
      </c>
      <c r="U573" s="103">
        <f>ABS(Finance[[#This Row],[Total (EGP)]])</f>
        <v>4022.7750000000005</v>
      </c>
      <c r="V573" s="245"/>
    </row>
    <row r="574" spans="2:22" ht="18" customHeight="1" x14ac:dyDescent="0.3">
      <c r="B574" s="246">
        <v>45870</v>
      </c>
      <c r="C574" s="169">
        <f>YEAR(Finance[[#This Row],[Date]])</f>
        <v>2025</v>
      </c>
      <c r="D574" s="247">
        <f>MONTH(Finance[[#This Row],[Date]])</f>
        <v>8</v>
      </c>
      <c r="E574" s="39" t="s">
        <v>652</v>
      </c>
      <c r="F574" s="39" t="s">
        <v>30</v>
      </c>
      <c r="G574" s="39" t="s">
        <v>109</v>
      </c>
      <c r="H574" s="130" t="s">
        <v>176</v>
      </c>
      <c r="I574" s="114" t="s">
        <v>177</v>
      </c>
      <c r="J574" s="131">
        <v>1</v>
      </c>
      <c r="K574" s="175"/>
      <c r="L574" s="176">
        <f>17.66*2*48.69*1.05</f>
        <v>1805.7173400000001</v>
      </c>
      <c r="M574" s="253"/>
      <c r="N574" s="253"/>
      <c r="O574" s="254"/>
      <c r="P574" s="254"/>
      <c r="Q574" s="253"/>
      <c r="R574" s="253"/>
      <c r="S574" s="244"/>
      <c r="T574" s="102">
        <f>SUM(Finance[[#This Row],[Samer]:[Margins]])</f>
        <v>1805.7173400000001</v>
      </c>
      <c r="U574" s="103">
        <f>ABS(Finance[[#This Row],[Total (EGP)]])</f>
        <v>1805.7173400000001</v>
      </c>
      <c r="V574" s="245"/>
    </row>
    <row r="575" spans="2:22" ht="18" customHeight="1" x14ac:dyDescent="0.3">
      <c r="B575" s="246">
        <v>45870</v>
      </c>
      <c r="C575" s="169">
        <f>YEAR(Finance[[#This Row],[Date]])</f>
        <v>2025</v>
      </c>
      <c r="D575" s="243">
        <f>MONTH(Finance[[#This Row],[Date]])</f>
        <v>8</v>
      </c>
      <c r="E575" s="39" t="s">
        <v>653</v>
      </c>
      <c r="F575" s="39" t="s">
        <v>29</v>
      </c>
      <c r="G575" s="39" t="s">
        <v>108</v>
      </c>
      <c r="H575" s="130" t="s">
        <v>182</v>
      </c>
      <c r="I575" s="114" t="s">
        <v>175</v>
      </c>
      <c r="J575" s="131">
        <v>4</v>
      </c>
      <c r="K575" s="201"/>
      <c r="L575" s="202">
        <f>280*48.69</f>
        <v>13633.199999999999</v>
      </c>
      <c r="M575" s="253"/>
      <c r="N575" s="253"/>
      <c r="O575" s="254"/>
      <c r="P575" s="254"/>
      <c r="Q575" s="253"/>
      <c r="R575" s="253"/>
      <c r="S575" s="244"/>
      <c r="T575" s="102">
        <f>SUM(Finance[[#This Row],[Samer]:[Margins]])</f>
        <v>13633.199999999999</v>
      </c>
      <c r="U575" s="103">
        <f>ABS(Finance[[#This Row],[Total (EGP)]])</f>
        <v>13633.199999999999</v>
      </c>
      <c r="V575" s="245"/>
    </row>
    <row r="576" spans="2:22" ht="18" customHeight="1" x14ac:dyDescent="0.3">
      <c r="B576" s="7">
        <v>45872</v>
      </c>
      <c r="C576" s="169">
        <f>YEAR(Finance[[#This Row],[Date]])</f>
        <v>2025</v>
      </c>
      <c r="D576" s="285">
        <f>MONTH(Finance[[#This Row],[Date]])</f>
        <v>8</v>
      </c>
      <c r="E576" s="6" t="s">
        <v>713</v>
      </c>
      <c r="F576" s="6" t="s">
        <v>29</v>
      </c>
      <c r="G576" s="6" t="s">
        <v>111</v>
      </c>
      <c r="H576" s="134" t="s">
        <v>259</v>
      </c>
      <c r="I576" s="135" t="s">
        <v>175</v>
      </c>
      <c r="J576" s="136">
        <v>3</v>
      </c>
      <c r="K576" s="31"/>
      <c r="L576" s="132"/>
      <c r="M576" s="96"/>
      <c r="N576" s="96"/>
      <c r="O576" s="75"/>
      <c r="P576" s="75"/>
      <c r="Q576" s="96"/>
      <c r="R576" s="96"/>
      <c r="S576" s="286">
        <v>20</v>
      </c>
      <c r="T576" s="102">
        <f>SUM(Finance[[#This Row],[Samer]:[Margins]])</f>
        <v>20</v>
      </c>
      <c r="U576" s="103">
        <f>ABS(Finance[[#This Row],[Total (EGP)]])</f>
        <v>20</v>
      </c>
      <c r="V576" s="287"/>
    </row>
    <row r="577" spans="2:22" ht="18" customHeight="1" x14ac:dyDescent="0.3">
      <c r="B577" s="246">
        <v>45874</v>
      </c>
      <c r="C577" s="169">
        <f>YEAR(Finance[[#This Row],[Date]])</f>
        <v>2025</v>
      </c>
      <c r="D577" s="243">
        <f>MONTH(Finance[[#This Row],[Date]])</f>
        <v>8</v>
      </c>
      <c r="E577" s="6" t="s">
        <v>654</v>
      </c>
      <c r="F577" s="6" t="s">
        <v>29</v>
      </c>
      <c r="G577" s="6" t="s">
        <v>108</v>
      </c>
      <c r="H577" s="134" t="s">
        <v>182</v>
      </c>
      <c r="I577" s="114" t="s">
        <v>175</v>
      </c>
      <c r="J577" s="136">
        <v>3</v>
      </c>
      <c r="K577" s="257"/>
      <c r="L577" s="132">
        <f>198*48.69*1.1</f>
        <v>10604.681999999999</v>
      </c>
      <c r="M577" s="253"/>
      <c r="N577" s="253"/>
      <c r="O577" s="254"/>
      <c r="P577" s="254"/>
      <c r="Q577" s="253"/>
      <c r="R577" s="253"/>
      <c r="S577" s="244"/>
      <c r="T577" s="102">
        <f>SUM(Finance[[#This Row],[Samer]:[Margins]])</f>
        <v>10604.681999999999</v>
      </c>
      <c r="U577" s="103">
        <f>ABS(Finance[[#This Row],[Total (EGP)]])</f>
        <v>10604.681999999999</v>
      </c>
      <c r="V577" s="245"/>
    </row>
    <row r="578" spans="2:22" ht="18" customHeight="1" x14ac:dyDescent="0.3">
      <c r="B578" s="246">
        <v>45874</v>
      </c>
      <c r="C578" s="169">
        <f>YEAR(Finance[[#This Row],[Date]])</f>
        <v>2025</v>
      </c>
      <c r="D578" s="243">
        <f>MONTH(Finance[[#This Row],[Date]])</f>
        <v>8</v>
      </c>
      <c r="E578" s="6" t="s">
        <v>655</v>
      </c>
      <c r="F578" s="6" t="s">
        <v>73</v>
      </c>
      <c r="G578" s="6" t="s">
        <v>93</v>
      </c>
      <c r="H578" s="134" t="s">
        <v>199</v>
      </c>
      <c r="I578" s="114" t="s">
        <v>369</v>
      </c>
      <c r="J578" s="136">
        <v>4</v>
      </c>
      <c r="K578" s="251"/>
      <c r="L578" s="259"/>
      <c r="M578" s="253"/>
      <c r="N578" s="253"/>
      <c r="O578" s="254"/>
      <c r="P578" s="254"/>
      <c r="Q578" s="253"/>
      <c r="R578" s="253">
        <v>-11375</v>
      </c>
      <c r="S578" s="244"/>
      <c r="T578" s="102">
        <f>SUM(Finance[[#This Row],[Samer]:[Margins]])</f>
        <v>-11375</v>
      </c>
      <c r="U578" s="103">
        <f>ABS(Finance[[#This Row],[Total (EGP)]])</f>
        <v>11375</v>
      </c>
      <c r="V578" s="245"/>
    </row>
    <row r="579" spans="2:22" ht="18" customHeight="1" x14ac:dyDescent="0.3">
      <c r="B579" s="246">
        <v>45874</v>
      </c>
      <c r="C579" s="169">
        <f>YEAR(Finance[[#This Row],[Date]])</f>
        <v>2025</v>
      </c>
      <c r="D579" s="243">
        <f>MONTH(Finance[[#This Row],[Date]])</f>
        <v>8</v>
      </c>
      <c r="E579" s="6" t="s">
        <v>638</v>
      </c>
      <c r="F579" s="6" t="s">
        <v>73</v>
      </c>
      <c r="G579" s="6" t="s">
        <v>93</v>
      </c>
      <c r="H579" s="134" t="s">
        <v>90</v>
      </c>
      <c r="I579" s="114" t="s">
        <v>369</v>
      </c>
      <c r="J579" s="136">
        <v>4</v>
      </c>
      <c r="K579" s="251"/>
      <c r="L579" s="252"/>
      <c r="M579" s="253"/>
      <c r="N579" s="253"/>
      <c r="O579" s="254"/>
      <c r="P579" s="254"/>
      <c r="Q579" s="253"/>
      <c r="R579" s="253">
        <f>-11375*0.14</f>
        <v>-1592.5000000000002</v>
      </c>
      <c r="S579" s="244"/>
      <c r="T579" s="102">
        <f>SUM(Finance[[#This Row],[Samer]:[Margins]])</f>
        <v>-1592.5000000000002</v>
      </c>
      <c r="U579" s="103">
        <f>ABS(Finance[[#This Row],[Total (EGP)]])</f>
        <v>1592.5000000000002</v>
      </c>
      <c r="V579" s="245"/>
    </row>
    <row r="580" spans="2:22" ht="18" customHeight="1" x14ac:dyDescent="0.3">
      <c r="B580" s="246">
        <v>45874</v>
      </c>
      <c r="C580" s="169">
        <f>YEAR(Finance[[#This Row],[Date]])</f>
        <v>2025</v>
      </c>
      <c r="D580" s="243">
        <f>MONTH(Finance[[#This Row],[Date]])</f>
        <v>8</v>
      </c>
      <c r="E580" s="6" t="s">
        <v>639</v>
      </c>
      <c r="F580" s="6" t="s">
        <v>84</v>
      </c>
      <c r="G580" s="6" t="s">
        <v>86</v>
      </c>
      <c r="H580" s="134" t="s">
        <v>199</v>
      </c>
      <c r="I580" s="114" t="s">
        <v>369</v>
      </c>
      <c r="J580" s="136">
        <v>4</v>
      </c>
      <c r="K580" s="251"/>
      <c r="L580" s="252"/>
      <c r="M580" s="253"/>
      <c r="N580" s="253"/>
      <c r="O580" s="254"/>
      <c r="P580" s="254"/>
      <c r="Q580" s="253"/>
      <c r="R580" s="253">
        <f>11375*0.03</f>
        <v>341.25</v>
      </c>
      <c r="S580" s="244"/>
      <c r="T580" s="102">
        <f>SUM(Finance[[#This Row],[Samer]:[Margins]])</f>
        <v>341.25</v>
      </c>
      <c r="U580" s="103">
        <f>ABS(Finance[[#This Row],[Total (EGP)]])</f>
        <v>341.25</v>
      </c>
      <c r="V580" s="245"/>
    </row>
    <row r="581" spans="2:22" ht="18" customHeight="1" x14ac:dyDescent="0.3">
      <c r="B581" s="246">
        <v>45874</v>
      </c>
      <c r="C581" s="169">
        <f>YEAR(Finance[[#This Row],[Date]])</f>
        <v>2025</v>
      </c>
      <c r="D581" s="243">
        <f>MONTH(Finance[[#This Row],[Date]])</f>
        <v>8</v>
      </c>
      <c r="E581" s="6" t="s">
        <v>370</v>
      </c>
      <c r="F581" s="6" t="s">
        <v>29</v>
      </c>
      <c r="G581" s="6" t="s">
        <v>95</v>
      </c>
      <c r="H581" s="134" t="s">
        <v>194</v>
      </c>
      <c r="I581" s="114" t="s">
        <v>369</v>
      </c>
      <c r="J581" s="136">
        <v>3</v>
      </c>
      <c r="K581" s="251"/>
      <c r="L581" s="252"/>
      <c r="M581" s="253"/>
      <c r="N581" s="253"/>
      <c r="O581" s="254"/>
      <c r="P581" s="254"/>
      <c r="Q581" s="253"/>
      <c r="R581" s="253">
        <v>10</v>
      </c>
      <c r="S581" s="244"/>
      <c r="T581" s="102">
        <f>SUM(Finance[[#This Row],[Samer]:[Margins]])</f>
        <v>10</v>
      </c>
      <c r="U581" s="103">
        <f>ABS(Finance[[#This Row],[Total (EGP)]])</f>
        <v>10</v>
      </c>
      <c r="V581" s="245"/>
    </row>
    <row r="582" spans="2:22" ht="18" customHeight="1" x14ac:dyDescent="0.3">
      <c r="B582" s="246">
        <v>45874</v>
      </c>
      <c r="C582" s="169">
        <f>YEAR(Finance[[#This Row],[Date]])</f>
        <v>2025</v>
      </c>
      <c r="D582" s="243">
        <f>MONTH(Finance[[#This Row],[Date]])</f>
        <v>8</v>
      </c>
      <c r="E582" s="39" t="s">
        <v>656</v>
      </c>
      <c r="F582" s="39" t="s">
        <v>30</v>
      </c>
      <c r="G582" s="39" t="s">
        <v>127</v>
      </c>
      <c r="H582" s="248"/>
      <c r="I582" s="114" t="s">
        <v>175</v>
      </c>
      <c r="J582" s="250"/>
      <c r="K582" s="251"/>
      <c r="L582" s="252">
        <f>107.88*48.4*1.05</f>
        <v>5482.4615999999996</v>
      </c>
      <c r="M582" s="253"/>
      <c r="N582" s="253"/>
      <c r="O582" s="254"/>
      <c r="P582" s="254"/>
      <c r="Q582" s="253"/>
      <c r="R582" s="253"/>
      <c r="S582" s="244"/>
      <c r="T582" s="102">
        <f>SUM(Finance[[#This Row],[Samer]:[Margins]])</f>
        <v>5482.4615999999996</v>
      </c>
      <c r="U582" s="103">
        <f>ABS(Finance[[#This Row],[Total (EGP)]])</f>
        <v>5482.4615999999996</v>
      </c>
      <c r="V582" s="245"/>
    </row>
    <row r="583" spans="2:22" ht="18" customHeight="1" x14ac:dyDescent="0.3">
      <c r="B583" s="246">
        <v>45874</v>
      </c>
      <c r="C583" s="169">
        <f>YEAR(Finance[[#This Row],[Date]])</f>
        <v>2025</v>
      </c>
      <c r="D583" s="243">
        <f>MONTH(Finance[[#This Row],[Date]])</f>
        <v>8</v>
      </c>
      <c r="E583" s="6" t="s">
        <v>658</v>
      </c>
      <c r="F583" s="6" t="s">
        <v>73</v>
      </c>
      <c r="G583" s="6" t="s">
        <v>75</v>
      </c>
      <c r="H583" s="134" t="s">
        <v>62</v>
      </c>
      <c r="I583" s="135" t="s">
        <v>659</v>
      </c>
      <c r="J583" s="136">
        <v>4</v>
      </c>
      <c r="K583" s="260"/>
      <c r="L583" s="132">
        <f>-120*48.4*1.05</f>
        <v>-6098.4000000000005</v>
      </c>
      <c r="M583" s="253"/>
      <c r="N583" s="253"/>
      <c r="O583" s="254"/>
      <c r="P583" s="254"/>
      <c r="Q583" s="253"/>
      <c r="R583" s="253"/>
      <c r="S583" s="244"/>
      <c r="T583" s="102">
        <f>SUM(Finance[[#This Row],[Samer]:[Margins]])</f>
        <v>-6098.4000000000005</v>
      </c>
      <c r="U583" s="103">
        <f>ABS(Finance[[#This Row],[Total (EGP)]])</f>
        <v>6098.4000000000005</v>
      </c>
      <c r="V583" s="245"/>
    </row>
    <row r="584" spans="2:22" ht="18" customHeight="1" x14ac:dyDescent="0.3">
      <c r="B584" s="246">
        <v>45874</v>
      </c>
      <c r="C584" s="169">
        <f>YEAR(Finance[[#This Row],[Date]])</f>
        <v>2025</v>
      </c>
      <c r="D584" s="243">
        <f>MONTH(Finance[[#This Row],[Date]])</f>
        <v>8</v>
      </c>
      <c r="E584" s="6" t="s">
        <v>660</v>
      </c>
      <c r="F584" s="39" t="s">
        <v>30</v>
      </c>
      <c r="G584" s="39" t="s">
        <v>127</v>
      </c>
      <c r="H584" s="48" t="s">
        <v>176</v>
      </c>
      <c r="I584" s="135" t="s">
        <v>659</v>
      </c>
      <c r="J584" s="136">
        <v>4</v>
      </c>
      <c r="K584" s="260"/>
      <c r="L584" s="132">
        <f>107.88*48.4*1.05</f>
        <v>5482.4615999999996</v>
      </c>
      <c r="M584" s="253"/>
      <c r="N584" s="253"/>
      <c r="O584" s="254"/>
      <c r="P584" s="254"/>
      <c r="Q584" s="253"/>
      <c r="R584" s="253"/>
      <c r="S584" s="244"/>
      <c r="T584" s="102">
        <f>SUM(Finance[[#This Row],[Samer]:[Margins]])</f>
        <v>5482.4615999999996</v>
      </c>
      <c r="U584" s="103">
        <f>ABS(Finance[[#This Row],[Total (EGP)]])</f>
        <v>5482.4615999999996</v>
      </c>
      <c r="V584" s="245"/>
    </row>
    <row r="585" spans="2:22" ht="18" customHeight="1" x14ac:dyDescent="0.3">
      <c r="B585" s="7">
        <v>45876</v>
      </c>
      <c r="C585" s="169">
        <f>YEAR(Finance[[#This Row],[Date]])</f>
        <v>2025</v>
      </c>
      <c r="D585" s="285">
        <f>MONTH(Finance[[#This Row],[Date]])</f>
        <v>8</v>
      </c>
      <c r="E585" s="6" t="s">
        <v>262</v>
      </c>
      <c r="F585" s="6" t="s">
        <v>37</v>
      </c>
      <c r="G585" s="6" t="s">
        <v>36</v>
      </c>
      <c r="H585" s="134" t="s">
        <v>206</v>
      </c>
      <c r="I585" s="135" t="s">
        <v>175</v>
      </c>
      <c r="J585" s="136">
        <v>0</v>
      </c>
      <c r="K585" s="260"/>
      <c r="L585" s="132">
        <v>1000</v>
      </c>
      <c r="M585" s="96"/>
      <c r="N585" s="96"/>
      <c r="O585" s="75"/>
      <c r="P585" s="75"/>
      <c r="Q585" s="96"/>
      <c r="R585" s="96"/>
      <c r="S585" s="286">
        <v>-1000</v>
      </c>
      <c r="T585" s="102">
        <f>SUM(Finance[[#This Row],[Samer]:[Margins]])</f>
        <v>0</v>
      </c>
      <c r="U585" s="103">
        <f>ABS(Finance[[#This Row],[Total (EGP)]])</f>
        <v>0</v>
      </c>
      <c r="V585" s="287"/>
    </row>
    <row r="586" spans="2:22" ht="18" customHeight="1" x14ac:dyDescent="0.3">
      <c r="B586" s="269">
        <v>45876</v>
      </c>
      <c r="C586" s="169">
        <f>YEAR(Finance[[#This Row],[Date]])</f>
        <v>2025</v>
      </c>
      <c r="D586" s="39">
        <f>MONTH(Finance[[#This Row],[Date]])</f>
        <v>8</v>
      </c>
      <c r="E586" s="6" t="s">
        <v>682</v>
      </c>
      <c r="F586" s="6" t="s">
        <v>73</v>
      </c>
      <c r="G586" s="6" t="s">
        <v>93</v>
      </c>
      <c r="H586" s="134" t="s">
        <v>199</v>
      </c>
      <c r="I586" s="135" t="s">
        <v>200</v>
      </c>
      <c r="J586" s="136">
        <v>4</v>
      </c>
      <c r="K586" s="264"/>
      <c r="L586" s="138"/>
      <c r="M586" s="66"/>
      <c r="N586" s="66"/>
      <c r="O586" s="266"/>
      <c r="P586" s="266"/>
      <c r="Q586" s="66"/>
      <c r="R586" s="66">
        <v>-11217.5</v>
      </c>
      <c r="S586" s="267"/>
      <c r="T586" s="102">
        <f>SUM(Finance[[#This Row],[Samer]:[Margins]])</f>
        <v>-11217.5</v>
      </c>
      <c r="U586" s="103">
        <f>ABS(Finance[[#This Row],[Total (EGP)]])</f>
        <v>11217.5</v>
      </c>
      <c r="V586" s="268"/>
    </row>
    <row r="587" spans="2:22" ht="18" customHeight="1" x14ac:dyDescent="0.3">
      <c r="B587" s="246">
        <v>45876</v>
      </c>
      <c r="C587" s="169">
        <f>YEAR(Finance[[#This Row],[Date]])</f>
        <v>2025</v>
      </c>
      <c r="D587" s="243">
        <f>MONTH(Finance[[#This Row],[Date]])</f>
        <v>8</v>
      </c>
      <c r="E587" s="6" t="s">
        <v>374</v>
      </c>
      <c r="F587" s="6" t="s">
        <v>73</v>
      </c>
      <c r="G587" s="6" t="s">
        <v>93</v>
      </c>
      <c r="H587" s="134" t="s">
        <v>90</v>
      </c>
      <c r="I587" s="135" t="s">
        <v>200</v>
      </c>
      <c r="J587" s="136">
        <v>4</v>
      </c>
      <c r="K587" s="251"/>
      <c r="L587" s="252"/>
      <c r="M587" s="253"/>
      <c r="N587" s="253"/>
      <c r="O587" s="254"/>
      <c r="P587" s="254"/>
      <c r="Q587" s="253"/>
      <c r="R587" s="253">
        <f>-11217.5*0.14</f>
        <v>-1570.45</v>
      </c>
      <c r="S587" s="244"/>
      <c r="T587" s="102">
        <f>SUM(Finance[[#This Row],[Samer]:[Margins]])</f>
        <v>-1570.45</v>
      </c>
      <c r="U587" s="103">
        <f>ABS(Finance[[#This Row],[Total (EGP)]])</f>
        <v>1570.45</v>
      </c>
      <c r="V587" s="245"/>
    </row>
    <row r="588" spans="2:22" ht="18" customHeight="1" x14ac:dyDescent="0.3">
      <c r="B588" s="270">
        <v>45876</v>
      </c>
      <c r="C588" s="169">
        <f>YEAR(Finance[[#This Row],[Date]])</f>
        <v>2025</v>
      </c>
      <c r="D588" s="271">
        <f>MONTH(Finance[[#This Row],[Date]])</f>
        <v>8</v>
      </c>
      <c r="E588" s="6" t="s">
        <v>375</v>
      </c>
      <c r="F588" s="6" t="s">
        <v>84</v>
      </c>
      <c r="G588" s="6" t="s">
        <v>86</v>
      </c>
      <c r="H588" s="134" t="s">
        <v>199</v>
      </c>
      <c r="I588" s="135" t="s">
        <v>200</v>
      </c>
      <c r="J588" s="136">
        <v>4</v>
      </c>
      <c r="K588" s="276"/>
      <c r="L588" s="277"/>
      <c r="M588" s="278"/>
      <c r="N588" s="278"/>
      <c r="O588" s="279"/>
      <c r="P588" s="279"/>
      <c r="Q588" s="278"/>
      <c r="R588" s="278">
        <f>11217.5*0.03+0.01</f>
        <v>336.53499999999997</v>
      </c>
      <c r="S588" s="280"/>
      <c r="T588" s="102">
        <f>SUM(Finance[[#This Row],[Samer]:[Margins]])</f>
        <v>336.53499999999997</v>
      </c>
      <c r="U588" s="103">
        <f>ABS(Finance[[#This Row],[Total (EGP)]])</f>
        <v>336.53499999999997</v>
      </c>
      <c r="V588" s="281"/>
    </row>
    <row r="589" spans="2:22" ht="18" customHeight="1" x14ac:dyDescent="0.3">
      <c r="B589" s="270">
        <v>45876</v>
      </c>
      <c r="C589" s="169">
        <f>YEAR(Finance[[#This Row],[Date]])</f>
        <v>2025</v>
      </c>
      <c r="D589" s="271">
        <f>MONTH(Finance[[#This Row],[Date]])</f>
        <v>8</v>
      </c>
      <c r="E589" s="6" t="s">
        <v>244</v>
      </c>
      <c r="F589" s="6" t="s">
        <v>29</v>
      </c>
      <c r="G589" s="6" t="s">
        <v>95</v>
      </c>
      <c r="H589" s="134" t="s">
        <v>194</v>
      </c>
      <c r="I589" s="135" t="s">
        <v>200</v>
      </c>
      <c r="J589" s="136">
        <v>3</v>
      </c>
      <c r="K589" s="276"/>
      <c r="L589" s="277"/>
      <c r="M589" s="278"/>
      <c r="N589" s="278"/>
      <c r="O589" s="279"/>
      <c r="P589" s="279"/>
      <c r="Q589" s="278"/>
      <c r="R589" s="278">
        <v>10</v>
      </c>
      <c r="S589" s="280"/>
      <c r="T589" s="102">
        <f>SUM(Finance[[#This Row],[Samer]:[Margins]])</f>
        <v>10</v>
      </c>
      <c r="U589" s="103">
        <f>ABS(Finance[[#This Row],[Total (EGP)]])</f>
        <v>10</v>
      </c>
      <c r="V589" s="281"/>
    </row>
    <row r="590" spans="2:22" ht="18" customHeight="1" x14ac:dyDescent="0.3">
      <c r="B590" s="246">
        <v>45877</v>
      </c>
      <c r="C590" s="169">
        <f>YEAR(Finance[[#This Row],[Date]])</f>
        <v>2025</v>
      </c>
      <c r="D590" s="243">
        <f>MONTH(Finance[[#This Row],[Date]])</f>
        <v>8</v>
      </c>
      <c r="E590" s="6" t="s">
        <v>669</v>
      </c>
      <c r="F590" s="6" t="s">
        <v>29</v>
      </c>
      <c r="G590" s="6" t="s">
        <v>108</v>
      </c>
      <c r="H590" s="134" t="s">
        <v>182</v>
      </c>
      <c r="I590" s="135" t="s">
        <v>175</v>
      </c>
      <c r="J590" s="136">
        <v>1</v>
      </c>
      <c r="K590" s="31"/>
      <c r="L590" s="132">
        <v>599</v>
      </c>
      <c r="M590" s="253"/>
      <c r="N590" s="253"/>
      <c r="O590" s="254"/>
      <c r="P590" s="254"/>
      <c r="Q590" s="253"/>
      <c r="R590" s="253"/>
      <c r="S590" s="244"/>
      <c r="T590" s="102">
        <f>SUM(Finance[[#This Row],[Samer]:[Margins]])</f>
        <v>599</v>
      </c>
      <c r="U590" s="103">
        <f>ABS(Finance[[#This Row],[Total (EGP)]])</f>
        <v>599</v>
      </c>
      <c r="V590" s="245"/>
    </row>
    <row r="591" spans="2:22" ht="18" customHeight="1" x14ac:dyDescent="0.3">
      <c r="B591" s="246">
        <v>45879</v>
      </c>
      <c r="C591" s="169">
        <f>YEAR(Finance[[#This Row],[Date]])</f>
        <v>2025</v>
      </c>
      <c r="D591" s="243">
        <f>MONTH(Finance[[#This Row],[Date]])</f>
        <v>8</v>
      </c>
      <c r="E591" s="39" t="s">
        <v>674</v>
      </c>
      <c r="F591" s="39" t="s">
        <v>29</v>
      </c>
      <c r="G591" s="39" t="s">
        <v>108</v>
      </c>
      <c r="H591" s="48" t="s">
        <v>182</v>
      </c>
      <c r="I591" s="114" t="s">
        <v>175</v>
      </c>
      <c r="J591" s="250">
        <v>3</v>
      </c>
      <c r="K591" s="251"/>
      <c r="L591" s="138">
        <f>20*48.69*1.1</f>
        <v>1071.18</v>
      </c>
      <c r="M591" s="253"/>
      <c r="N591" s="253"/>
      <c r="O591" s="254"/>
      <c r="P591" s="254"/>
      <c r="Q591" s="253"/>
      <c r="R591" s="253"/>
      <c r="S591" s="244"/>
      <c r="T591" s="102">
        <f>SUM(Finance[[#This Row],[Samer]:[Margins]])</f>
        <v>1071.18</v>
      </c>
      <c r="U591" s="103">
        <f>ABS(Finance[[#This Row],[Total (EGP)]])</f>
        <v>1071.18</v>
      </c>
      <c r="V591" s="245"/>
    </row>
    <row r="592" spans="2:22" ht="18" customHeight="1" x14ac:dyDescent="0.3">
      <c r="B592" s="246">
        <v>45879</v>
      </c>
      <c r="C592" s="169">
        <f>YEAR(Finance[[#This Row],[Date]])</f>
        <v>2025</v>
      </c>
      <c r="D592" s="243">
        <f>MONTH(Finance[[#This Row],[Date]])</f>
        <v>8</v>
      </c>
      <c r="E592" s="39" t="s">
        <v>670</v>
      </c>
      <c r="F592" s="39" t="s">
        <v>30</v>
      </c>
      <c r="G592" s="6" t="s">
        <v>127</v>
      </c>
      <c r="H592" s="48" t="s">
        <v>176</v>
      </c>
      <c r="I592" s="135" t="s">
        <v>184</v>
      </c>
      <c r="J592" s="136">
        <v>4</v>
      </c>
      <c r="K592" s="136"/>
      <c r="L592" s="132">
        <f>78.28*48.55*1.25</f>
        <v>4750.6174999999994</v>
      </c>
      <c r="M592" s="253"/>
      <c r="N592" s="253"/>
      <c r="O592" s="254"/>
      <c r="P592" s="254"/>
      <c r="Q592" s="253"/>
      <c r="R592" s="253"/>
      <c r="S592" s="244"/>
      <c r="T592" s="102">
        <f>SUM(Finance[[#This Row],[Samer]:[Margins]])</f>
        <v>4750.6174999999994</v>
      </c>
      <c r="U592" s="103">
        <f>ABS(Finance[[#This Row],[Total (EGP)]])</f>
        <v>4750.6174999999994</v>
      </c>
      <c r="V592" s="245"/>
    </row>
    <row r="593" spans="2:22" ht="18" customHeight="1" x14ac:dyDescent="0.3">
      <c r="B593" s="246">
        <v>45879</v>
      </c>
      <c r="C593" s="169">
        <f>YEAR(Finance[[#This Row],[Date]])</f>
        <v>2025</v>
      </c>
      <c r="D593" s="243">
        <f>MONTH(Finance[[#This Row],[Date]])</f>
        <v>8</v>
      </c>
      <c r="E593" s="6" t="s">
        <v>671</v>
      </c>
      <c r="F593" s="39" t="s">
        <v>30</v>
      </c>
      <c r="G593" s="39" t="s">
        <v>127</v>
      </c>
      <c r="H593" s="48" t="s">
        <v>176</v>
      </c>
      <c r="I593" s="135" t="s">
        <v>185</v>
      </c>
      <c r="J593" s="136">
        <v>4</v>
      </c>
      <c r="K593" s="31"/>
      <c r="L593" s="132">
        <f>153*48.55*1.25</f>
        <v>9285.1875</v>
      </c>
      <c r="M593" s="253"/>
      <c r="N593" s="253"/>
      <c r="O593" s="254"/>
      <c r="P593" s="254"/>
      <c r="Q593" s="253"/>
      <c r="R593" s="253"/>
      <c r="S593" s="244"/>
      <c r="T593" s="102">
        <f>SUM(Finance[[#This Row],[Samer]:[Margins]])</f>
        <v>9285.1875</v>
      </c>
      <c r="U593" s="103">
        <f>ABS(Finance[[#This Row],[Total (EGP)]])</f>
        <v>9285.1875</v>
      </c>
      <c r="V593" s="245"/>
    </row>
    <row r="594" spans="2:22" ht="18" customHeight="1" x14ac:dyDescent="0.3">
      <c r="B594" s="246">
        <v>45880</v>
      </c>
      <c r="C594" s="169">
        <f>YEAR(Finance[[#This Row],[Date]])</f>
        <v>2025</v>
      </c>
      <c r="D594" s="243">
        <f>MONTH(Finance[[#This Row],[Date]])</f>
        <v>8</v>
      </c>
      <c r="E594" s="39" t="s">
        <v>672</v>
      </c>
      <c r="F594" s="222" t="s">
        <v>37</v>
      </c>
      <c r="G594" s="222" t="s">
        <v>36</v>
      </c>
      <c r="H594" s="223" t="s">
        <v>206</v>
      </c>
      <c r="I594" s="224" t="s">
        <v>175</v>
      </c>
      <c r="J594" s="225">
        <v>0</v>
      </c>
      <c r="K594" s="31"/>
      <c r="L594" s="132"/>
      <c r="M594" s="253"/>
      <c r="N594" s="253"/>
      <c r="O594" s="254"/>
      <c r="P594" s="254"/>
      <c r="Q594" s="253">
        <v>-25000</v>
      </c>
      <c r="R594" s="253">
        <v>30000</v>
      </c>
      <c r="S594" s="244">
        <v>-5000</v>
      </c>
      <c r="T594" s="102">
        <f>SUM(Finance[[#This Row],[Samer]:[Margins]])</f>
        <v>0</v>
      </c>
      <c r="U594" s="103">
        <f>ABS(Finance[[#This Row],[Total (EGP)]])</f>
        <v>0</v>
      </c>
      <c r="V594" s="245"/>
    </row>
    <row r="595" spans="2:22" ht="18" customHeight="1" x14ac:dyDescent="0.3">
      <c r="B595" s="246">
        <v>45880</v>
      </c>
      <c r="C595" s="169">
        <f>YEAR(Finance[[#This Row],[Date]])</f>
        <v>2025</v>
      </c>
      <c r="D595" s="243">
        <f>MONTH(Finance[[#This Row],[Date]])</f>
        <v>8</v>
      </c>
      <c r="E595" s="39" t="s">
        <v>648</v>
      </c>
      <c r="F595" s="6" t="s">
        <v>34</v>
      </c>
      <c r="G595" s="6" t="s">
        <v>66</v>
      </c>
      <c r="H595" s="134" t="s">
        <v>272</v>
      </c>
      <c r="I595" s="114" t="s">
        <v>175</v>
      </c>
      <c r="J595" s="136">
        <v>5</v>
      </c>
      <c r="K595" s="251"/>
      <c r="L595" s="252"/>
      <c r="M595" s="253"/>
      <c r="N595" s="253"/>
      <c r="O595" s="254"/>
      <c r="P595" s="254"/>
      <c r="Q595" s="253">
        <v>8000</v>
      </c>
      <c r="R595" s="253"/>
      <c r="S595" s="244"/>
      <c r="T595" s="102">
        <f>SUM(Finance[[#This Row],[Samer]:[Margins]])</f>
        <v>8000</v>
      </c>
      <c r="U595" s="103">
        <f>ABS(Finance[[#This Row],[Total (EGP)]])</f>
        <v>8000</v>
      </c>
      <c r="V595" s="245"/>
    </row>
    <row r="596" spans="2:22" ht="18" customHeight="1" x14ac:dyDescent="0.3">
      <c r="B596" s="246">
        <v>45880</v>
      </c>
      <c r="C596" s="169">
        <f>YEAR(Finance[[#This Row],[Date]])</f>
        <v>2025</v>
      </c>
      <c r="D596" s="243">
        <f>MONTH(Finance[[#This Row],[Date]])</f>
        <v>8</v>
      </c>
      <c r="E596" s="39" t="s">
        <v>673</v>
      </c>
      <c r="F596" s="247" t="s">
        <v>34</v>
      </c>
      <c r="G596" s="247" t="s">
        <v>66</v>
      </c>
      <c r="H596" s="48" t="s">
        <v>209</v>
      </c>
      <c r="I596" s="249" t="s">
        <v>175</v>
      </c>
      <c r="J596" s="250">
        <v>2</v>
      </c>
      <c r="K596" s="251"/>
      <c r="L596" s="252"/>
      <c r="M596" s="253"/>
      <c r="N596" s="253"/>
      <c r="O596" s="254"/>
      <c r="P596" s="254"/>
      <c r="Q596" s="253">
        <v>17000</v>
      </c>
      <c r="R596" s="253"/>
      <c r="S596" s="244"/>
      <c r="T596" s="102">
        <f>SUM(Finance[[#This Row],[Samer]:[Margins]])</f>
        <v>17000</v>
      </c>
      <c r="U596" s="103">
        <f>ABS(Finance[[#This Row],[Total (EGP)]])</f>
        <v>17000</v>
      </c>
      <c r="V596" s="245"/>
    </row>
    <row r="597" spans="2:22" ht="18" customHeight="1" x14ac:dyDescent="0.3">
      <c r="B597" s="246">
        <v>45880</v>
      </c>
      <c r="C597" s="169">
        <f>YEAR(Finance[[#This Row],[Date]])</f>
        <v>2025</v>
      </c>
      <c r="D597" s="247">
        <f>MONTH(Finance[[#This Row],[Date]])</f>
        <v>8</v>
      </c>
      <c r="E597" s="39" t="s">
        <v>675</v>
      </c>
      <c r="F597" s="39" t="s">
        <v>29</v>
      </c>
      <c r="G597" s="39" t="s">
        <v>108</v>
      </c>
      <c r="H597" s="48" t="s">
        <v>182</v>
      </c>
      <c r="I597" s="114" t="s">
        <v>175</v>
      </c>
      <c r="J597" s="261">
        <v>4</v>
      </c>
      <c r="K597" s="262"/>
      <c r="L597" s="263">
        <v>699.99</v>
      </c>
      <c r="M597" s="253"/>
      <c r="N597" s="253"/>
      <c r="O597" s="254"/>
      <c r="P597" s="254"/>
      <c r="Q597" s="253"/>
      <c r="R597" s="253"/>
      <c r="S597" s="244"/>
      <c r="T597" s="102">
        <f>SUM(Finance[[#This Row],[Samer]:[Margins]])</f>
        <v>699.99</v>
      </c>
      <c r="U597" s="103">
        <f>ABS(Finance[[#This Row],[Total (EGP)]])</f>
        <v>699.99</v>
      </c>
      <c r="V597" s="245"/>
    </row>
    <row r="598" spans="2:22" ht="18" customHeight="1" x14ac:dyDescent="0.3">
      <c r="B598" s="246">
        <v>45880</v>
      </c>
      <c r="C598" s="169">
        <f>YEAR(Finance[[#This Row],[Date]])</f>
        <v>2025</v>
      </c>
      <c r="D598" s="247">
        <f>MONTH(Finance[[#This Row],[Date]])</f>
        <v>8</v>
      </c>
      <c r="E598" s="39" t="s">
        <v>725</v>
      </c>
      <c r="F598" s="6" t="s">
        <v>30</v>
      </c>
      <c r="G598" s="6" t="s">
        <v>88</v>
      </c>
      <c r="H598" s="134" t="s">
        <v>210</v>
      </c>
      <c r="I598" s="135" t="s">
        <v>177</v>
      </c>
      <c r="J598" s="136">
        <v>4</v>
      </c>
      <c r="K598" s="262"/>
      <c r="L598" s="263">
        <f>5*975*4</f>
        <v>19500</v>
      </c>
      <c r="M598" s="253"/>
      <c r="N598" s="253"/>
      <c r="O598" s="254"/>
      <c r="P598" s="254"/>
      <c r="Q598" s="253"/>
      <c r="R598" s="253"/>
      <c r="S598" s="244"/>
      <c r="T598" s="102">
        <f>SUM(Finance[[#This Row],[Samer]:[Margins]])</f>
        <v>19500</v>
      </c>
      <c r="U598" s="103">
        <f>ABS(Finance[[#This Row],[Total (EGP)]])</f>
        <v>19500</v>
      </c>
      <c r="V598" s="245"/>
    </row>
    <row r="599" spans="2:22" ht="18" customHeight="1" x14ac:dyDescent="0.3">
      <c r="B599" s="269">
        <v>45880</v>
      </c>
      <c r="C599" s="169">
        <f>YEAR(Finance[[#This Row],[Date]])</f>
        <v>2025</v>
      </c>
      <c r="D599" s="39">
        <f>MONTH(Finance[[#This Row],[Date]])</f>
        <v>8</v>
      </c>
      <c r="E599" s="39" t="s">
        <v>676</v>
      </c>
      <c r="F599" s="39" t="s">
        <v>29</v>
      </c>
      <c r="G599" s="39" t="s">
        <v>108</v>
      </c>
      <c r="H599" s="48" t="s">
        <v>182</v>
      </c>
      <c r="I599" s="114" t="s">
        <v>175</v>
      </c>
      <c r="J599" s="258">
        <v>4</v>
      </c>
      <c r="K599" s="264"/>
      <c r="L599" s="265">
        <f>34*48.4*1.05</f>
        <v>1727.8799999999999</v>
      </c>
      <c r="M599" s="66"/>
      <c r="N599" s="66"/>
      <c r="O599" s="266"/>
      <c r="P599" s="266"/>
      <c r="Q599" s="66"/>
      <c r="R599" s="66"/>
      <c r="S599" s="267"/>
      <c r="T599" s="102">
        <f>SUM(Finance[[#This Row],[Samer]:[Margins]])</f>
        <v>1727.8799999999999</v>
      </c>
      <c r="U599" s="103">
        <f>ABS(Finance[[#This Row],[Total (EGP)]])</f>
        <v>1727.8799999999999</v>
      </c>
      <c r="V599" s="268"/>
    </row>
    <row r="600" spans="2:22" ht="18" customHeight="1" x14ac:dyDescent="0.3">
      <c r="B600" s="218">
        <v>45881</v>
      </c>
      <c r="C600" s="169">
        <f>YEAR(Finance[[#This Row],[Date]])</f>
        <v>2025</v>
      </c>
      <c r="D600" s="200">
        <f>MONTH(Finance[[#This Row],[Date]])</f>
        <v>8</v>
      </c>
      <c r="E600" s="153" t="s">
        <v>623</v>
      </c>
      <c r="F600" s="6" t="s">
        <v>27</v>
      </c>
      <c r="G600" s="6" t="s">
        <v>72</v>
      </c>
      <c r="H600" s="134" t="s">
        <v>142</v>
      </c>
      <c r="I600" s="114" t="s">
        <v>175</v>
      </c>
      <c r="J600" s="136">
        <v>3</v>
      </c>
      <c r="K600" s="201"/>
      <c r="L600" s="202">
        <f>37000+340-590</f>
        <v>36750</v>
      </c>
      <c r="M600" s="203"/>
      <c r="N600" s="203"/>
      <c r="O600" s="204"/>
      <c r="P600" s="204"/>
      <c r="Q600" s="203"/>
      <c r="R600" s="203"/>
      <c r="S600" s="205"/>
      <c r="T600" s="102">
        <f>SUM(Finance[[#This Row],[Samer]:[Margins]])</f>
        <v>36750</v>
      </c>
      <c r="U600" s="103">
        <f>ABS(Finance[[#This Row],[Total (EGP)]])</f>
        <v>36750</v>
      </c>
      <c r="V600" s="206"/>
    </row>
    <row r="601" spans="2:22" ht="18" customHeight="1" x14ac:dyDescent="0.3">
      <c r="B601" s="269">
        <v>45881</v>
      </c>
      <c r="C601" s="169">
        <f>YEAR(Finance[[#This Row],[Date]])</f>
        <v>2025</v>
      </c>
      <c r="D601" s="39">
        <f>MONTH(Finance[[#This Row],[Date]])</f>
        <v>8</v>
      </c>
      <c r="E601" s="39" t="s">
        <v>179</v>
      </c>
      <c r="F601" s="39" t="s">
        <v>37</v>
      </c>
      <c r="G601" s="39" t="s">
        <v>36</v>
      </c>
      <c r="H601" s="48" t="s">
        <v>181</v>
      </c>
      <c r="I601" s="114" t="s">
        <v>175</v>
      </c>
      <c r="J601" s="131">
        <v>0</v>
      </c>
      <c r="K601" s="264"/>
      <c r="L601" s="138">
        <v>-77000</v>
      </c>
      <c r="M601" s="66"/>
      <c r="N601" s="66"/>
      <c r="O601" s="266"/>
      <c r="P601" s="266"/>
      <c r="Q601" s="66"/>
      <c r="R601" s="66">
        <v>77000</v>
      </c>
      <c r="S601" s="267"/>
      <c r="T601" s="102">
        <f>SUM(Finance[[#This Row],[Samer]:[Margins]])</f>
        <v>0</v>
      </c>
      <c r="U601" s="103">
        <f>ABS(Finance[[#This Row],[Total (EGP)]])</f>
        <v>0</v>
      </c>
      <c r="V601" s="268"/>
    </row>
    <row r="602" spans="2:22" ht="18" customHeight="1" x14ac:dyDescent="0.3">
      <c r="B602" s="270">
        <v>45881</v>
      </c>
      <c r="C602" s="169">
        <f>YEAR(Finance[[#This Row],[Date]])</f>
        <v>2025</v>
      </c>
      <c r="D602" s="271">
        <f>MONTH(Finance[[#This Row],[Date]])</f>
        <v>8</v>
      </c>
      <c r="E602" s="153" t="s">
        <v>295</v>
      </c>
      <c r="F602" s="6" t="s">
        <v>29</v>
      </c>
      <c r="G602" s="6" t="s">
        <v>111</v>
      </c>
      <c r="H602" s="134" t="s">
        <v>296</v>
      </c>
      <c r="I602" s="114" t="s">
        <v>175</v>
      </c>
      <c r="J602" s="136">
        <v>3</v>
      </c>
      <c r="K602" s="276"/>
      <c r="L602" s="277"/>
      <c r="M602" s="278"/>
      <c r="N602" s="278"/>
      <c r="O602" s="279"/>
      <c r="P602" s="279"/>
      <c r="Q602" s="278"/>
      <c r="R602" s="278">
        <v>1030.78</v>
      </c>
      <c r="S602" s="280"/>
      <c r="T602" s="102">
        <f>SUM(Finance[[#This Row],[Samer]:[Margins]])</f>
        <v>1030.78</v>
      </c>
      <c r="U602" s="103">
        <f>ABS(Finance[[#This Row],[Total (EGP)]])</f>
        <v>1030.78</v>
      </c>
      <c r="V602" s="281"/>
    </row>
    <row r="603" spans="2:22" ht="18" customHeight="1" x14ac:dyDescent="0.3">
      <c r="B603" s="218">
        <v>45881</v>
      </c>
      <c r="C603" s="169">
        <f>YEAR(Finance[[#This Row],[Date]])</f>
        <v>2025</v>
      </c>
      <c r="D603" s="200">
        <f>MONTH(Finance[[#This Row],[Date]])</f>
        <v>8</v>
      </c>
      <c r="E603" s="19" t="s">
        <v>697</v>
      </c>
      <c r="F603" s="6" t="s">
        <v>29</v>
      </c>
      <c r="G603" s="6" t="s">
        <v>108</v>
      </c>
      <c r="H603" s="134" t="s">
        <v>182</v>
      </c>
      <c r="I603" s="114" t="s">
        <v>175</v>
      </c>
      <c r="J603" s="136">
        <v>1</v>
      </c>
      <c r="K603" s="31"/>
      <c r="L603" s="132">
        <f>342.9*48.32*1.05</f>
        <v>17397.374400000001</v>
      </c>
      <c r="M603" s="278"/>
      <c r="N603" s="278"/>
      <c r="O603" s="279"/>
      <c r="P603" s="279"/>
      <c r="Q603" s="278"/>
      <c r="R603" s="278"/>
      <c r="S603" s="280"/>
      <c r="T603" s="102">
        <f>SUM(Finance[[#This Row],[Samer]:[Margins]])</f>
        <v>17397.374400000001</v>
      </c>
      <c r="U603" s="103">
        <f>ABS(Finance[[#This Row],[Total (EGP)]])</f>
        <v>17397.374400000001</v>
      </c>
      <c r="V603" s="281"/>
    </row>
    <row r="604" spans="2:22" ht="18" customHeight="1" x14ac:dyDescent="0.3">
      <c r="B604" s="218">
        <v>45881</v>
      </c>
      <c r="C604" s="169">
        <f>YEAR(Finance[[#This Row],[Date]])</f>
        <v>2025</v>
      </c>
      <c r="D604" s="200">
        <f>MONTH(Finance[[#This Row],[Date]])</f>
        <v>8</v>
      </c>
      <c r="E604" s="6" t="s">
        <v>193</v>
      </c>
      <c r="F604" s="6" t="s">
        <v>29</v>
      </c>
      <c r="G604" s="6" t="s">
        <v>95</v>
      </c>
      <c r="H604" s="134" t="s">
        <v>194</v>
      </c>
      <c r="I604" s="135" t="s">
        <v>175</v>
      </c>
      <c r="J604" s="136">
        <v>3</v>
      </c>
      <c r="K604" s="31"/>
      <c r="L604" s="132"/>
      <c r="M604" s="278"/>
      <c r="N604" s="278"/>
      <c r="O604" s="279"/>
      <c r="P604" s="279"/>
      <c r="Q604" s="278"/>
      <c r="R604" s="278">
        <v>150</v>
      </c>
      <c r="S604" s="280"/>
      <c r="T604" s="102">
        <f>SUM(Finance[[#This Row],[Samer]:[Margins]])</f>
        <v>150</v>
      </c>
      <c r="U604" s="103">
        <f>ABS(Finance[[#This Row],[Total (EGP)]])</f>
        <v>150</v>
      </c>
      <c r="V604" s="281"/>
    </row>
    <row r="605" spans="2:22" ht="18" customHeight="1" x14ac:dyDescent="0.3">
      <c r="B605" s="270">
        <v>45882</v>
      </c>
      <c r="C605" s="169">
        <f>YEAR(Finance[[#This Row],[Date]])</f>
        <v>2025</v>
      </c>
      <c r="D605" s="271">
        <f>MONTH(Finance[[#This Row],[Date]])</f>
        <v>8</v>
      </c>
      <c r="E605" s="19" t="s">
        <v>680</v>
      </c>
      <c r="F605" s="6" t="s">
        <v>73</v>
      </c>
      <c r="G605" s="6" t="s">
        <v>75</v>
      </c>
      <c r="H605" s="134" t="s">
        <v>234</v>
      </c>
      <c r="I605" s="135" t="s">
        <v>185</v>
      </c>
      <c r="J605" s="136">
        <v>4</v>
      </c>
      <c r="K605" s="193"/>
      <c r="L605" s="194"/>
      <c r="M605" s="195"/>
      <c r="N605" s="195"/>
      <c r="O605" s="196"/>
      <c r="P605" s="196"/>
      <c r="Q605" s="195"/>
      <c r="R605" s="195">
        <v>-18239.830000000002</v>
      </c>
      <c r="S605" s="280"/>
      <c r="T605" s="102">
        <f>SUM(Finance[[#This Row],[Samer]:[Margins]])</f>
        <v>-18239.830000000002</v>
      </c>
      <c r="U605" s="103">
        <f>ABS(Finance[[#This Row],[Total (EGP)]])</f>
        <v>18239.830000000002</v>
      </c>
      <c r="V605" s="281"/>
    </row>
    <row r="606" spans="2:22" ht="18" customHeight="1" x14ac:dyDescent="0.3">
      <c r="B606" s="270">
        <v>45882</v>
      </c>
      <c r="C606" s="169">
        <f>YEAR(Finance[[#This Row],[Date]])</f>
        <v>2025</v>
      </c>
      <c r="D606" s="271">
        <f>MONTH(Finance[[#This Row],[Date]])</f>
        <v>8</v>
      </c>
      <c r="E606" s="19" t="s">
        <v>270</v>
      </c>
      <c r="F606" s="6" t="s">
        <v>73</v>
      </c>
      <c r="G606" s="6" t="s">
        <v>75</v>
      </c>
      <c r="H606" s="134" t="s">
        <v>90</v>
      </c>
      <c r="I606" s="135" t="s">
        <v>185</v>
      </c>
      <c r="J606" s="136">
        <v>4</v>
      </c>
      <c r="K606" s="193"/>
      <c r="L606" s="194"/>
      <c r="M606" s="195"/>
      <c r="N606" s="195"/>
      <c r="O606" s="196"/>
      <c r="P606" s="196"/>
      <c r="Q606" s="195"/>
      <c r="R606" s="195">
        <f>-18239.83*0.14</f>
        <v>-2553.5762000000004</v>
      </c>
      <c r="S606" s="280"/>
      <c r="T606" s="102">
        <f>SUM(Finance[[#This Row],[Samer]:[Margins]])</f>
        <v>-2553.5762000000004</v>
      </c>
      <c r="U606" s="103">
        <f>ABS(Finance[[#This Row],[Total (EGP)]])</f>
        <v>2553.5762000000004</v>
      </c>
      <c r="V606" s="281"/>
    </row>
    <row r="607" spans="2:22" ht="18" customHeight="1" x14ac:dyDescent="0.3">
      <c r="B607" s="270">
        <v>45882</v>
      </c>
      <c r="C607" s="169">
        <f>YEAR(Finance[[#This Row],[Date]])</f>
        <v>2025</v>
      </c>
      <c r="D607" s="271">
        <f>MONTH(Finance[[#This Row],[Date]])</f>
        <v>8</v>
      </c>
      <c r="E607" s="19" t="s">
        <v>271</v>
      </c>
      <c r="F607" s="6" t="s">
        <v>84</v>
      </c>
      <c r="G607" s="6" t="s">
        <v>86</v>
      </c>
      <c r="H607" s="134" t="s">
        <v>234</v>
      </c>
      <c r="I607" s="135" t="s">
        <v>185</v>
      </c>
      <c r="J607" s="136">
        <v>4</v>
      </c>
      <c r="K607" s="193"/>
      <c r="L607" s="194"/>
      <c r="M607" s="195"/>
      <c r="N607" s="195"/>
      <c r="O607" s="196"/>
      <c r="P607" s="196"/>
      <c r="Q607" s="195"/>
      <c r="R607" s="195">
        <f>18239.83*0.03</f>
        <v>547.19490000000008</v>
      </c>
      <c r="S607" s="280"/>
      <c r="T607" s="102">
        <f>SUM(Finance[[#This Row],[Samer]:[Margins]])</f>
        <v>547.19490000000008</v>
      </c>
      <c r="U607" s="103">
        <f>ABS(Finance[[#This Row],[Total (EGP)]])</f>
        <v>547.19490000000008</v>
      </c>
      <c r="V607" s="281"/>
    </row>
    <row r="608" spans="2:22" ht="18" customHeight="1" x14ac:dyDescent="0.3">
      <c r="B608" s="270">
        <v>45882</v>
      </c>
      <c r="C608" s="169">
        <f>YEAR(Finance[[#This Row],[Date]])</f>
        <v>2025</v>
      </c>
      <c r="D608" s="271">
        <f>MONTH(Finance[[#This Row],[Date]])</f>
        <v>8</v>
      </c>
      <c r="E608" s="19" t="s">
        <v>681</v>
      </c>
      <c r="F608" s="6" t="s">
        <v>73</v>
      </c>
      <c r="G608" s="6" t="s">
        <v>272</v>
      </c>
      <c r="H608" s="134" t="s">
        <v>234</v>
      </c>
      <c r="I608" s="135" t="s">
        <v>185</v>
      </c>
      <c r="J608" s="136">
        <v>5</v>
      </c>
      <c r="K608" s="193"/>
      <c r="L608" s="194"/>
      <c r="M608" s="195"/>
      <c r="N608" s="195"/>
      <c r="O608" s="196"/>
      <c r="P608" s="196"/>
      <c r="Q608" s="195"/>
      <c r="R608" s="195">
        <v>-4875</v>
      </c>
      <c r="S608" s="280"/>
      <c r="T608" s="102">
        <f>SUM(Finance[[#This Row],[Samer]:[Margins]])</f>
        <v>-4875</v>
      </c>
      <c r="U608" s="103">
        <f>ABS(Finance[[#This Row],[Total (EGP)]])</f>
        <v>4875</v>
      </c>
      <c r="V608" s="281"/>
    </row>
    <row r="609" spans="2:22" ht="18" customHeight="1" x14ac:dyDescent="0.3">
      <c r="B609" s="270">
        <v>45882</v>
      </c>
      <c r="C609" s="169">
        <f>YEAR(Finance[[#This Row],[Date]])</f>
        <v>2025</v>
      </c>
      <c r="D609" s="271">
        <f>MONTH(Finance[[#This Row],[Date]])</f>
        <v>8</v>
      </c>
      <c r="E609" s="19" t="s">
        <v>273</v>
      </c>
      <c r="F609" s="6" t="s">
        <v>73</v>
      </c>
      <c r="G609" s="6" t="s">
        <v>272</v>
      </c>
      <c r="H609" s="134" t="s">
        <v>90</v>
      </c>
      <c r="I609" s="135" t="s">
        <v>185</v>
      </c>
      <c r="J609" s="136">
        <v>5</v>
      </c>
      <c r="K609" s="193"/>
      <c r="L609" s="194"/>
      <c r="M609" s="195"/>
      <c r="N609" s="195"/>
      <c r="O609" s="196"/>
      <c r="P609" s="196"/>
      <c r="Q609" s="195"/>
      <c r="R609" s="195">
        <f>-4875*0.14</f>
        <v>-682.50000000000011</v>
      </c>
      <c r="S609" s="280"/>
      <c r="T609" s="102">
        <f>SUM(Finance[[#This Row],[Samer]:[Margins]])</f>
        <v>-682.50000000000011</v>
      </c>
      <c r="U609" s="103">
        <f>ABS(Finance[[#This Row],[Total (EGP)]])</f>
        <v>682.50000000000011</v>
      </c>
      <c r="V609" s="281"/>
    </row>
    <row r="610" spans="2:22" ht="18" customHeight="1" x14ac:dyDescent="0.3">
      <c r="B610" s="270">
        <v>45882</v>
      </c>
      <c r="C610" s="169">
        <f>YEAR(Finance[[#This Row],[Date]])</f>
        <v>2025</v>
      </c>
      <c r="D610" s="271">
        <f>MONTH(Finance[[#This Row],[Date]])</f>
        <v>8</v>
      </c>
      <c r="E610" s="19" t="s">
        <v>274</v>
      </c>
      <c r="F610" s="6" t="s">
        <v>84</v>
      </c>
      <c r="G610" s="6" t="s">
        <v>86</v>
      </c>
      <c r="H610" s="134" t="s">
        <v>234</v>
      </c>
      <c r="I610" s="135" t="s">
        <v>185</v>
      </c>
      <c r="J610" s="136">
        <v>5</v>
      </c>
      <c r="K610" s="193"/>
      <c r="L610" s="194"/>
      <c r="M610" s="195"/>
      <c r="N610" s="195"/>
      <c r="O610" s="196"/>
      <c r="P610" s="196"/>
      <c r="Q610" s="195"/>
      <c r="R610" s="195">
        <f>4875*0.03</f>
        <v>146.25</v>
      </c>
      <c r="S610" s="280"/>
      <c r="T610" s="102">
        <f>SUM(Finance[[#This Row],[Samer]:[Margins]])</f>
        <v>146.25</v>
      </c>
      <c r="U610" s="103">
        <f>ABS(Finance[[#This Row],[Total (EGP)]])</f>
        <v>146.25</v>
      </c>
      <c r="V610" s="281"/>
    </row>
    <row r="611" spans="2:22" ht="18" customHeight="1" x14ac:dyDescent="0.3">
      <c r="B611" s="270">
        <v>45882</v>
      </c>
      <c r="C611" s="169">
        <f>YEAR(Finance[[#This Row],[Date]])</f>
        <v>2025</v>
      </c>
      <c r="D611" s="271">
        <f>MONTH(Finance[[#This Row],[Date]])</f>
        <v>8</v>
      </c>
      <c r="E611" s="6" t="s">
        <v>275</v>
      </c>
      <c r="F611" s="6" t="s">
        <v>29</v>
      </c>
      <c r="G611" s="6" t="s">
        <v>95</v>
      </c>
      <c r="H611" s="48" t="s">
        <v>276</v>
      </c>
      <c r="I611" s="135" t="s">
        <v>185</v>
      </c>
      <c r="J611" s="136">
        <v>3</v>
      </c>
      <c r="K611" s="193"/>
      <c r="L611" s="194"/>
      <c r="M611" s="195"/>
      <c r="N611" s="195"/>
      <c r="O611" s="196"/>
      <c r="P611" s="196"/>
      <c r="Q611" s="195"/>
      <c r="R611" s="195">
        <v>25</v>
      </c>
      <c r="S611" s="280"/>
      <c r="T611" s="102">
        <f>SUM(Finance[[#This Row],[Samer]:[Margins]])</f>
        <v>25</v>
      </c>
      <c r="U611" s="103">
        <f>ABS(Finance[[#This Row],[Total (EGP)]])</f>
        <v>25</v>
      </c>
      <c r="V611" s="281"/>
    </row>
    <row r="612" spans="2:22" ht="18" customHeight="1" x14ac:dyDescent="0.3">
      <c r="B612" s="270">
        <v>45883</v>
      </c>
      <c r="C612" s="169">
        <f>YEAR(Finance[[#This Row],[Date]])</f>
        <v>2025</v>
      </c>
      <c r="D612" s="271">
        <f>MONTH(Finance[[#This Row],[Date]])</f>
        <v>8</v>
      </c>
      <c r="E612" s="6" t="s">
        <v>684</v>
      </c>
      <c r="F612" s="6" t="s">
        <v>73</v>
      </c>
      <c r="G612" s="6" t="s">
        <v>233</v>
      </c>
      <c r="H612" s="134" t="s">
        <v>234</v>
      </c>
      <c r="I612" s="135" t="s">
        <v>235</v>
      </c>
      <c r="J612" s="136">
        <v>1</v>
      </c>
      <c r="K612" s="276"/>
      <c r="L612" s="277"/>
      <c r="M612" s="278"/>
      <c r="N612" s="278"/>
      <c r="O612" s="279"/>
      <c r="P612" s="279"/>
      <c r="Q612" s="278">
        <v>-250000</v>
      </c>
      <c r="R612" s="278"/>
      <c r="S612" s="280"/>
      <c r="T612" s="102">
        <f>SUM(Finance[[#This Row],[Samer]:[Margins]])</f>
        <v>-250000</v>
      </c>
      <c r="U612" s="103">
        <f>ABS(Finance[[#This Row],[Total (EGP)]])</f>
        <v>250000</v>
      </c>
      <c r="V612" s="281"/>
    </row>
    <row r="613" spans="2:22" ht="18" customHeight="1" x14ac:dyDescent="0.3">
      <c r="B613" s="270">
        <v>45883</v>
      </c>
      <c r="C613" s="169">
        <f>YEAR(Finance[[#This Row],[Date]])</f>
        <v>2025</v>
      </c>
      <c r="D613" s="271">
        <f>MONTH(Finance[[#This Row],[Date]])</f>
        <v>8</v>
      </c>
      <c r="E613" s="272" t="s">
        <v>240</v>
      </c>
      <c r="F613" s="272" t="s">
        <v>37</v>
      </c>
      <c r="G613" s="272" t="s">
        <v>36</v>
      </c>
      <c r="H613" s="273" t="s">
        <v>181</v>
      </c>
      <c r="I613" s="274" t="s">
        <v>175</v>
      </c>
      <c r="J613" s="275">
        <v>0</v>
      </c>
      <c r="K613" s="276"/>
      <c r="L613" s="277"/>
      <c r="M613" s="278"/>
      <c r="N613" s="278"/>
      <c r="O613" s="279"/>
      <c r="P613" s="279"/>
      <c r="Q613" s="278">
        <v>250000</v>
      </c>
      <c r="R613" s="278">
        <v>-250000</v>
      </c>
      <c r="S613" s="280"/>
      <c r="T613" s="102">
        <f>SUM(Finance[[#This Row],[Samer]:[Margins]])</f>
        <v>0</v>
      </c>
      <c r="U613" s="103">
        <f>ABS(Finance[[#This Row],[Total (EGP)]])</f>
        <v>0</v>
      </c>
      <c r="V613" s="281"/>
    </row>
    <row r="614" spans="2:22" ht="18" customHeight="1" x14ac:dyDescent="0.3">
      <c r="B614" s="218">
        <v>45883</v>
      </c>
      <c r="C614" s="169">
        <f>YEAR(Finance[[#This Row],[Date]])</f>
        <v>2025</v>
      </c>
      <c r="D614" s="200">
        <f>MONTH(Finance[[#This Row],[Date]])</f>
        <v>8</v>
      </c>
      <c r="E614" s="6" t="s">
        <v>695</v>
      </c>
      <c r="F614" s="6" t="s">
        <v>30</v>
      </c>
      <c r="G614" s="6" t="s">
        <v>127</v>
      </c>
      <c r="H614" s="134" t="s">
        <v>190</v>
      </c>
      <c r="I614" s="135" t="s">
        <v>175</v>
      </c>
      <c r="J614" s="131">
        <v>4</v>
      </c>
      <c r="K614" s="31"/>
      <c r="L614" s="132">
        <f>18.4*56.6*1.25</f>
        <v>1301.8000000000002</v>
      </c>
      <c r="M614" s="278"/>
      <c r="N614" s="278"/>
      <c r="O614" s="279"/>
      <c r="P614" s="279"/>
      <c r="Q614" s="278"/>
      <c r="R614" s="278"/>
      <c r="S614" s="280"/>
      <c r="T614" s="102">
        <f>SUM(Finance[[#This Row],[Samer]:[Margins]])</f>
        <v>1301.8000000000002</v>
      </c>
      <c r="U614" s="103">
        <f>ABS(Finance[[#This Row],[Total (EGP)]])</f>
        <v>1301.8000000000002</v>
      </c>
      <c r="V614" s="281"/>
    </row>
    <row r="615" spans="2:22" ht="18" customHeight="1" x14ac:dyDescent="0.3">
      <c r="B615" s="218">
        <v>45883</v>
      </c>
      <c r="C615" s="169">
        <f>YEAR(Finance[[#This Row],[Date]])</f>
        <v>2025</v>
      </c>
      <c r="D615" s="200">
        <f>MONTH(Finance[[#This Row],[Date]])</f>
        <v>8</v>
      </c>
      <c r="E615" s="39" t="s">
        <v>696</v>
      </c>
      <c r="F615" s="39" t="s">
        <v>30</v>
      </c>
      <c r="G615" s="39" t="s">
        <v>127</v>
      </c>
      <c r="H615" s="130" t="s">
        <v>176</v>
      </c>
      <c r="I615" s="114" t="s">
        <v>177</v>
      </c>
      <c r="J615" s="131">
        <v>1</v>
      </c>
      <c r="K615" s="31"/>
      <c r="L615" s="132">
        <f>94.06*56.6*1.25</f>
        <v>6654.7450000000008</v>
      </c>
      <c r="M615" s="278"/>
      <c r="N615" s="278"/>
      <c r="O615" s="279"/>
      <c r="P615" s="279"/>
      <c r="Q615" s="278"/>
      <c r="R615" s="278"/>
      <c r="S615" s="280"/>
      <c r="T615" s="102">
        <f>SUM(Finance[[#This Row],[Samer]:[Margins]])</f>
        <v>6654.7450000000008</v>
      </c>
      <c r="U615" s="103">
        <f>ABS(Finance[[#This Row],[Total (EGP)]])</f>
        <v>6654.7450000000008</v>
      </c>
      <c r="V615" s="281"/>
    </row>
    <row r="616" spans="2:22" ht="18" customHeight="1" x14ac:dyDescent="0.3">
      <c r="B616" s="270">
        <v>45886</v>
      </c>
      <c r="C616" s="169">
        <f>YEAR(Finance[[#This Row],[Date]])</f>
        <v>2025</v>
      </c>
      <c r="D616" s="271">
        <f>MONTH(Finance[[#This Row],[Date]])</f>
        <v>8</v>
      </c>
      <c r="E616" s="6" t="s">
        <v>688</v>
      </c>
      <c r="F616" s="6" t="s">
        <v>73</v>
      </c>
      <c r="G616" s="6" t="s">
        <v>75</v>
      </c>
      <c r="H616" s="134" t="s">
        <v>234</v>
      </c>
      <c r="I616" s="135" t="s">
        <v>177</v>
      </c>
      <c r="J616" s="136">
        <v>4</v>
      </c>
      <c r="K616" s="276"/>
      <c r="L616" s="277"/>
      <c r="M616" s="278"/>
      <c r="N616" s="278"/>
      <c r="O616" s="279"/>
      <c r="P616" s="279"/>
      <c r="Q616" s="278">
        <v>-13681.45</v>
      </c>
      <c r="R616" s="278"/>
      <c r="S616" s="280"/>
      <c r="T616" s="102">
        <f>SUM(Finance[[#This Row],[Samer]:[Margins]])</f>
        <v>-13681.45</v>
      </c>
      <c r="U616" s="103">
        <f>ABS(Finance[[#This Row],[Total (EGP)]])</f>
        <v>13681.45</v>
      </c>
      <c r="V616" s="281"/>
    </row>
    <row r="617" spans="2:22" ht="18" customHeight="1" x14ac:dyDescent="0.3">
      <c r="B617" s="270">
        <v>45886</v>
      </c>
      <c r="C617" s="169">
        <f>YEAR(Finance[[#This Row],[Date]])</f>
        <v>2025</v>
      </c>
      <c r="D617" s="271">
        <f>MONTH(Finance[[#This Row],[Date]])</f>
        <v>8</v>
      </c>
      <c r="E617" s="6" t="s">
        <v>237</v>
      </c>
      <c r="F617" s="6" t="s">
        <v>73</v>
      </c>
      <c r="G617" s="6" t="s">
        <v>75</v>
      </c>
      <c r="H617" s="134" t="s">
        <v>90</v>
      </c>
      <c r="I617" s="135" t="s">
        <v>177</v>
      </c>
      <c r="J617" s="136">
        <v>4</v>
      </c>
      <c r="K617" s="276"/>
      <c r="L617" s="277"/>
      <c r="M617" s="278"/>
      <c r="N617" s="278"/>
      <c r="O617" s="279"/>
      <c r="P617" s="279"/>
      <c r="Q617" s="278">
        <f>-13681.45*0.14</f>
        <v>-1915.4030000000002</v>
      </c>
      <c r="R617" s="278"/>
      <c r="S617" s="280"/>
      <c r="T617" s="102">
        <f>SUM(Finance[[#This Row],[Samer]:[Margins]])</f>
        <v>-1915.4030000000002</v>
      </c>
      <c r="U617" s="103">
        <f>ABS(Finance[[#This Row],[Total (EGP)]])</f>
        <v>1915.4030000000002</v>
      </c>
      <c r="V617" s="281"/>
    </row>
    <row r="618" spans="2:22" ht="18" customHeight="1" x14ac:dyDescent="0.3">
      <c r="B618" s="270">
        <v>45886</v>
      </c>
      <c r="C618" s="169">
        <f>YEAR(Finance[[#This Row],[Date]])</f>
        <v>2025</v>
      </c>
      <c r="D618" s="271">
        <f>MONTH(Finance[[#This Row],[Date]])</f>
        <v>8</v>
      </c>
      <c r="E618" s="6" t="s">
        <v>238</v>
      </c>
      <c r="F618" s="6" t="s">
        <v>84</v>
      </c>
      <c r="G618" s="6" t="s">
        <v>86</v>
      </c>
      <c r="H618" s="134" t="s">
        <v>234</v>
      </c>
      <c r="I618" s="135" t="s">
        <v>177</v>
      </c>
      <c r="J618" s="136">
        <v>4</v>
      </c>
      <c r="K618" s="276"/>
      <c r="L618" s="277"/>
      <c r="M618" s="278"/>
      <c r="N618" s="278"/>
      <c r="O618" s="279"/>
      <c r="P618" s="279"/>
      <c r="Q618" s="278">
        <f>13681.45*0.03</f>
        <v>410.44350000000003</v>
      </c>
      <c r="R618" s="278"/>
      <c r="S618" s="280"/>
      <c r="T618" s="102">
        <f>SUM(Finance[[#This Row],[Samer]:[Margins]])</f>
        <v>410.44350000000003</v>
      </c>
      <c r="U618" s="103">
        <f>ABS(Finance[[#This Row],[Total (EGP)]])</f>
        <v>410.44350000000003</v>
      </c>
      <c r="V618" s="281"/>
    </row>
    <row r="619" spans="2:22" ht="18" customHeight="1" x14ac:dyDescent="0.3">
      <c r="B619" s="270">
        <v>45886</v>
      </c>
      <c r="C619" s="169">
        <f>YEAR(Finance[[#This Row],[Date]])</f>
        <v>2025</v>
      </c>
      <c r="D619" s="271">
        <f>MONTH(Finance[[#This Row],[Date]])</f>
        <v>8</v>
      </c>
      <c r="E619" s="6" t="s">
        <v>685</v>
      </c>
      <c r="F619" s="6" t="s">
        <v>73</v>
      </c>
      <c r="G619" s="6" t="s">
        <v>233</v>
      </c>
      <c r="H619" s="134" t="s">
        <v>234</v>
      </c>
      <c r="I619" s="135" t="s">
        <v>235</v>
      </c>
      <c r="J619" s="136">
        <v>1</v>
      </c>
      <c r="K619" s="276"/>
      <c r="L619" s="277"/>
      <c r="M619" s="278"/>
      <c r="N619" s="278"/>
      <c r="O619" s="279"/>
      <c r="P619" s="279"/>
      <c r="Q619" s="278">
        <v>-20708.71</v>
      </c>
      <c r="R619" s="278"/>
      <c r="S619" s="280"/>
      <c r="T619" s="102">
        <f>SUM(Finance[[#This Row],[Samer]:[Margins]])</f>
        <v>-20708.71</v>
      </c>
      <c r="U619" s="103">
        <f>ABS(Finance[[#This Row],[Total (EGP)]])</f>
        <v>20708.71</v>
      </c>
      <c r="V619" s="281"/>
    </row>
    <row r="620" spans="2:22" ht="18" customHeight="1" x14ac:dyDescent="0.3">
      <c r="B620" s="270">
        <v>45886</v>
      </c>
      <c r="C620" s="169">
        <f>YEAR(Finance[[#This Row],[Date]])</f>
        <v>2025</v>
      </c>
      <c r="D620" s="271">
        <f>MONTH(Finance[[#This Row],[Date]])</f>
        <v>8</v>
      </c>
      <c r="E620" s="6" t="s">
        <v>237</v>
      </c>
      <c r="F620" s="6" t="s">
        <v>73</v>
      </c>
      <c r="G620" s="126" t="s">
        <v>233</v>
      </c>
      <c r="H620" s="127" t="s">
        <v>90</v>
      </c>
      <c r="I620" s="135" t="s">
        <v>235</v>
      </c>
      <c r="J620" s="129">
        <v>1</v>
      </c>
      <c r="K620" s="276"/>
      <c r="L620" s="277"/>
      <c r="M620" s="278"/>
      <c r="N620" s="278"/>
      <c r="O620" s="279"/>
      <c r="P620" s="279"/>
      <c r="Q620" s="278">
        <f>-505458.44*0.14</f>
        <v>-70764.181600000011</v>
      </c>
      <c r="R620" s="278"/>
      <c r="S620" s="280"/>
      <c r="T620" s="102">
        <f>SUM(Finance[[#This Row],[Samer]:[Margins]])</f>
        <v>-70764.181600000011</v>
      </c>
      <c r="U620" s="103">
        <f>ABS(Finance[[#This Row],[Total (EGP)]])</f>
        <v>70764.181600000011</v>
      </c>
      <c r="V620" s="281"/>
    </row>
    <row r="621" spans="2:22" ht="18" customHeight="1" x14ac:dyDescent="0.3">
      <c r="B621" s="270">
        <v>45886</v>
      </c>
      <c r="C621" s="169">
        <f>YEAR(Finance[[#This Row],[Date]])</f>
        <v>2025</v>
      </c>
      <c r="D621" s="271">
        <f>MONTH(Finance[[#This Row],[Date]])</f>
        <v>8</v>
      </c>
      <c r="E621" s="6" t="s">
        <v>238</v>
      </c>
      <c r="F621" s="6" t="s">
        <v>84</v>
      </c>
      <c r="G621" s="6" t="s">
        <v>86</v>
      </c>
      <c r="H621" s="134" t="s">
        <v>234</v>
      </c>
      <c r="I621" s="135" t="s">
        <v>235</v>
      </c>
      <c r="J621" s="129">
        <v>1</v>
      </c>
      <c r="K621" s="276"/>
      <c r="L621" s="277"/>
      <c r="M621" s="278"/>
      <c r="N621" s="278"/>
      <c r="O621" s="279"/>
      <c r="P621" s="279"/>
      <c r="Q621" s="278">
        <f>505458.44*0.03</f>
        <v>15163.753199999999</v>
      </c>
      <c r="R621" s="278"/>
      <c r="S621" s="280"/>
      <c r="T621" s="102">
        <f>SUM(Finance[[#This Row],[Samer]:[Margins]])</f>
        <v>15163.753199999999</v>
      </c>
      <c r="U621" s="103">
        <f>ABS(Finance[[#This Row],[Total (EGP)]])</f>
        <v>15163.753199999999</v>
      </c>
      <c r="V621" s="281"/>
    </row>
    <row r="622" spans="2:22" ht="18" customHeight="1" x14ac:dyDescent="0.3">
      <c r="B622" s="270">
        <v>45886</v>
      </c>
      <c r="C622" s="169">
        <f>YEAR(Finance[[#This Row],[Date]])</f>
        <v>2025</v>
      </c>
      <c r="D622" s="271">
        <f>MONTH(Finance[[#This Row],[Date]])</f>
        <v>8</v>
      </c>
      <c r="E622" s="6" t="s">
        <v>686</v>
      </c>
      <c r="F622" s="6" t="s">
        <v>73</v>
      </c>
      <c r="G622" s="6" t="s">
        <v>233</v>
      </c>
      <c r="H622" s="134" t="s">
        <v>234</v>
      </c>
      <c r="I622" s="135" t="s">
        <v>235</v>
      </c>
      <c r="J622" s="136">
        <v>1</v>
      </c>
      <c r="K622" s="276"/>
      <c r="L622" s="277"/>
      <c r="M622" s="278"/>
      <c r="N622" s="278"/>
      <c r="O622" s="279"/>
      <c r="P622" s="279"/>
      <c r="Q622" s="278">
        <v>-158504.45000000001</v>
      </c>
      <c r="R622" s="278"/>
      <c r="S622" s="280"/>
      <c r="T622" s="102">
        <f>SUM(Finance[[#This Row],[Samer]:[Margins]])</f>
        <v>-158504.45000000001</v>
      </c>
      <c r="U622" s="103">
        <f>ABS(Finance[[#This Row],[Total (EGP)]])</f>
        <v>158504.45000000001</v>
      </c>
      <c r="V622" s="281"/>
    </row>
    <row r="623" spans="2:22" ht="18" customHeight="1" x14ac:dyDescent="0.3">
      <c r="B623" s="270">
        <v>45886</v>
      </c>
      <c r="C623" s="169">
        <f>YEAR(Finance[[#This Row],[Date]])</f>
        <v>2025</v>
      </c>
      <c r="D623" s="271">
        <f>MONTH(Finance[[#This Row],[Date]])</f>
        <v>8</v>
      </c>
      <c r="E623" s="272" t="s">
        <v>240</v>
      </c>
      <c r="F623" s="272" t="s">
        <v>37</v>
      </c>
      <c r="G623" s="272" t="s">
        <v>36</v>
      </c>
      <c r="H623" s="273" t="s">
        <v>181</v>
      </c>
      <c r="I623" s="274" t="s">
        <v>175</v>
      </c>
      <c r="J623" s="275">
        <v>0</v>
      </c>
      <c r="K623" s="276"/>
      <c r="L623" s="277"/>
      <c r="M623" s="278"/>
      <c r="N623" s="278"/>
      <c r="O623" s="279"/>
      <c r="P623" s="279"/>
      <c r="Q623" s="278">
        <v>250000</v>
      </c>
      <c r="R623" s="278">
        <v>-250000</v>
      </c>
      <c r="S623" s="280"/>
      <c r="T623" s="102">
        <f>SUM(Finance[[#This Row],[Samer]:[Margins]])</f>
        <v>0</v>
      </c>
      <c r="U623" s="103">
        <f>ABS(Finance[[#This Row],[Total (EGP)]])</f>
        <v>0</v>
      </c>
      <c r="V623" s="281"/>
    </row>
    <row r="624" spans="2:22" ht="18" customHeight="1" x14ac:dyDescent="0.3">
      <c r="B624" s="270">
        <v>45886</v>
      </c>
      <c r="C624" s="169">
        <f>YEAR(Finance[[#This Row],[Date]])</f>
        <v>2025</v>
      </c>
      <c r="D624" s="271">
        <f>MONTH(Finance[[#This Row],[Date]])</f>
        <v>8</v>
      </c>
      <c r="E624" s="6" t="s">
        <v>694</v>
      </c>
      <c r="F624" s="39" t="s">
        <v>29</v>
      </c>
      <c r="G624" s="6" t="s">
        <v>108</v>
      </c>
      <c r="H624" s="48" t="s">
        <v>182</v>
      </c>
      <c r="I624" s="135" t="s">
        <v>175</v>
      </c>
      <c r="J624" s="136">
        <v>1</v>
      </c>
      <c r="K624" s="31"/>
      <c r="L624" s="132">
        <f>36.3*48.51*1.05</f>
        <v>1848.9586499999998</v>
      </c>
      <c r="M624" s="278"/>
      <c r="N624" s="278"/>
      <c r="O624" s="279"/>
      <c r="P624" s="279"/>
      <c r="Q624" s="278"/>
      <c r="R624" s="278"/>
      <c r="S624" s="280"/>
      <c r="T624" s="102">
        <f>SUM(Finance[[#This Row],[Samer]:[Margins]])</f>
        <v>1848.9586499999998</v>
      </c>
      <c r="U624" s="103">
        <f>ABS(Finance[[#This Row],[Total (EGP)]])</f>
        <v>1848.9586499999998</v>
      </c>
      <c r="V624" s="281"/>
    </row>
    <row r="625" spans="2:22" ht="18" customHeight="1" x14ac:dyDescent="0.3">
      <c r="B625" s="270">
        <v>45887</v>
      </c>
      <c r="C625" s="169">
        <f>YEAR(Finance[[#This Row],[Date]])</f>
        <v>2025</v>
      </c>
      <c r="D625" s="271">
        <f>MONTH(Finance[[#This Row],[Date]])</f>
        <v>8</v>
      </c>
      <c r="E625" s="6" t="s">
        <v>690</v>
      </c>
      <c r="F625" s="6" t="s">
        <v>73</v>
      </c>
      <c r="G625" s="6" t="s">
        <v>93</v>
      </c>
      <c r="H625" s="134" t="s">
        <v>199</v>
      </c>
      <c r="I625" s="114" t="s">
        <v>369</v>
      </c>
      <c r="J625" s="136">
        <v>4</v>
      </c>
      <c r="K625" s="276"/>
      <c r="L625" s="277"/>
      <c r="M625" s="278"/>
      <c r="N625" s="278"/>
      <c r="O625" s="279"/>
      <c r="P625" s="279"/>
      <c r="Q625" s="278"/>
      <c r="R625" s="278">
        <v>-9817.5</v>
      </c>
      <c r="S625" s="280"/>
      <c r="T625" s="102">
        <f>SUM(Finance[[#This Row],[Samer]:[Margins]])</f>
        <v>-9817.5</v>
      </c>
      <c r="U625" s="103">
        <f>ABS(Finance[[#This Row],[Total (EGP)]])</f>
        <v>9817.5</v>
      </c>
      <c r="V625" s="281"/>
    </row>
    <row r="626" spans="2:22" ht="18" customHeight="1" x14ac:dyDescent="0.3">
      <c r="B626" s="270">
        <v>45887</v>
      </c>
      <c r="C626" s="169">
        <f>YEAR(Finance[[#This Row],[Date]])</f>
        <v>2025</v>
      </c>
      <c r="D626" s="271">
        <f>MONTH(Finance[[#This Row],[Date]])</f>
        <v>8</v>
      </c>
      <c r="E626" s="6" t="s">
        <v>638</v>
      </c>
      <c r="F626" s="6" t="s">
        <v>73</v>
      </c>
      <c r="G626" s="6" t="s">
        <v>93</v>
      </c>
      <c r="H626" s="134" t="s">
        <v>90</v>
      </c>
      <c r="I626" s="114" t="s">
        <v>369</v>
      </c>
      <c r="J626" s="136">
        <v>4</v>
      </c>
      <c r="K626" s="276"/>
      <c r="L626" s="277"/>
      <c r="M626" s="278"/>
      <c r="N626" s="278"/>
      <c r="O626" s="279"/>
      <c r="P626" s="279"/>
      <c r="Q626" s="278"/>
      <c r="R626" s="278">
        <f>-9817.5*0.14</f>
        <v>-1374.45</v>
      </c>
      <c r="S626" s="280"/>
      <c r="T626" s="102">
        <f>SUM(Finance[[#This Row],[Samer]:[Margins]])</f>
        <v>-1374.45</v>
      </c>
      <c r="U626" s="103">
        <f>ABS(Finance[[#This Row],[Total (EGP)]])</f>
        <v>1374.45</v>
      </c>
      <c r="V626" s="281"/>
    </row>
    <row r="627" spans="2:22" ht="18" customHeight="1" x14ac:dyDescent="0.3">
      <c r="B627" s="270">
        <v>45887</v>
      </c>
      <c r="C627" s="169">
        <f>YEAR(Finance[[#This Row],[Date]])</f>
        <v>2025</v>
      </c>
      <c r="D627" s="271">
        <f>MONTH(Finance[[#This Row],[Date]])</f>
        <v>8</v>
      </c>
      <c r="E627" s="6" t="s">
        <v>639</v>
      </c>
      <c r="F627" s="6" t="s">
        <v>84</v>
      </c>
      <c r="G627" s="6" t="s">
        <v>86</v>
      </c>
      <c r="H627" s="134" t="s">
        <v>199</v>
      </c>
      <c r="I627" s="114" t="s">
        <v>369</v>
      </c>
      <c r="J627" s="136">
        <v>4</v>
      </c>
      <c r="K627" s="276"/>
      <c r="L627" s="277"/>
      <c r="M627" s="278"/>
      <c r="N627" s="278"/>
      <c r="O627" s="279"/>
      <c r="P627" s="279"/>
      <c r="Q627" s="278"/>
      <c r="R627" s="278">
        <f>9817.5*0.03</f>
        <v>294.52499999999998</v>
      </c>
      <c r="S627" s="280"/>
      <c r="T627" s="102">
        <f>SUM(Finance[[#This Row],[Samer]:[Margins]])</f>
        <v>294.52499999999998</v>
      </c>
      <c r="U627" s="103">
        <f>ABS(Finance[[#This Row],[Total (EGP)]])</f>
        <v>294.52499999999998</v>
      </c>
      <c r="V627" s="281"/>
    </row>
    <row r="628" spans="2:22" ht="18" customHeight="1" x14ac:dyDescent="0.3">
      <c r="B628" s="270">
        <v>45887</v>
      </c>
      <c r="C628" s="169">
        <f>YEAR(Finance[[#This Row],[Date]])</f>
        <v>2025</v>
      </c>
      <c r="D628" s="271">
        <f>MONTH(Finance[[#This Row],[Date]])</f>
        <v>8</v>
      </c>
      <c r="E628" s="6" t="s">
        <v>370</v>
      </c>
      <c r="F628" s="6" t="s">
        <v>29</v>
      </c>
      <c r="G628" s="6" t="s">
        <v>95</v>
      </c>
      <c r="H628" s="134" t="s">
        <v>194</v>
      </c>
      <c r="I628" s="114" t="s">
        <v>369</v>
      </c>
      <c r="J628" s="136">
        <v>3</v>
      </c>
      <c r="K628" s="276"/>
      <c r="L628" s="277"/>
      <c r="M628" s="278"/>
      <c r="N628" s="278"/>
      <c r="O628" s="279"/>
      <c r="P628" s="279"/>
      <c r="Q628" s="278"/>
      <c r="R628" s="278">
        <v>10</v>
      </c>
      <c r="S628" s="280"/>
      <c r="T628" s="102">
        <f>SUM(Finance[[#This Row],[Samer]:[Margins]])</f>
        <v>10</v>
      </c>
      <c r="U628" s="103">
        <f>ABS(Finance[[#This Row],[Total (EGP)]])</f>
        <v>10</v>
      </c>
      <c r="V628" s="281"/>
    </row>
    <row r="629" spans="2:22" ht="18" customHeight="1" x14ac:dyDescent="0.3">
      <c r="B629" s="270">
        <v>45887</v>
      </c>
      <c r="C629" s="169">
        <f>YEAR(Finance[[#This Row],[Date]])</f>
        <v>2025</v>
      </c>
      <c r="D629" s="271">
        <f>MONTH(Finance[[#This Row],[Date]])</f>
        <v>8</v>
      </c>
      <c r="E629" s="6" t="s">
        <v>691</v>
      </c>
      <c r="F629" s="6" t="s">
        <v>73</v>
      </c>
      <c r="G629" s="6" t="s">
        <v>93</v>
      </c>
      <c r="H629" s="134" t="s">
        <v>199</v>
      </c>
      <c r="I629" s="114" t="s">
        <v>369</v>
      </c>
      <c r="J629" s="136">
        <v>4</v>
      </c>
      <c r="K629" s="276"/>
      <c r="L629" s="277"/>
      <c r="M629" s="278"/>
      <c r="N629" s="278"/>
      <c r="O629" s="279"/>
      <c r="P629" s="279"/>
      <c r="Q629" s="278"/>
      <c r="R629" s="278">
        <v>-12118.75</v>
      </c>
      <c r="S629" s="280"/>
      <c r="T629" s="102">
        <f>SUM(Finance[[#This Row],[Samer]:[Margins]])</f>
        <v>-12118.75</v>
      </c>
      <c r="U629" s="103">
        <f>ABS(Finance[[#This Row],[Total (EGP)]])</f>
        <v>12118.75</v>
      </c>
      <c r="V629" s="281"/>
    </row>
    <row r="630" spans="2:22" ht="18" customHeight="1" x14ac:dyDescent="0.3">
      <c r="B630" s="270">
        <v>45887</v>
      </c>
      <c r="C630" s="169">
        <f>YEAR(Finance[[#This Row],[Date]])</f>
        <v>2025</v>
      </c>
      <c r="D630" s="271">
        <f>MONTH(Finance[[#This Row],[Date]])</f>
        <v>8</v>
      </c>
      <c r="E630" s="6" t="s">
        <v>638</v>
      </c>
      <c r="F630" s="6" t="s">
        <v>73</v>
      </c>
      <c r="G630" s="6" t="s">
        <v>93</v>
      </c>
      <c r="H630" s="134" t="s">
        <v>90</v>
      </c>
      <c r="I630" s="114" t="s">
        <v>369</v>
      </c>
      <c r="J630" s="136">
        <v>4</v>
      </c>
      <c r="K630" s="276"/>
      <c r="L630" s="277"/>
      <c r="M630" s="278"/>
      <c r="N630" s="278"/>
      <c r="O630" s="279"/>
      <c r="P630" s="279"/>
      <c r="Q630" s="278"/>
      <c r="R630" s="278">
        <f>-12118.75*0.14</f>
        <v>-1696.6250000000002</v>
      </c>
      <c r="S630" s="280"/>
      <c r="T630" s="102">
        <f>SUM(Finance[[#This Row],[Samer]:[Margins]])</f>
        <v>-1696.6250000000002</v>
      </c>
      <c r="U630" s="103">
        <f>ABS(Finance[[#This Row],[Total (EGP)]])</f>
        <v>1696.6250000000002</v>
      </c>
      <c r="V630" s="281"/>
    </row>
    <row r="631" spans="2:22" ht="18" customHeight="1" x14ac:dyDescent="0.3">
      <c r="B631" s="270">
        <v>45887</v>
      </c>
      <c r="C631" s="169">
        <f>YEAR(Finance[[#This Row],[Date]])</f>
        <v>2025</v>
      </c>
      <c r="D631" s="271">
        <f>MONTH(Finance[[#This Row],[Date]])</f>
        <v>8</v>
      </c>
      <c r="E631" s="6" t="s">
        <v>639</v>
      </c>
      <c r="F631" s="6" t="s">
        <v>84</v>
      </c>
      <c r="G631" s="6" t="s">
        <v>86</v>
      </c>
      <c r="H631" s="134" t="s">
        <v>199</v>
      </c>
      <c r="I631" s="114" t="s">
        <v>369</v>
      </c>
      <c r="J631" s="136">
        <v>4</v>
      </c>
      <c r="K631" s="276"/>
      <c r="L631" s="277"/>
      <c r="M631" s="278"/>
      <c r="N631" s="278"/>
      <c r="O631" s="279"/>
      <c r="P631" s="279"/>
      <c r="Q631" s="278"/>
      <c r="R631" s="280">
        <f>12118.75*0.03</f>
        <v>363.5625</v>
      </c>
      <c r="S631" s="280"/>
      <c r="T631" s="102">
        <f>SUM(Finance[[#This Row],[Samer]:[Margins]])</f>
        <v>363.5625</v>
      </c>
      <c r="U631" s="103">
        <f>ABS(Finance[[#This Row],[Total (EGP)]])</f>
        <v>363.5625</v>
      </c>
      <c r="V631" s="281"/>
    </row>
    <row r="632" spans="2:22" ht="18" customHeight="1" x14ac:dyDescent="0.3">
      <c r="B632" s="270">
        <v>45887</v>
      </c>
      <c r="C632" s="169">
        <f>YEAR(Finance[[#This Row],[Date]])</f>
        <v>2025</v>
      </c>
      <c r="D632" s="271">
        <f>MONTH(Finance[[#This Row],[Date]])</f>
        <v>8</v>
      </c>
      <c r="E632" s="6" t="s">
        <v>370</v>
      </c>
      <c r="F632" s="6" t="s">
        <v>29</v>
      </c>
      <c r="G632" s="6" t="s">
        <v>95</v>
      </c>
      <c r="H632" s="134" t="s">
        <v>194</v>
      </c>
      <c r="I632" s="114" t="s">
        <v>369</v>
      </c>
      <c r="J632" s="136">
        <v>3</v>
      </c>
      <c r="K632" s="276"/>
      <c r="L632" s="277"/>
      <c r="M632" s="278"/>
      <c r="N632" s="278"/>
      <c r="O632" s="279"/>
      <c r="P632" s="279"/>
      <c r="Q632" s="278"/>
      <c r="R632" s="278">
        <v>10</v>
      </c>
      <c r="S632" s="280"/>
      <c r="T632" s="102">
        <f>SUM(Finance[[#This Row],[Samer]:[Margins]])</f>
        <v>10</v>
      </c>
      <c r="U632" s="103">
        <f>ABS(Finance[[#This Row],[Total (EGP)]])</f>
        <v>10</v>
      </c>
      <c r="V632" s="281"/>
    </row>
    <row r="633" spans="2:22" ht="18" customHeight="1" x14ac:dyDescent="0.3">
      <c r="B633" s="270">
        <v>45890</v>
      </c>
      <c r="C633" s="169">
        <f>YEAR(Finance[[#This Row],[Date]])</f>
        <v>2025</v>
      </c>
      <c r="D633" s="271">
        <f>MONTH(Finance[[#This Row],[Date]])</f>
        <v>8</v>
      </c>
      <c r="E633" s="39" t="s">
        <v>957</v>
      </c>
      <c r="F633" s="272" t="s">
        <v>30</v>
      </c>
      <c r="G633" s="272" t="s">
        <v>88</v>
      </c>
      <c r="H633" s="273" t="s">
        <v>102</v>
      </c>
      <c r="I633" s="274" t="s">
        <v>235</v>
      </c>
      <c r="J633" s="275">
        <v>2</v>
      </c>
      <c r="K633" s="276"/>
      <c r="L633" s="277">
        <f>(600*975+122*1.5*975)/3*0.85</f>
        <v>216303.75</v>
      </c>
      <c r="M633" s="278"/>
      <c r="N633" s="278"/>
      <c r="O633" s="279"/>
      <c r="P633" s="279"/>
      <c r="Q633" s="278"/>
      <c r="R633" s="278"/>
      <c r="S633" s="280"/>
      <c r="T633" s="102">
        <f>SUM(Finance[[#This Row],[Samer]:[Margins]])</f>
        <v>216303.75</v>
      </c>
      <c r="U633" s="103">
        <f>ABS(Finance[[#This Row],[Total (EGP)]])</f>
        <v>216303.75</v>
      </c>
      <c r="V633" s="281"/>
    </row>
    <row r="634" spans="2:22" ht="18" customHeight="1" x14ac:dyDescent="0.3">
      <c r="B634" s="270">
        <v>45890</v>
      </c>
      <c r="C634" s="169">
        <f>YEAR(Finance[[#This Row],[Date]])</f>
        <v>2025</v>
      </c>
      <c r="D634" s="272">
        <f>MONTH(Finance[[#This Row],[Date]])</f>
        <v>8</v>
      </c>
      <c r="E634" s="153" t="s">
        <v>295</v>
      </c>
      <c r="F634" s="6" t="s">
        <v>29</v>
      </c>
      <c r="G634" s="6" t="s">
        <v>111</v>
      </c>
      <c r="H634" s="134" t="s">
        <v>296</v>
      </c>
      <c r="I634" s="114" t="s">
        <v>175</v>
      </c>
      <c r="J634" s="136">
        <v>3</v>
      </c>
      <c r="K634" s="276"/>
      <c r="L634" s="277"/>
      <c r="M634" s="278"/>
      <c r="N634" s="278"/>
      <c r="O634" s="279"/>
      <c r="P634" s="279"/>
      <c r="Q634" s="278"/>
      <c r="R634" s="278">
        <v>1030.78</v>
      </c>
      <c r="S634" s="280"/>
      <c r="T634" s="102">
        <f>SUM(Finance[[#This Row],[Samer]:[Margins]])</f>
        <v>1030.78</v>
      </c>
      <c r="U634" s="103">
        <f>ABS(Finance[[#This Row],[Total (EGP)]])</f>
        <v>1030.78</v>
      </c>
      <c r="V634" s="281"/>
    </row>
    <row r="635" spans="2:22" ht="18" customHeight="1" x14ac:dyDescent="0.3">
      <c r="B635" s="270">
        <v>45890</v>
      </c>
      <c r="C635" s="169">
        <f>YEAR(Finance[[#This Row],[Date]])</f>
        <v>2025</v>
      </c>
      <c r="D635" s="272">
        <f>MONTH(Finance[[#This Row],[Date]])</f>
        <v>8</v>
      </c>
      <c r="E635" s="39" t="s">
        <v>242</v>
      </c>
      <c r="F635" s="39" t="s">
        <v>29</v>
      </c>
      <c r="G635" s="39" t="s">
        <v>112</v>
      </c>
      <c r="H635" s="48" t="s">
        <v>618</v>
      </c>
      <c r="I635" s="114" t="s">
        <v>175</v>
      </c>
      <c r="J635" s="225">
        <v>3</v>
      </c>
      <c r="K635" s="276"/>
      <c r="L635" s="277"/>
      <c r="M635" s="278"/>
      <c r="N635" s="278"/>
      <c r="O635" s="279"/>
      <c r="P635" s="279"/>
      <c r="Q635" s="278"/>
      <c r="R635" s="278">
        <v>1402.2</v>
      </c>
      <c r="S635" s="280"/>
      <c r="T635" s="102">
        <f>SUM(Finance[[#This Row],[Samer]:[Margins]])</f>
        <v>1402.2</v>
      </c>
      <c r="U635" s="103">
        <f>ABS(Finance[[#This Row],[Total (EGP)]])</f>
        <v>1402.2</v>
      </c>
      <c r="V635" s="281"/>
    </row>
    <row r="636" spans="2:22" ht="18" customHeight="1" x14ac:dyDescent="0.3">
      <c r="B636" s="270">
        <v>45890</v>
      </c>
      <c r="C636" s="169">
        <f>YEAR(Finance[[#This Row],[Date]])</f>
        <v>2025</v>
      </c>
      <c r="D636" s="272">
        <f>MONTH(Finance[[#This Row],[Date]])</f>
        <v>8</v>
      </c>
      <c r="E636" s="283" t="s">
        <v>179</v>
      </c>
      <c r="F636" s="272" t="s">
        <v>37</v>
      </c>
      <c r="G636" s="272" t="s">
        <v>36</v>
      </c>
      <c r="H636" s="273" t="s">
        <v>181</v>
      </c>
      <c r="I636" s="274" t="s">
        <v>175</v>
      </c>
      <c r="J636" s="275">
        <v>0</v>
      </c>
      <c r="K636" s="276"/>
      <c r="L636" s="277">
        <v>-250000</v>
      </c>
      <c r="M636" s="278"/>
      <c r="N636" s="278"/>
      <c r="O636" s="279"/>
      <c r="P636" s="279"/>
      <c r="Q636" s="278"/>
      <c r="R636" s="278">
        <v>250000</v>
      </c>
      <c r="S636" s="280"/>
      <c r="T636" s="102">
        <f>SUM(Finance[[#This Row],[Samer]:[Margins]])</f>
        <v>0</v>
      </c>
      <c r="U636" s="103">
        <f>ABS(Finance[[#This Row],[Total (EGP)]])</f>
        <v>0</v>
      </c>
      <c r="V636" s="281"/>
    </row>
    <row r="637" spans="2:22" ht="18" customHeight="1" x14ac:dyDescent="0.3">
      <c r="B637" s="270">
        <v>45890</v>
      </c>
      <c r="C637" s="169">
        <f>YEAR(Finance[[#This Row],[Date]])</f>
        <v>2025</v>
      </c>
      <c r="D637" s="272">
        <f>MONTH(Finance[[#This Row],[Date]])</f>
        <v>8</v>
      </c>
      <c r="E637" s="6" t="s">
        <v>699</v>
      </c>
      <c r="F637" s="6" t="s">
        <v>73</v>
      </c>
      <c r="G637" s="6" t="s">
        <v>233</v>
      </c>
      <c r="H637" s="134" t="s">
        <v>234</v>
      </c>
      <c r="I637" s="135" t="s">
        <v>235</v>
      </c>
      <c r="J637" s="136">
        <v>1</v>
      </c>
      <c r="K637" s="276"/>
      <c r="L637" s="277"/>
      <c r="M637" s="278"/>
      <c r="N637" s="278"/>
      <c r="O637" s="279"/>
      <c r="P637" s="279"/>
      <c r="Q637" s="278">
        <v>-250000</v>
      </c>
      <c r="R637" s="278"/>
      <c r="S637" s="280"/>
      <c r="T637" s="102">
        <f>SUM(Finance[[#This Row],[Samer]:[Margins]])</f>
        <v>-250000</v>
      </c>
      <c r="U637" s="103">
        <f>ABS(Finance[[#This Row],[Total (EGP)]])</f>
        <v>250000</v>
      </c>
      <c r="V637" s="281"/>
    </row>
    <row r="638" spans="2:22" ht="18" customHeight="1" x14ac:dyDescent="0.3">
      <c r="B638" s="270">
        <v>45890</v>
      </c>
      <c r="C638" s="169">
        <f>YEAR(Finance[[#This Row],[Date]])</f>
        <v>2025</v>
      </c>
      <c r="D638" s="272">
        <f>MONTH(Finance[[#This Row],[Date]])</f>
        <v>8</v>
      </c>
      <c r="E638" s="283" t="s">
        <v>240</v>
      </c>
      <c r="F638" s="272" t="s">
        <v>37</v>
      </c>
      <c r="G638" s="272" t="s">
        <v>36</v>
      </c>
      <c r="H638" s="273" t="s">
        <v>181</v>
      </c>
      <c r="I638" s="274" t="s">
        <v>175</v>
      </c>
      <c r="J638" s="275">
        <v>0</v>
      </c>
      <c r="K638" s="276"/>
      <c r="L638" s="277"/>
      <c r="M638" s="278"/>
      <c r="N638" s="278"/>
      <c r="O638" s="279"/>
      <c r="P638" s="279"/>
      <c r="Q638" s="278">
        <v>200000</v>
      </c>
      <c r="R638" s="278">
        <v>-200000</v>
      </c>
      <c r="S638" s="280"/>
      <c r="T638" s="102">
        <f>SUM(Finance[[#This Row],[Samer]:[Margins]])</f>
        <v>0</v>
      </c>
      <c r="U638" s="103">
        <f>ABS(Finance[[#This Row],[Total (EGP)]])</f>
        <v>0</v>
      </c>
      <c r="V638" s="281"/>
    </row>
    <row r="639" spans="2:22" ht="18" customHeight="1" x14ac:dyDescent="0.3">
      <c r="B639" s="270">
        <v>45890</v>
      </c>
      <c r="C639" s="169">
        <f>YEAR(Finance[[#This Row],[Date]])</f>
        <v>2025</v>
      </c>
      <c r="D639" s="272">
        <f>MONTH(Finance[[#This Row],[Date]])</f>
        <v>8</v>
      </c>
      <c r="E639" s="6" t="s">
        <v>340</v>
      </c>
      <c r="F639" s="39" t="s">
        <v>29</v>
      </c>
      <c r="G639" s="39" t="s">
        <v>213</v>
      </c>
      <c r="H639" s="48" t="s">
        <v>214</v>
      </c>
      <c r="I639" s="114" t="s">
        <v>175</v>
      </c>
      <c r="J639" s="131">
        <v>3</v>
      </c>
      <c r="K639" s="276"/>
      <c r="L639" s="277"/>
      <c r="M639" s="278"/>
      <c r="N639" s="278"/>
      <c r="O639" s="279"/>
      <c r="P639" s="279"/>
      <c r="Q639" s="278">
        <v>50000</v>
      </c>
      <c r="R639" s="278"/>
      <c r="S639" s="280"/>
      <c r="T639" s="102">
        <f>SUM(Finance[[#This Row],[Samer]:[Margins]])</f>
        <v>50000</v>
      </c>
      <c r="U639" s="103">
        <f>ABS(Finance[[#This Row],[Total (EGP)]])</f>
        <v>50000</v>
      </c>
      <c r="V639" s="281"/>
    </row>
    <row r="640" spans="2:22" ht="18" customHeight="1" x14ac:dyDescent="0.3">
      <c r="B640" s="270">
        <v>45890</v>
      </c>
      <c r="C640" s="169">
        <f>YEAR(Finance[[#This Row],[Date]])</f>
        <v>2025</v>
      </c>
      <c r="D640" s="272">
        <f>MONTH(Finance[[#This Row],[Date]])</f>
        <v>8</v>
      </c>
      <c r="E640" s="272" t="s">
        <v>701</v>
      </c>
      <c r="F640" s="6" t="s">
        <v>29</v>
      </c>
      <c r="G640" s="6" t="s">
        <v>108</v>
      </c>
      <c r="H640" s="134" t="s">
        <v>182</v>
      </c>
      <c r="I640" s="135" t="s">
        <v>175</v>
      </c>
      <c r="J640" s="136">
        <v>1</v>
      </c>
      <c r="K640" s="276"/>
      <c r="L640" s="277">
        <f>20.44*48.62*1.05</f>
        <v>1043.48244</v>
      </c>
      <c r="M640" s="278"/>
      <c r="N640" s="278"/>
      <c r="O640" s="279"/>
      <c r="P640" s="279"/>
      <c r="Q640" s="278"/>
      <c r="R640" s="278"/>
      <c r="S640" s="280"/>
      <c r="T640" s="102">
        <f>SUM(Finance[[#This Row],[Samer]:[Margins]])</f>
        <v>1043.48244</v>
      </c>
      <c r="U640" s="103">
        <f>ABS(Finance[[#This Row],[Total (EGP)]])</f>
        <v>1043.48244</v>
      </c>
      <c r="V640" s="281"/>
    </row>
    <row r="641" spans="2:22" ht="18" customHeight="1" x14ac:dyDescent="0.3">
      <c r="B641" s="270">
        <v>45892</v>
      </c>
      <c r="C641" s="169">
        <f>YEAR(Finance[[#This Row],[Date]])</f>
        <v>2025</v>
      </c>
      <c r="D641" s="272">
        <f>MONTH(Finance[[#This Row],[Date]])</f>
        <v>8</v>
      </c>
      <c r="E641" s="19" t="s">
        <v>702</v>
      </c>
      <c r="F641" s="6" t="s">
        <v>29</v>
      </c>
      <c r="G641" s="6" t="s">
        <v>108</v>
      </c>
      <c r="H641" s="134" t="s">
        <v>182</v>
      </c>
      <c r="I641" s="135" t="s">
        <v>175</v>
      </c>
      <c r="J641" s="136">
        <v>3</v>
      </c>
      <c r="K641" s="31"/>
      <c r="L641" s="132">
        <f>15.99*48.8*1.05</f>
        <v>819.32760000000007</v>
      </c>
      <c r="M641" s="278"/>
      <c r="N641" s="278"/>
      <c r="O641" s="279"/>
      <c r="P641" s="279"/>
      <c r="Q641" s="278"/>
      <c r="R641" s="278"/>
      <c r="S641" s="280"/>
      <c r="T641" s="102">
        <f>SUM(Finance[[#This Row],[Samer]:[Margins]])</f>
        <v>819.32760000000007</v>
      </c>
      <c r="U641" s="103">
        <f>ABS(Finance[[#This Row],[Total (EGP)]])</f>
        <v>819.32760000000007</v>
      </c>
      <c r="V641" s="281"/>
    </row>
    <row r="642" spans="2:22" ht="18" customHeight="1" x14ac:dyDescent="0.3">
      <c r="B642" s="7">
        <v>45893</v>
      </c>
      <c r="C642" s="169">
        <f>YEAR(Finance[[#This Row],[Date]])</f>
        <v>2025</v>
      </c>
      <c r="D642" s="285">
        <f>MONTH(Finance[[#This Row],[Date]])</f>
        <v>8</v>
      </c>
      <c r="E642" s="39" t="s">
        <v>242</v>
      </c>
      <c r="F642" s="39" t="s">
        <v>29</v>
      </c>
      <c r="G642" s="39" t="s">
        <v>112</v>
      </c>
      <c r="H642" s="48" t="s">
        <v>618</v>
      </c>
      <c r="I642" s="114" t="s">
        <v>175</v>
      </c>
      <c r="J642" s="225">
        <v>3</v>
      </c>
      <c r="K642" s="276"/>
      <c r="L642" s="277"/>
      <c r="M642" s="278"/>
      <c r="N642" s="278"/>
      <c r="O642" s="279"/>
      <c r="P642" s="279"/>
      <c r="Q642" s="278"/>
      <c r="R642" s="278">
        <v>1402.2</v>
      </c>
      <c r="S642" s="286"/>
      <c r="T642" s="102">
        <f>SUM(Finance[[#This Row],[Samer]:[Margins]])</f>
        <v>1402.2</v>
      </c>
      <c r="U642" s="103">
        <f>ABS(Finance[[#This Row],[Total (EGP)]])</f>
        <v>1402.2</v>
      </c>
      <c r="V642" s="287"/>
    </row>
    <row r="643" spans="2:22" ht="18" customHeight="1" x14ac:dyDescent="0.3">
      <c r="B643" s="270">
        <v>45894</v>
      </c>
      <c r="C643" s="169">
        <f>YEAR(Finance[[#This Row],[Date]])</f>
        <v>2025</v>
      </c>
      <c r="D643" s="285">
        <f>MONTH(Finance[[#This Row],[Date]])</f>
        <v>8</v>
      </c>
      <c r="E643" s="6" t="s">
        <v>167</v>
      </c>
      <c r="F643" s="6" t="s">
        <v>29</v>
      </c>
      <c r="G643" s="6" t="s">
        <v>55</v>
      </c>
      <c r="H643" s="134" t="s">
        <v>258</v>
      </c>
      <c r="I643" s="135" t="s">
        <v>175</v>
      </c>
      <c r="J643" s="136">
        <v>3</v>
      </c>
      <c r="K643" s="251"/>
      <c r="L643" s="252"/>
      <c r="M643" s="253"/>
      <c r="N643" s="253"/>
      <c r="O643" s="254"/>
      <c r="P643" s="254"/>
      <c r="Q643" s="253"/>
      <c r="R643" s="253"/>
      <c r="S643" s="286">
        <v>115</v>
      </c>
      <c r="T643" s="102">
        <f>SUM(Finance[[#This Row],[Samer]:[Margins]])</f>
        <v>115</v>
      </c>
      <c r="U643" s="103">
        <f>ABS(Finance[[#This Row],[Total (EGP)]])</f>
        <v>115</v>
      </c>
      <c r="V643" s="287"/>
    </row>
    <row r="644" spans="2:22" ht="18" customHeight="1" x14ac:dyDescent="0.3">
      <c r="B644" s="288">
        <v>45894</v>
      </c>
      <c r="C644" s="169">
        <f>YEAR(Finance[[#This Row],[Date]])</f>
        <v>2025</v>
      </c>
      <c r="D644" s="289">
        <f>MONTH(Finance[[#This Row],[Date]])</f>
        <v>8</v>
      </c>
      <c r="E644" s="19" t="s">
        <v>721</v>
      </c>
      <c r="F644" s="6" t="s">
        <v>29</v>
      </c>
      <c r="G644" s="6" t="s">
        <v>108</v>
      </c>
      <c r="H644" s="134" t="s">
        <v>182</v>
      </c>
      <c r="I644" s="114" t="s">
        <v>175</v>
      </c>
      <c r="J644" s="136">
        <v>1</v>
      </c>
      <c r="K644" s="31"/>
      <c r="L644" s="132">
        <f>59.75*48.61*1.05</f>
        <v>3049.669875</v>
      </c>
      <c r="M644" s="296"/>
      <c r="N644" s="296"/>
      <c r="O644" s="297"/>
      <c r="P644" s="297"/>
      <c r="Q644" s="296"/>
      <c r="R644" s="296"/>
      <c r="S644" s="298"/>
      <c r="T644" s="102">
        <f>SUM(Finance[[#This Row],[Samer]:[Margins]])</f>
        <v>3049.669875</v>
      </c>
      <c r="U644" s="103">
        <f>ABS(Finance[[#This Row],[Total (EGP)]])</f>
        <v>3049.669875</v>
      </c>
      <c r="V644" s="299"/>
    </row>
    <row r="645" spans="2:22" ht="18" customHeight="1" x14ac:dyDescent="0.3">
      <c r="B645" s="270">
        <v>45896</v>
      </c>
      <c r="C645" s="169">
        <f>YEAR(Finance[[#This Row],[Date]])</f>
        <v>2025</v>
      </c>
      <c r="D645" s="271">
        <f>MONTH(Finance[[#This Row],[Date]])</f>
        <v>8</v>
      </c>
      <c r="E645" s="282" t="s">
        <v>698</v>
      </c>
      <c r="F645" s="208" t="s">
        <v>73</v>
      </c>
      <c r="G645" s="208" t="s">
        <v>93</v>
      </c>
      <c r="H645" s="210" t="s">
        <v>199</v>
      </c>
      <c r="I645" s="211" t="s">
        <v>459</v>
      </c>
      <c r="J645" s="212">
        <v>4</v>
      </c>
      <c r="K645" s="213"/>
      <c r="L645" s="214"/>
      <c r="M645" s="215"/>
      <c r="N645" s="215"/>
      <c r="O645" s="216"/>
      <c r="P645" s="216"/>
      <c r="Q645" s="215"/>
      <c r="R645" s="215">
        <f>-7900*48.61</f>
        <v>-384019</v>
      </c>
      <c r="S645" s="284"/>
      <c r="T645" s="102">
        <f>SUM(Finance[[#This Row],[Samer]:[Margins]])</f>
        <v>-384019</v>
      </c>
      <c r="U645" s="103">
        <f>ABS(Finance[[#This Row],[Total (EGP)]])</f>
        <v>384019</v>
      </c>
      <c r="V645" s="281"/>
    </row>
    <row r="646" spans="2:22" ht="18" customHeight="1" x14ac:dyDescent="0.3">
      <c r="B646" s="270">
        <v>45896</v>
      </c>
      <c r="C646" s="169">
        <f>YEAR(Finance[[#This Row],[Date]])</f>
        <v>2025</v>
      </c>
      <c r="D646" s="272">
        <f>MONTH(Finance[[#This Row],[Date]])</f>
        <v>8</v>
      </c>
      <c r="E646" s="6" t="s">
        <v>703</v>
      </c>
      <c r="F646" s="6" t="s">
        <v>73</v>
      </c>
      <c r="G646" s="6" t="s">
        <v>233</v>
      </c>
      <c r="H646" s="134" t="s">
        <v>234</v>
      </c>
      <c r="I646" s="135" t="s">
        <v>235</v>
      </c>
      <c r="J646" s="136">
        <v>1</v>
      </c>
      <c r="K646" s="276"/>
      <c r="L646" s="277"/>
      <c r="M646" s="278"/>
      <c r="N646" s="278"/>
      <c r="O646" s="279"/>
      <c r="P646" s="279"/>
      <c r="Q646" s="278">
        <v>-250000</v>
      </c>
      <c r="R646" s="278"/>
      <c r="S646" s="280"/>
      <c r="T646" s="102">
        <f>SUM(Finance[[#This Row],[Samer]:[Margins]])</f>
        <v>-250000</v>
      </c>
      <c r="U646" s="103">
        <f>ABS(Finance[[#This Row],[Total (EGP)]])</f>
        <v>250000</v>
      </c>
      <c r="V646" s="281"/>
    </row>
    <row r="647" spans="2:22" ht="18" customHeight="1" x14ac:dyDescent="0.3">
      <c r="B647" s="270">
        <v>45896</v>
      </c>
      <c r="C647" s="169">
        <f>YEAR(Finance[[#This Row],[Date]])</f>
        <v>2025</v>
      </c>
      <c r="D647" s="272">
        <f>MONTH(Finance[[#This Row],[Date]])</f>
        <v>8</v>
      </c>
      <c r="E647" s="153" t="s">
        <v>240</v>
      </c>
      <c r="F647" s="272" t="s">
        <v>37</v>
      </c>
      <c r="G647" s="272" t="s">
        <v>36</v>
      </c>
      <c r="H647" s="273" t="s">
        <v>181</v>
      </c>
      <c r="I647" s="274" t="s">
        <v>175</v>
      </c>
      <c r="J647" s="275">
        <v>0</v>
      </c>
      <c r="K647" s="276"/>
      <c r="L647" s="277"/>
      <c r="M647" s="278"/>
      <c r="N647" s="278"/>
      <c r="O647" s="279"/>
      <c r="P647" s="279"/>
      <c r="Q647" s="278">
        <v>250000</v>
      </c>
      <c r="R647" s="278">
        <v>-250000</v>
      </c>
      <c r="S647" s="280"/>
      <c r="T647" s="102">
        <f>SUM(Finance[[#This Row],[Samer]:[Margins]])</f>
        <v>0</v>
      </c>
      <c r="U647" s="103">
        <f>ABS(Finance[[#This Row],[Total (EGP)]])</f>
        <v>0</v>
      </c>
      <c r="V647" s="281"/>
    </row>
    <row r="648" spans="2:22" ht="18" customHeight="1" x14ac:dyDescent="0.3">
      <c r="B648" s="270">
        <v>45896</v>
      </c>
      <c r="C648" s="169">
        <f>YEAR(Finance[[#This Row],[Date]])</f>
        <v>2025</v>
      </c>
      <c r="D648" s="272">
        <f>MONTH(Finance[[#This Row],[Date]])</f>
        <v>8</v>
      </c>
      <c r="E648" s="153" t="s">
        <v>475</v>
      </c>
      <c r="F648" s="39" t="s">
        <v>30</v>
      </c>
      <c r="G648" s="172" t="s">
        <v>88</v>
      </c>
      <c r="H648" s="173" t="s">
        <v>272</v>
      </c>
      <c r="I648" s="114" t="s">
        <v>459</v>
      </c>
      <c r="J648" s="174">
        <v>5</v>
      </c>
      <c r="K648" s="276"/>
      <c r="L648" s="277">
        <f>850*48.6</f>
        <v>41310</v>
      </c>
      <c r="M648" s="278"/>
      <c r="N648" s="278"/>
      <c r="O648" s="279"/>
      <c r="P648" s="279"/>
      <c r="Q648" s="278"/>
      <c r="R648" s="278"/>
      <c r="S648" s="280"/>
      <c r="T648" s="102">
        <f>SUM(Finance[[#This Row],[Samer]:[Margins]])</f>
        <v>41310</v>
      </c>
      <c r="U648" s="103">
        <f>ABS(Finance[[#This Row],[Total (EGP)]])</f>
        <v>41310</v>
      </c>
      <c r="V648" s="281"/>
    </row>
    <row r="649" spans="2:22" ht="18" customHeight="1" x14ac:dyDescent="0.3">
      <c r="B649" s="270">
        <v>45896</v>
      </c>
      <c r="C649" s="169">
        <f>YEAR(Finance[[#This Row],[Date]])</f>
        <v>2025</v>
      </c>
      <c r="D649" s="272">
        <f>MONTH(Finance[[#This Row],[Date]])</f>
        <v>8</v>
      </c>
      <c r="E649" s="153" t="s">
        <v>179</v>
      </c>
      <c r="F649" s="272" t="s">
        <v>37</v>
      </c>
      <c r="G649" s="272" t="s">
        <v>36</v>
      </c>
      <c r="H649" s="273" t="s">
        <v>181</v>
      </c>
      <c r="I649" s="274" t="s">
        <v>175</v>
      </c>
      <c r="J649" s="275">
        <v>0</v>
      </c>
      <c r="K649" s="276"/>
      <c r="L649" s="277">
        <v>-60311</v>
      </c>
      <c r="M649" s="278"/>
      <c r="N649" s="278"/>
      <c r="O649" s="279"/>
      <c r="P649" s="279"/>
      <c r="Q649" s="278"/>
      <c r="R649" s="278">
        <v>60311</v>
      </c>
      <c r="S649" s="280"/>
      <c r="T649" s="102">
        <f>SUM(Finance[[#This Row],[Samer]:[Margins]])</f>
        <v>0</v>
      </c>
      <c r="U649" s="103">
        <f>ABS(Finance[[#This Row],[Total (EGP)]])</f>
        <v>0</v>
      </c>
      <c r="V649" s="281"/>
    </row>
    <row r="650" spans="2:22" ht="18" customHeight="1" x14ac:dyDescent="0.3">
      <c r="B650" s="270">
        <v>45896</v>
      </c>
      <c r="C650" s="169">
        <f>YEAR(Finance[[#This Row],[Date]])</f>
        <v>2025</v>
      </c>
      <c r="D650" s="272">
        <f>MONTH(Finance[[#This Row],[Date]])</f>
        <v>8</v>
      </c>
      <c r="E650" s="171" t="s">
        <v>179</v>
      </c>
      <c r="F650" s="172" t="s">
        <v>37</v>
      </c>
      <c r="G650" s="172" t="s">
        <v>36</v>
      </c>
      <c r="H650" s="173" t="s">
        <v>181</v>
      </c>
      <c r="I650" s="181" t="s">
        <v>175</v>
      </c>
      <c r="J650" s="174">
        <v>0</v>
      </c>
      <c r="K650" s="175"/>
      <c r="L650" s="176">
        <v>-89689</v>
      </c>
      <c r="M650" s="177"/>
      <c r="N650" s="177"/>
      <c r="O650" s="178"/>
      <c r="P650" s="178"/>
      <c r="Q650" s="177"/>
      <c r="R650" s="177">
        <v>89689</v>
      </c>
      <c r="S650" s="280"/>
      <c r="T650" s="102">
        <f>SUM(Finance[[#This Row],[Samer]:[Margins]])</f>
        <v>0</v>
      </c>
      <c r="U650" s="103">
        <f>ABS(Finance[[#This Row],[Total (EGP)]])</f>
        <v>0</v>
      </c>
      <c r="V650" s="281"/>
    </row>
    <row r="651" spans="2:22" ht="18" customHeight="1" x14ac:dyDescent="0.3">
      <c r="B651" s="270">
        <v>45897</v>
      </c>
      <c r="C651" s="169">
        <f>YEAR(Finance[[#This Row],[Date]])</f>
        <v>2025</v>
      </c>
      <c r="D651" s="272">
        <f>MONTH(Finance[[#This Row],[Date]])</f>
        <v>8</v>
      </c>
      <c r="E651" s="39" t="s">
        <v>705</v>
      </c>
      <c r="F651" s="6" t="s">
        <v>34</v>
      </c>
      <c r="G651" s="6" t="s">
        <v>66</v>
      </c>
      <c r="H651" s="134" t="s">
        <v>210</v>
      </c>
      <c r="I651" s="135" t="s">
        <v>175</v>
      </c>
      <c r="J651" s="136">
        <v>1</v>
      </c>
      <c r="K651" s="31"/>
      <c r="L651" s="132">
        <f>90000*0.25</f>
        <v>22500</v>
      </c>
      <c r="M651" s="164"/>
      <c r="N651" s="164"/>
      <c r="O651" s="165"/>
      <c r="P651" s="165"/>
      <c r="Q651" s="145"/>
      <c r="R651" s="145">
        <f>38000+33150+30000*0.5+18050+25000+10000+12000</f>
        <v>151200</v>
      </c>
      <c r="S651" s="280"/>
      <c r="T651" s="102">
        <f>SUM(Finance[[#This Row],[Samer]:[Margins]])</f>
        <v>173700</v>
      </c>
      <c r="U651" s="103">
        <f>ABS(Finance[[#This Row],[Total (EGP)]])</f>
        <v>173700</v>
      </c>
      <c r="V651" s="281"/>
    </row>
    <row r="652" spans="2:22" ht="18" customHeight="1" x14ac:dyDescent="0.3">
      <c r="B652" s="270">
        <v>45897</v>
      </c>
      <c r="C652" s="169">
        <f>YEAR(Finance[[#This Row],[Date]])</f>
        <v>2025</v>
      </c>
      <c r="D652" s="285">
        <f>MONTH(Finance[[#This Row],[Date]])</f>
        <v>8</v>
      </c>
      <c r="E652" s="39" t="s">
        <v>706</v>
      </c>
      <c r="F652" s="6" t="s">
        <v>34</v>
      </c>
      <c r="G652" s="6" t="s">
        <v>66</v>
      </c>
      <c r="H652" s="134" t="s">
        <v>211</v>
      </c>
      <c r="I652" s="135" t="s">
        <v>175</v>
      </c>
      <c r="J652" s="136">
        <v>3</v>
      </c>
      <c r="K652" s="31"/>
      <c r="L652" s="132">
        <f>90000*0.3</f>
        <v>27000</v>
      </c>
      <c r="M652" s="164"/>
      <c r="N652" s="164"/>
      <c r="O652" s="165"/>
      <c r="P652" s="165"/>
      <c r="Q652" s="145"/>
      <c r="R652" s="145">
        <f>17550+12500+19500</f>
        <v>49550</v>
      </c>
      <c r="S652" s="286"/>
      <c r="T652" s="102">
        <f>SUM(Finance[[#This Row],[Samer]:[Margins]])</f>
        <v>76550</v>
      </c>
      <c r="U652" s="103">
        <f>ABS(Finance[[#This Row],[Total (EGP)]])</f>
        <v>76550</v>
      </c>
      <c r="V652" s="287"/>
    </row>
    <row r="653" spans="2:22" ht="18" customHeight="1" x14ac:dyDescent="0.3">
      <c r="B653" s="270">
        <v>45897</v>
      </c>
      <c r="C653" s="169">
        <f>YEAR(Finance[[#This Row],[Date]])</f>
        <v>2025</v>
      </c>
      <c r="D653" s="285">
        <f>MONTH(Finance[[#This Row],[Date]])</f>
        <v>8</v>
      </c>
      <c r="E653" s="39" t="s">
        <v>707</v>
      </c>
      <c r="F653" s="6" t="s">
        <v>34</v>
      </c>
      <c r="G653" s="6" t="s">
        <v>66</v>
      </c>
      <c r="H653" s="134" t="s">
        <v>212</v>
      </c>
      <c r="I653" s="135" t="s">
        <v>175</v>
      </c>
      <c r="J653" s="136">
        <v>4</v>
      </c>
      <c r="K653" s="31"/>
      <c r="L653" s="132">
        <f>90000*0.2</f>
        <v>18000</v>
      </c>
      <c r="M653" s="164"/>
      <c r="N653" s="164"/>
      <c r="O653" s="165"/>
      <c r="P653" s="165"/>
      <c r="Q653" s="145"/>
      <c r="R653" s="145">
        <f>23000+30000*0.5+12000</f>
        <v>50000</v>
      </c>
      <c r="S653" s="286"/>
      <c r="T653" s="102">
        <f>SUM(Finance[[#This Row],[Samer]:[Margins]])</f>
        <v>68000</v>
      </c>
      <c r="U653" s="103">
        <f>ABS(Finance[[#This Row],[Total (EGP)]])</f>
        <v>68000</v>
      </c>
      <c r="V653" s="287"/>
    </row>
    <row r="654" spans="2:22" ht="18" customHeight="1" x14ac:dyDescent="0.3">
      <c r="B654" s="270">
        <v>45897</v>
      </c>
      <c r="C654" s="169">
        <f>YEAR(Finance[[#This Row],[Date]])</f>
        <v>2025</v>
      </c>
      <c r="D654" s="285">
        <f>MONTH(Finance[[#This Row],[Date]])</f>
        <v>8</v>
      </c>
      <c r="E654" s="39" t="s">
        <v>708</v>
      </c>
      <c r="F654" s="6" t="s">
        <v>34</v>
      </c>
      <c r="G654" s="6" t="s">
        <v>66</v>
      </c>
      <c r="H654" s="134" t="s">
        <v>209</v>
      </c>
      <c r="I654" s="135" t="s">
        <v>175</v>
      </c>
      <c r="J654" s="136">
        <v>2</v>
      </c>
      <c r="K654" s="31"/>
      <c r="L654" s="132">
        <f>90000*0.25</f>
        <v>22500</v>
      </c>
      <c r="M654" s="164"/>
      <c r="N654" s="164"/>
      <c r="O654" s="165"/>
      <c r="P654" s="165"/>
      <c r="Q654" s="145"/>
      <c r="R654" s="145">
        <f>38000+17000+13000+14000+17000</f>
        <v>99000</v>
      </c>
      <c r="S654" s="286"/>
      <c r="T654" s="102">
        <f>SUM(Finance[[#This Row],[Samer]:[Margins]])</f>
        <v>121500</v>
      </c>
      <c r="U654" s="103">
        <f>ABS(Finance[[#This Row],[Total (EGP)]])</f>
        <v>121500</v>
      </c>
      <c r="V654" s="287"/>
    </row>
    <row r="655" spans="2:22" ht="18" customHeight="1" x14ac:dyDescent="0.3">
      <c r="B655" s="270">
        <v>45897</v>
      </c>
      <c r="C655" s="169">
        <f>YEAR(Finance[[#This Row],[Date]])</f>
        <v>2025</v>
      </c>
      <c r="D655" s="285">
        <f>MONTH(Finance[[#This Row],[Date]])</f>
        <v>8</v>
      </c>
      <c r="E655" s="39" t="s">
        <v>709</v>
      </c>
      <c r="F655" s="39" t="s">
        <v>29</v>
      </c>
      <c r="G655" s="39" t="s">
        <v>213</v>
      </c>
      <c r="H655" s="48" t="s">
        <v>214</v>
      </c>
      <c r="I655" s="114" t="s">
        <v>175</v>
      </c>
      <c r="J655" s="131">
        <v>3</v>
      </c>
      <c r="K655" s="31"/>
      <c r="L655" s="132">
        <v>-311</v>
      </c>
      <c r="M655" s="164"/>
      <c r="N655" s="164"/>
      <c r="O655" s="165"/>
      <c r="P655" s="165"/>
      <c r="Q655" s="145"/>
      <c r="R655" s="145">
        <f>-311*10-691</f>
        <v>-3801</v>
      </c>
      <c r="S655" s="286"/>
      <c r="T655" s="102">
        <f>SUM(Finance[[#This Row],[Samer]:[Margins]])</f>
        <v>-4112</v>
      </c>
      <c r="U655" s="103">
        <f>ABS(Finance[[#This Row],[Total (EGP)]])</f>
        <v>4112</v>
      </c>
      <c r="V655" s="287"/>
    </row>
    <row r="656" spans="2:22" ht="18" customHeight="1" x14ac:dyDescent="0.3">
      <c r="B656" s="270">
        <v>45897</v>
      </c>
      <c r="C656" s="169">
        <f>YEAR(Finance[[#This Row],[Date]])</f>
        <v>2025</v>
      </c>
      <c r="D656" s="285">
        <f>MONTH(Finance[[#This Row],[Date]])</f>
        <v>8</v>
      </c>
      <c r="E656" s="6" t="s">
        <v>254</v>
      </c>
      <c r="F656" s="172" t="s">
        <v>29</v>
      </c>
      <c r="G656" s="6" t="s">
        <v>55</v>
      </c>
      <c r="H656" s="134" t="s">
        <v>352</v>
      </c>
      <c r="I656" s="135" t="s">
        <v>175</v>
      </c>
      <c r="J656" s="136">
        <v>3</v>
      </c>
      <c r="K656" s="251"/>
      <c r="L656" s="252"/>
      <c r="M656" s="253"/>
      <c r="N656" s="253"/>
      <c r="O656" s="254"/>
      <c r="P656" s="254"/>
      <c r="Q656" s="253"/>
      <c r="R656" s="253"/>
      <c r="S656" s="286">
        <v>5479</v>
      </c>
      <c r="T656" s="102">
        <f>SUM(Finance[[#This Row],[Samer]:[Margins]])</f>
        <v>5479</v>
      </c>
      <c r="U656" s="103">
        <f>ABS(Finance[[#This Row],[Total (EGP)]])</f>
        <v>5479</v>
      </c>
      <c r="V656" s="287"/>
    </row>
    <row r="657" spans="2:22" ht="18" customHeight="1" x14ac:dyDescent="0.3">
      <c r="B657" s="270">
        <v>45897</v>
      </c>
      <c r="C657" s="169">
        <f>YEAR(Finance[[#This Row],[Date]])</f>
        <v>2025</v>
      </c>
      <c r="D657" s="285">
        <f>MONTH(Finance[[#This Row],[Date]])</f>
        <v>8</v>
      </c>
      <c r="E657" s="6" t="s">
        <v>101</v>
      </c>
      <c r="F657" s="39" t="s">
        <v>29</v>
      </c>
      <c r="G657" s="6" t="s">
        <v>101</v>
      </c>
      <c r="H657" s="134" t="s">
        <v>74</v>
      </c>
      <c r="I657" s="135" t="s">
        <v>175</v>
      </c>
      <c r="J657" s="136">
        <v>3</v>
      </c>
      <c r="K657" s="251"/>
      <c r="L657" s="252"/>
      <c r="M657" s="253"/>
      <c r="N657" s="253"/>
      <c r="O657" s="254"/>
      <c r="P657" s="254"/>
      <c r="Q657" s="253"/>
      <c r="R657" s="253"/>
      <c r="S657" s="286">
        <v>745</v>
      </c>
      <c r="T657" s="102">
        <f>SUM(Finance[[#This Row],[Samer]:[Margins]])</f>
        <v>745</v>
      </c>
      <c r="U657" s="103">
        <f>ABS(Finance[[#This Row],[Total (EGP)]])</f>
        <v>745</v>
      </c>
      <c r="V657" s="287"/>
    </row>
    <row r="658" spans="2:22" ht="18" customHeight="1" x14ac:dyDescent="0.3">
      <c r="B658" s="270">
        <v>45897</v>
      </c>
      <c r="C658" s="169">
        <f>YEAR(Finance[[#This Row],[Date]])</f>
        <v>2025</v>
      </c>
      <c r="D658" s="285">
        <f>MONTH(Finance[[#This Row],[Date]])</f>
        <v>8</v>
      </c>
      <c r="E658" s="39" t="s">
        <v>32</v>
      </c>
      <c r="F658" s="39" t="s">
        <v>29</v>
      </c>
      <c r="G658" s="6" t="s">
        <v>32</v>
      </c>
      <c r="H658" s="134" t="s">
        <v>142</v>
      </c>
      <c r="I658" s="135" t="s">
        <v>175</v>
      </c>
      <c r="J658" s="136">
        <v>3</v>
      </c>
      <c r="K658" s="251"/>
      <c r="L658" s="252"/>
      <c r="M658" s="253"/>
      <c r="N658" s="253"/>
      <c r="O658" s="254"/>
      <c r="P658" s="254"/>
      <c r="Q658" s="253"/>
      <c r="R658" s="253"/>
      <c r="S658" s="286">
        <f>170+100+130</f>
        <v>400</v>
      </c>
      <c r="T658" s="102">
        <f>SUM(Finance[[#This Row],[Samer]:[Margins]])</f>
        <v>400</v>
      </c>
      <c r="U658" s="103">
        <f>ABS(Finance[[#This Row],[Total (EGP)]])</f>
        <v>400</v>
      </c>
      <c r="V658" s="287"/>
    </row>
    <row r="659" spans="2:22" ht="18" customHeight="1" x14ac:dyDescent="0.3">
      <c r="B659" s="270">
        <v>45897</v>
      </c>
      <c r="C659" s="169">
        <f>YEAR(Finance[[#This Row],[Date]])</f>
        <v>2025</v>
      </c>
      <c r="D659" s="285">
        <f>MONTH(Finance[[#This Row],[Date]])</f>
        <v>8</v>
      </c>
      <c r="E659" s="153" t="s">
        <v>295</v>
      </c>
      <c r="F659" s="6" t="s">
        <v>29</v>
      </c>
      <c r="G659" s="6" t="s">
        <v>111</v>
      </c>
      <c r="H659" s="134" t="s">
        <v>296</v>
      </c>
      <c r="I659" s="114" t="s">
        <v>175</v>
      </c>
      <c r="J659" s="136">
        <v>3</v>
      </c>
      <c r="K659" s="201"/>
      <c r="L659" s="202"/>
      <c r="M659" s="253"/>
      <c r="N659" s="253"/>
      <c r="O659" s="254"/>
      <c r="P659" s="254"/>
      <c r="Q659" s="253"/>
      <c r="R659" s="253"/>
      <c r="S659" s="286">
        <v>1032</v>
      </c>
      <c r="T659" s="102">
        <f>SUM(Finance[[#This Row],[Samer]:[Margins]])</f>
        <v>1032</v>
      </c>
      <c r="U659" s="103">
        <f>ABS(Finance[[#This Row],[Total (EGP)]])</f>
        <v>1032</v>
      </c>
      <c r="V659" s="287"/>
    </row>
    <row r="660" spans="2:22" ht="18" customHeight="1" x14ac:dyDescent="0.3">
      <c r="B660" s="7">
        <v>45897</v>
      </c>
      <c r="C660" s="169">
        <f>YEAR(Finance[[#This Row],[Date]])</f>
        <v>2025</v>
      </c>
      <c r="D660" s="285">
        <f>MONTH(Finance[[#This Row],[Date]])</f>
        <v>8</v>
      </c>
      <c r="E660" s="6" t="s">
        <v>714</v>
      </c>
      <c r="F660" s="39" t="s">
        <v>84</v>
      </c>
      <c r="G660" s="6" t="s">
        <v>85</v>
      </c>
      <c r="H660" s="48" t="s">
        <v>222</v>
      </c>
      <c r="I660" s="135" t="s">
        <v>175</v>
      </c>
      <c r="J660" s="136">
        <v>3</v>
      </c>
      <c r="K660" s="193"/>
      <c r="L660" s="194"/>
      <c r="M660" s="195"/>
      <c r="N660" s="195"/>
      <c r="O660" s="196"/>
      <c r="P660" s="196"/>
      <c r="Q660" s="195"/>
      <c r="R660" s="195">
        <v>9851</v>
      </c>
      <c r="S660" s="286"/>
      <c r="T660" s="102">
        <f>SUM(Finance[[#This Row],[Samer]:[Margins]])</f>
        <v>9851</v>
      </c>
      <c r="U660" s="103">
        <f>ABS(Finance[[#This Row],[Total (EGP)]])</f>
        <v>9851</v>
      </c>
      <c r="V660" s="287"/>
    </row>
    <row r="661" spans="2:22" ht="18" customHeight="1" x14ac:dyDescent="0.3">
      <c r="B661" s="7">
        <v>45897</v>
      </c>
      <c r="C661" s="169">
        <f>YEAR(Finance[[#This Row],[Date]])</f>
        <v>2025</v>
      </c>
      <c r="D661" s="285">
        <f>MONTH(Finance[[#This Row],[Date]])</f>
        <v>8</v>
      </c>
      <c r="E661" s="6" t="s">
        <v>223</v>
      </c>
      <c r="F661" s="39" t="s">
        <v>29</v>
      </c>
      <c r="G661" s="6" t="s">
        <v>95</v>
      </c>
      <c r="H661" s="48" t="s">
        <v>194</v>
      </c>
      <c r="I661" s="135" t="s">
        <v>175</v>
      </c>
      <c r="J661" s="136">
        <v>3</v>
      </c>
      <c r="K661" s="193"/>
      <c r="L661" s="194"/>
      <c r="M661" s="195"/>
      <c r="N661" s="195"/>
      <c r="O661" s="196"/>
      <c r="P661" s="196"/>
      <c r="Q661" s="195"/>
      <c r="R661" s="195">
        <f>+R660*0.0107001</f>
        <v>105.4066851</v>
      </c>
      <c r="S661" s="286"/>
      <c r="T661" s="102">
        <f>SUM(Finance[[#This Row],[Samer]:[Margins]])</f>
        <v>105.4066851</v>
      </c>
      <c r="U661" s="103">
        <f>ABS(Finance[[#This Row],[Total (EGP)]])</f>
        <v>105.4066851</v>
      </c>
      <c r="V661" s="287"/>
    </row>
    <row r="662" spans="2:22" ht="18" customHeight="1" x14ac:dyDescent="0.3">
      <c r="B662" s="288">
        <v>45897</v>
      </c>
      <c r="C662" s="169">
        <f>YEAR(Finance[[#This Row],[Date]])</f>
        <v>2025</v>
      </c>
      <c r="D662" s="289">
        <f>MONTH(Finance[[#This Row],[Date]])</f>
        <v>8</v>
      </c>
      <c r="E662" s="290" t="s">
        <v>773</v>
      </c>
      <c r="F662" s="39" t="s">
        <v>29</v>
      </c>
      <c r="G662" s="39" t="s">
        <v>108</v>
      </c>
      <c r="H662" s="130" t="s">
        <v>182</v>
      </c>
      <c r="I662" s="114" t="s">
        <v>175</v>
      </c>
      <c r="J662" s="131">
        <v>4</v>
      </c>
      <c r="K662" s="294"/>
      <c r="L662" s="295"/>
      <c r="M662" s="296"/>
      <c r="N662" s="296"/>
      <c r="O662" s="297"/>
      <c r="P662" s="297"/>
      <c r="Q662" s="296"/>
      <c r="R662" s="296">
        <f>5000+5000</f>
        <v>10000</v>
      </c>
      <c r="S662" s="298"/>
      <c r="T662" s="102">
        <f>SUM(Finance[[#This Row],[Samer]:[Margins]])</f>
        <v>10000</v>
      </c>
      <c r="U662" s="103">
        <f>ABS(Finance[[#This Row],[Total (EGP)]])</f>
        <v>10000</v>
      </c>
      <c r="V662" s="299"/>
    </row>
    <row r="663" spans="2:22" ht="18" customHeight="1" x14ac:dyDescent="0.3">
      <c r="B663" s="288">
        <v>45901</v>
      </c>
      <c r="C663" s="169">
        <f>YEAR(Finance[[#This Row],[Date]])</f>
        <v>2025</v>
      </c>
      <c r="D663" s="289">
        <f>MONTH(Finance[[#This Row],[Date]])</f>
        <v>9</v>
      </c>
      <c r="E663" s="39" t="s">
        <v>715</v>
      </c>
      <c r="F663" s="39" t="s">
        <v>30</v>
      </c>
      <c r="G663" s="39" t="s">
        <v>127</v>
      </c>
      <c r="H663" s="130" t="s">
        <v>176</v>
      </c>
      <c r="I663" s="114" t="s">
        <v>177</v>
      </c>
      <c r="J663" s="131">
        <v>1</v>
      </c>
      <c r="K663" s="31"/>
      <c r="L663" s="132">
        <f>57*57.05*1.25</f>
        <v>4064.8125</v>
      </c>
      <c r="M663" s="296"/>
      <c r="N663" s="296"/>
      <c r="O663" s="297"/>
      <c r="P663" s="297"/>
      <c r="Q663" s="296"/>
      <c r="R663" s="296"/>
      <c r="S663" s="298"/>
      <c r="T663" s="102">
        <f>SUM(Finance[[#This Row],[Samer]:[Margins]])</f>
        <v>4064.8125</v>
      </c>
      <c r="U663" s="103">
        <f>ABS(Finance[[#This Row],[Total (EGP)]])</f>
        <v>4064.8125</v>
      </c>
      <c r="V663" s="299"/>
    </row>
    <row r="664" spans="2:22" ht="18" customHeight="1" x14ac:dyDescent="0.3">
      <c r="B664" s="288">
        <v>45901</v>
      </c>
      <c r="C664" s="169">
        <f>YEAR(Finance[[#This Row],[Date]])</f>
        <v>2025</v>
      </c>
      <c r="D664" s="289">
        <f>MONTH(Finance[[#This Row],[Date]])</f>
        <v>9</v>
      </c>
      <c r="E664" s="39" t="s">
        <v>716</v>
      </c>
      <c r="F664" s="39" t="s">
        <v>30</v>
      </c>
      <c r="G664" s="39" t="s">
        <v>109</v>
      </c>
      <c r="H664" s="130" t="s">
        <v>176</v>
      </c>
      <c r="I664" s="114" t="s">
        <v>177</v>
      </c>
      <c r="J664" s="131">
        <v>1</v>
      </c>
      <c r="K664" s="175"/>
      <c r="L664" s="176">
        <f>17.66*2*48.61*1.05</f>
        <v>1802.75046</v>
      </c>
      <c r="M664" s="296"/>
      <c r="N664" s="296"/>
      <c r="O664" s="297"/>
      <c r="P664" s="297"/>
      <c r="Q664" s="296"/>
      <c r="R664" s="296"/>
      <c r="S664" s="298"/>
      <c r="T664" s="102">
        <f>SUM(Finance[[#This Row],[Samer]:[Margins]])</f>
        <v>1802.75046</v>
      </c>
      <c r="U664" s="103">
        <f>ABS(Finance[[#This Row],[Total (EGP)]])</f>
        <v>1802.75046</v>
      </c>
      <c r="V664" s="299"/>
    </row>
    <row r="665" spans="2:22" ht="18" customHeight="1" x14ac:dyDescent="0.3">
      <c r="B665" s="288">
        <v>45901</v>
      </c>
      <c r="C665" s="169">
        <f>YEAR(Finance[[#This Row],[Date]])</f>
        <v>2025</v>
      </c>
      <c r="D665" s="289">
        <f>MONTH(Finance[[#This Row],[Date]])</f>
        <v>9</v>
      </c>
      <c r="E665" s="39" t="s">
        <v>717</v>
      </c>
      <c r="F665" s="39" t="s">
        <v>29</v>
      </c>
      <c r="G665" s="39" t="s">
        <v>108</v>
      </c>
      <c r="H665" s="130" t="s">
        <v>182</v>
      </c>
      <c r="I665" s="114" t="s">
        <v>175</v>
      </c>
      <c r="J665" s="131">
        <v>4</v>
      </c>
      <c r="K665" s="201"/>
      <c r="L665" s="202">
        <f>280*48.61</f>
        <v>13610.8</v>
      </c>
      <c r="M665" s="296"/>
      <c r="N665" s="296"/>
      <c r="O665" s="297"/>
      <c r="P665" s="297"/>
      <c r="Q665" s="296"/>
      <c r="R665" s="296"/>
      <c r="S665" s="298"/>
      <c r="T665" s="102">
        <f>SUM(Finance[[#This Row],[Samer]:[Margins]])</f>
        <v>13610.8</v>
      </c>
      <c r="U665" s="103">
        <f>ABS(Finance[[#This Row],[Total (EGP)]])</f>
        <v>13610.8</v>
      </c>
      <c r="V665" s="299"/>
    </row>
    <row r="666" spans="2:22" ht="18" customHeight="1" x14ac:dyDescent="0.3">
      <c r="B666" s="288">
        <v>45901</v>
      </c>
      <c r="C666" s="169">
        <f>YEAR(Finance[[#This Row],[Date]])</f>
        <v>2025</v>
      </c>
      <c r="D666" s="289">
        <f>MONTH(Finance[[#This Row],[Date]])</f>
        <v>9</v>
      </c>
      <c r="E666" s="6" t="s">
        <v>262</v>
      </c>
      <c r="F666" s="290" t="s">
        <v>37</v>
      </c>
      <c r="G666" s="290" t="s">
        <v>36</v>
      </c>
      <c r="H666" s="291" t="s">
        <v>206</v>
      </c>
      <c r="I666" s="292" t="s">
        <v>175</v>
      </c>
      <c r="J666" s="293">
        <v>0</v>
      </c>
      <c r="K666" s="294"/>
      <c r="L666" s="295">
        <v>4000</v>
      </c>
      <c r="M666" s="296"/>
      <c r="N666" s="296"/>
      <c r="O666" s="297"/>
      <c r="P666" s="297"/>
      <c r="Q666" s="296"/>
      <c r="R666" s="296"/>
      <c r="S666" s="298">
        <v>-4000</v>
      </c>
      <c r="T666" s="102">
        <f>SUM(Finance[[#This Row],[Samer]:[Margins]])</f>
        <v>0</v>
      </c>
      <c r="U666" s="103">
        <f>ABS(Finance[[#This Row],[Total (EGP)]])</f>
        <v>0</v>
      </c>
      <c r="V666" s="299"/>
    </row>
    <row r="667" spans="2:22" ht="18" customHeight="1" x14ac:dyDescent="0.3">
      <c r="B667" s="288">
        <v>45901</v>
      </c>
      <c r="C667" s="169">
        <f>YEAR(Finance[[#This Row],[Date]])</f>
        <v>2025</v>
      </c>
      <c r="D667" s="289">
        <f>MONTH(Finance[[#This Row],[Date]])</f>
        <v>9</v>
      </c>
      <c r="E667" s="6" t="s">
        <v>377</v>
      </c>
      <c r="F667" s="6" t="s">
        <v>29</v>
      </c>
      <c r="G667" s="6" t="s">
        <v>95</v>
      </c>
      <c r="H667" s="134" t="s">
        <v>194</v>
      </c>
      <c r="I667" s="135" t="s">
        <v>175</v>
      </c>
      <c r="J667" s="136">
        <v>3</v>
      </c>
      <c r="K667" s="294"/>
      <c r="L667" s="295"/>
      <c r="M667" s="296"/>
      <c r="N667" s="296"/>
      <c r="O667" s="297"/>
      <c r="P667" s="297"/>
      <c r="Q667" s="296"/>
      <c r="R667" s="296">
        <v>150</v>
      </c>
      <c r="S667" s="298"/>
      <c r="T667" s="102">
        <f>SUM(Finance[[#This Row],[Samer]:[Margins]])</f>
        <v>150</v>
      </c>
      <c r="U667" s="103">
        <f>ABS(Finance[[#This Row],[Total (EGP)]])</f>
        <v>150</v>
      </c>
      <c r="V667" s="299"/>
    </row>
    <row r="668" spans="2:22" ht="18" customHeight="1" x14ac:dyDescent="0.3">
      <c r="B668" s="288">
        <v>45901</v>
      </c>
      <c r="C668" s="169">
        <f>YEAR(Finance[[#This Row],[Date]])</f>
        <v>2025</v>
      </c>
      <c r="D668" s="289">
        <f>MONTH(Finance[[#This Row],[Date]])</f>
        <v>9</v>
      </c>
      <c r="E668" s="6" t="s">
        <v>765</v>
      </c>
      <c r="F668" s="6" t="s">
        <v>29</v>
      </c>
      <c r="G668" s="6" t="s">
        <v>111</v>
      </c>
      <c r="H668" s="134" t="s">
        <v>259</v>
      </c>
      <c r="I668" s="135" t="s">
        <v>175</v>
      </c>
      <c r="J668" s="136">
        <v>3</v>
      </c>
      <c r="K668" s="294"/>
      <c r="L668" s="295"/>
      <c r="M668" s="296"/>
      <c r="N668" s="296"/>
      <c r="O668" s="297"/>
      <c r="P668" s="297"/>
      <c r="Q668" s="296"/>
      <c r="R668" s="296"/>
      <c r="S668" s="298">
        <v>20</v>
      </c>
      <c r="T668" s="102">
        <f>SUM(Finance[[#This Row],[Samer]:[Margins]])</f>
        <v>20</v>
      </c>
      <c r="U668" s="103">
        <f>ABS(Finance[[#This Row],[Total (EGP)]])</f>
        <v>20</v>
      </c>
      <c r="V668" s="299"/>
    </row>
    <row r="669" spans="2:22" ht="18" customHeight="1" x14ac:dyDescent="0.3">
      <c r="B669" s="288">
        <v>45908</v>
      </c>
      <c r="C669" s="169">
        <f>YEAR(Finance[[#This Row],[Date]])</f>
        <v>2025</v>
      </c>
      <c r="D669" s="289">
        <f>MONTH(Finance[[#This Row],[Date]])</f>
        <v>9</v>
      </c>
      <c r="E669" s="6" t="s">
        <v>720</v>
      </c>
      <c r="F669" s="6" t="s">
        <v>29</v>
      </c>
      <c r="G669" s="6" t="s">
        <v>108</v>
      </c>
      <c r="H669" s="134" t="s">
        <v>182</v>
      </c>
      <c r="I669" s="135" t="s">
        <v>175</v>
      </c>
      <c r="J669" s="136">
        <v>1</v>
      </c>
      <c r="K669" s="31"/>
      <c r="L669" s="132">
        <v>599</v>
      </c>
      <c r="M669" s="296"/>
      <c r="N669" s="296"/>
      <c r="O669" s="297"/>
      <c r="P669" s="297"/>
      <c r="Q669" s="296"/>
      <c r="R669" s="296"/>
      <c r="S669" s="298"/>
      <c r="T669" s="102">
        <f>SUM(Finance[[#This Row],[Samer]:[Margins]])</f>
        <v>599</v>
      </c>
      <c r="U669" s="103">
        <f>ABS(Finance[[#This Row],[Total (EGP)]])</f>
        <v>599</v>
      </c>
      <c r="V669" s="299"/>
    </row>
    <row r="670" spans="2:22" ht="18" customHeight="1" x14ac:dyDescent="0.3">
      <c r="B670" s="288">
        <v>45909</v>
      </c>
      <c r="C670" s="169">
        <f>YEAR(Finance[[#This Row],[Date]])</f>
        <v>2025</v>
      </c>
      <c r="D670" s="289">
        <f>MONTH(Finance[[#This Row],[Date]])</f>
        <v>9</v>
      </c>
      <c r="E670" s="290" t="s">
        <v>751</v>
      </c>
      <c r="F670" s="39" t="s">
        <v>29</v>
      </c>
      <c r="G670" s="39" t="s">
        <v>108</v>
      </c>
      <c r="H670" s="130" t="s">
        <v>182</v>
      </c>
      <c r="I670" s="114" t="s">
        <v>175</v>
      </c>
      <c r="J670" s="131">
        <v>4</v>
      </c>
      <c r="K670" s="294"/>
      <c r="L670" s="295">
        <v>1015.61</v>
      </c>
      <c r="M670" s="296"/>
      <c r="N670" s="296"/>
      <c r="O670" s="297"/>
      <c r="P670" s="297"/>
      <c r="Q670" s="296"/>
      <c r="R670" s="296"/>
      <c r="S670" s="298"/>
      <c r="T670" s="102">
        <f>SUM(Finance[[#This Row],[Samer]:[Margins]])</f>
        <v>1015.61</v>
      </c>
      <c r="U670" s="103">
        <f>ABS(Finance[[#This Row],[Total (EGP)]])</f>
        <v>1015.61</v>
      </c>
      <c r="V670" s="299"/>
    </row>
    <row r="671" spans="2:22" ht="18" customHeight="1" x14ac:dyDescent="0.3">
      <c r="B671" s="288">
        <v>45909</v>
      </c>
      <c r="C671" s="169">
        <f>YEAR(Finance[[#This Row],[Date]])</f>
        <v>2025</v>
      </c>
      <c r="D671" s="289">
        <f>MONTH(Finance[[#This Row],[Date]])</f>
        <v>9</v>
      </c>
      <c r="E671" s="290" t="s">
        <v>179</v>
      </c>
      <c r="F671" s="272" t="s">
        <v>37</v>
      </c>
      <c r="G671" s="272" t="s">
        <v>36</v>
      </c>
      <c r="H671" s="273" t="s">
        <v>181</v>
      </c>
      <c r="I671" s="274" t="s">
        <v>175</v>
      </c>
      <c r="J671" s="275">
        <v>0</v>
      </c>
      <c r="K671" s="294"/>
      <c r="L671" s="295">
        <v>-40000</v>
      </c>
      <c r="M671" s="296"/>
      <c r="N671" s="296"/>
      <c r="O671" s="297"/>
      <c r="P671" s="297"/>
      <c r="Q671" s="296"/>
      <c r="R671" s="296">
        <v>40000</v>
      </c>
      <c r="S671" s="298"/>
      <c r="T671" s="102">
        <f>SUM(Finance[[#This Row],[Samer]:[Margins]])</f>
        <v>0</v>
      </c>
      <c r="U671" s="103">
        <f>ABS(Finance[[#This Row],[Total (EGP)]])</f>
        <v>0</v>
      </c>
      <c r="V671" s="299"/>
    </row>
    <row r="672" spans="2:22" ht="18" customHeight="1" x14ac:dyDescent="0.3">
      <c r="B672" s="288">
        <v>45909</v>
      </c>
      <c r="C672" s="169">
        <f>YEAR(Finance[[#This Row],[Date]])</f>
        <v>2025</v>
      </c>
      <c r="D672" s="289">
        <f>MONTH(Finance[[#This Row],[Date]])</f>
        <v>9</v>
      </c>
      <c r="E672" s="6" t="s">
        <v>722</v>
      </c>
      <c r="F672" s="39" t="s">
        <v>29</v>
      </c>
      <c r="G672" s="6" t="s">
        <v>108</v>
      </c>
      <c r="H672" s="48" t="s">
        <v>182</v>
      </c>
      <c r="I672" s="135" t="s">
        <v>175</v>
      </c>
      <c r="J672" s="136">
        <v>1</v>
      </c>
      <c r="K672" s="31"/>
      <c r="L672" s="132">
        <f>41.38*48.25*1.05</f>
        <v>2096.4142500000003</v>
      </c>
      <c r="M672" s="296"/>
      <c r="N672" s="296"/>
      <c r="O672" s="297"/>
      <c r="P672" s="297"/>
      <c r="Q672" s="296"/>
      <c r="R672" s="296"/>
      <c r="S672" s="298"/>
      <c r="T672" s="102">
        <f>SUM(Finance[[#This Row],[Samer]:[Margins]])</f>
        <v>2096.4142500000003</v>
      </c>
      <c r="U672" s="103">
        <f>ABS(Finance[[#This Row],[Total (EGP)]])</f>
        <v>2096.4142500000003</v>
      </c>
      <c r="V672" s="299"/>
    </row>
    <row r="673" spans="2:22" ht="18" customHeight="1" x14ac:dyDescent="0.3">
      <c r="B673" s="288">
        <v>45910</v>
      </c>
      <c r="C673" s="169">
        <f>YEAR(Finance[[#This Row],[Date]])</f>
        <v>2025</v>
      </c>
      <c r="D673" s="289">
        <f>MONTH(Finance[[#This Row],[Date]])</f>
        <v>9</v>
      </c>
      <c r="E673" s="39" t="s">
        <v>674</v>
      </c>
      <c r="F673" s="39" t="s">
        <v>29</v>
      </c>
      <c r="G673" s="39" t="s">
        <v>108</v>
      </c>
      <c r="H673" s="48" t="s">
        <v>182</v>
      </c>
      <c r="I673" s="114" t="s">
        <v>175</v>
      </c>
      <c r="J673" s="250">
        <v>3</v>
      </c>
      <c r="K673" s="251"/>
      <c r="L673" s="138">
        <f>20*48.69*1.1</f>
        <v>1071.18</v>
      </c>
      <c r="M673" s="296"/>
      <c r="N673" s="296"/>
      <c r="O673" s="297"/>
      <c r="P673" s="297"/>
      <c r="Q673" s="296"/>
      <c r="R673" s="296"/>
      <c r="S673" s="298"/>
      <c r="T673" s="102">
        <f>SUM(Finance[[#This Row],[Samer]:[Margins]])</f>
        <v>1071.18</v>
      </c>
      <c r="U673" s="103">
        <f>ABS(Finance[[#This Row],[Total (EGP)]])</f>
        <v>1071.18</v>
      </c>
      <c r="V673" s="299"/>
    </row>
    <row r="674" spans="2:22" ht="18" customHeight="1" x14ac:dyDescent="0.3">
      <c r="B674" s="288">
        <v>45910</v>
      </c>
      <c r="C674" s="169">
        <f>YEAR(Finance[[#This Row],[Date]])</f>
        <v>2025</v>
      </c>
      <c r="D674" s="289">
        <f>MONTH(Finance[[#This Row],[Date]])</f>
        <v>9</v>
      </c>
      <c r="E674" s="39" t="s">
        <v>727</v>
      </c>
      <c r="F674" s="39" t="s">
        <v>30</v>
      </c>
      <c r="G674" s="6" t="s">
        <v>127</v>
      </c>
      <c r="H674" s="48" t="s">
        <v>176</v>
      </c>
      <c r="I674" s="135" t="s">
        <v>184</v>
      </c>
      <c r="J674" s="136">
        <v>4</v>
      </c>
      <c r="K674" s="136"/>
      <c r="L674" s="132">
        <f>78.28*48.25*1.25</f>
        <v>4721.2625000000007</v>
      </c>
      <c r="M674" s="296"/>
      <c r="N674" s="296"/>
      <c r="O674" s="297"/>
      <c r="P674" s="297"/>
      <c r="Q674" s="296"/>
      <c r="R674" s="296"/>
      <c r="S674" s="298"/>
      <c r="T674" s="102">
        <f>SUM(Finance[[#This Row],[Samer]:[Margins]])</f>
        <v>4721.2625000000007</v>
      </c>
      <c r="U674" s="103">
        <f>ABS(Finance[[#This Row],[Total (EGP)]])</f>
        <v>4721.2625000000007</v>
      </c>
      <c r="V674" s="299"/>
    </row>
    <row r="675" spans="2:22" ht="18" customHeight="1" x14ac:dyDescent="0.3">
      <c r="B675" s="288">
        <v>45910</v>
      </c>
      <c r="C675" s="169">
        <f>YEAR(Finance[[#This Row],[Date]])</f>
        <v>2025</v>
      </c>
      <c r="D675" s="289">
        <f>MONTH(Finance[[#This Row],[Date]])</f>
        <v>9</v>
      </c>
      <c r="E675" s="6" t="s">
        <v>728</v>
      </c>
      <c r="F675" s="39" t="s">
        <v>30</v>
      </c>
      <c r="G675" s="39" t="s">
        <v>127</v>
      </c>
      <c r="H675" s="48" t="s">
        <v>176</v>
      </c>
      <c r="I675" s="135" t="s">
        <v>185</v>
      </c>
      <c r="J675" s="136">
        <v>4</v>
      </c>
      <c r="K675" s="31"/>
      <c r="L675" s="132">
        <f>153*48.25*1.25</f>
        <v>9227.8125</v>
      </c>
      <c r="M675" s="296"/>
      <c r="N675" s="296"/>
      <c r="O675" s="297"/>
      <c r="P675" s="297"/>
      <c r="Q675" s="296"/>
      <c r="R675" s="296"/>
      <c r="S675" s="298"/>
      <c r="T675" s="102">
        <f>SUM(Finance[[#This Row],[Samer]:[Margins]])</f>
        <v>9227.8125</v>
      </c>
      <c r="U675" s="103">
        <f>ABS(Finance[[#This Row],[Total (EGP)]])</f>
        <v>9227.8125</v>
      </c>
      <c r="V675" s="299"/>
    </row>
    <row r="676" spans="2:22" ht="18" customHeight="1" x14ac:dyDescent="0.3">
      <c r="B676" s="288">
        <v>45911</v>
      </c>
      <c r="C676" s="169">
        <f>YEAR(Finance[[#This Row],[Date]])</f>
        <v>2025</v>
      </c>
      <c r="D676" s="289">
        <f>MONTH(Finance[[#This Row],[Date]])</f>
        <v>9</v>
      </c>
      <c r="E676" s="19" t="s">
        <v>718</v>
      </c>
      <c r="F676" s="6" t="s">
        <v>29</v>
      </c>
      <c r="G676" s="6" t="s">
        <v>108</v>
      </c>
      <c r="H676" s="134" t="s">
        <v>182</v>
      </c>
      <c r="I676" s="114" t="s">
        <v>175</v>
      </c>
      <c r="J676" s="136">
        <v>1</v>
      </c>
      <c r="K676" s="31"/>
      <c r="L676" s="132">
        <f>108.53*48.25*1.05</f>
        <v>5498.4011250000003</v>
      </c>
      <c r="M676" s="296"/>
      <c r="N676" s="296"/>
      <c r="O676" s="297"/>
      <c r="P676" s="297"/>
      <c r="Q676" s="296"/>
      <c r="R676" s="296"/>
      <c r="S676" s="298"/>
      <c r="T676" s="102">
        <f>SUM(Finance[[#This Row],[Samer]:[Margins]])</f>
        <v>5498.4011250000003</v>
      </c>
      <c r="U676" s="103">
        <f>ABS(Finance[[#This Row],[Total (EGP)]])</f>
        <v>5498.4011250000003</v>
      </c>
      <c r="V676" s="299"/>
    </row>
    <row r="677" spans="2:22" ht="18" customHeight="1" x14ac:dyDescent="0.3">
      <c r="B677" s="288">
        <v>45911</v>
      </c>
      <c r="C677" s="169">
        <f>YEAR(Finance[[#This Row],[Date]])</f>
        <v>2025</v>
      </c>
      <c r="D677" s="289">
        <f>MONTH(Finance[[#This Row],[Date]])</f>
        <v>9</v>
      </c>
      <c r="E677" s="39" t="s">
        <v>729</v>
      </c>
      <c r="F677" s="39" t="s">
        <v>29</v>
      </c>
      <c r="G677" s="39" t="s">
        <v>108</v>
      </c>
      <c r="H677" s="48" t="s">
        <v>182</v>
      </c>
      <c r="I677" s="114" t="s">
        <v>175</v>
      </c>
      <c r="J677" s="261">
        <v>4</v>
      </c>
      <c r="K677" s="262"/>
      <c r="L677" s="263">
        <v>699.99</v>
      </c>
      <c r="M677" s="296"/>
      <c r="N677" s="296"/>
      <c r="O677" s="297"/>
      <c r="P677" s="297"/>
      <c r="Q677" s="296"/>
      <c r="R677" s="296"/>
      <c r="S677" s="298"/>
      <c r="T677" s="102">
        <f>SUM(Finance[[#This Row],[Samer]:[Margins]])</f>
        <v>699.99</v>
      </c>
      <c r="U677" s="103">
        <f>ABS(Finance[[#This Row],[Total (EGP)]])</f>
        <v>699.99</v>
      </c>
      <c r="V677" s="299"/>
    </row>
    <row r="678" spans="2:22" ht="18" customHeight="1" x14ac:dyDescent="0.3">
      <c r="B678" s="288">
        <v>45911</v>
      </c>
      <c r="C678" s="169">
        <f>YEAR(Finance[[#This Row],[Date]])</f>
        <v>2025</v>
      </c>
      <c r="D678" s="289">
        <f>MONTH(Finance[[#This Row],[Date]])</f>
        <v>9</v>
      </c>
      <c r="E678" s="39" t="s">
        <v>726</v>
      </c>
      <c r="F678" s="6" t="s">
        <v>30</v>
      </c>
      <c r="G678" s="6" t="s">
        <v>88</v>
      </c>
      <c r="H678" s="134" t="s">
        <v>210</v>
      </c>
      <c r="I678" s="135" t="s">
        <v>177</v>
      </c>
      <c r="J678" s="136">
        <v>4</v>
      </c>
      <c r="K678" s="262"/>
      <c r="L678" s="263">
        <f>5*975*2</f>
        <v>9750</v>
      </c>
      <c r="M678" s="296"/>
      <c r="N678" s="296"/>
      <c r="O678" s="297"/>
      <c r="P678" s="297"/>
      <c r="Q678" s="296"/>
      <c r="R678" s="296"/>
      <c r="S678" s="298"/>
      <c r="T678" s="102">
        <f>SUM(Finance[[#This Row],[Samer]:[Margins]])</f>
        <v>9750</v>
      </c>
      <c r="U678" s="103">
        <f>ABS(Finance[[#This Row],[Total (EGP)]])</f>
        <v>9750</v>
      </c>
      <c r="V678" s="299"/>
    </row>
    <row r="679" spans="2:22" ht="18" customHeight="1" x14ac:dyDescent="0.3">
      <c r="B679" s="7">
        <v>45911</v>
      </c>
      <c r="C679" s="169">
        <f>YEAR(Finance[[#This Row],[Date]])</f>
        <v>2025</v>
      </c>
      <c r="D679" s="285">
        <f>MONTH(Finance[[#This Row],[Date]])</f>
        <v>9</v>
      </c>
      <c r="E679" s="39" t="s">
        <v>724</v>
      </c>
      <c r="F679" s="39" t="s">
        <v>29</v>
      </c>
      <c r="G679" s="39" t="s">
        <v>108</v>
      </c>
      <c r="H679" s="48" t="s">
        <v>182</v>
      </c>
      <c r="I679" s="114" t="s">
        <v>175</v>
      </c>
      <c r="J679" s="258">
        <v>4</v>
      </c>
      <c r="K679" s="264"/>
      <c r="L679" s="265">
        <f>72*48.25*1.05</f>
        <v>3647.7000000000003</v>
      </c>
      <c r="M679" s="96"/>
      <c r="N679" s="96"/>
      <c r="O679" s="75"/>
      <c r="P679" s="75"/>
      <c r="Q679" s="96"/>
      <c r="R679" s="96"/>
      <c r="S679" s="286"/>
      <c r="T679" s="102">
        <f>SUM(Finance[[#This Row],[Samer]:[Margins]])</f>
        <v>3647.7000000000003</v>
      </c>
      <c r="U679" s="103">
        <f>ABS(Finance[[#This Row],[Total (EGP)]])</f>
        <v>3647.7000000000003</v>
      </c>
      <c r="V679" s="287"/>
    </row>
    <row r="680" spans="2:22" ht="18" customHeight="1" x14ac:dyDescent="0.3">
      <c r="B680" s="7">
        <v>45911</v>
      </c>
      <c r="C680" s="169">
        <f>YEAR(Finance[[#This Row],[Date]])</f>
        <v>2025</v>
      </c>
      <c r="D680" s="285">
        <f>MONTH(Finance[[#This Row],[Date]])</f>
        <v>9</v>
      </c>
      <c r="E680" s="39" t="s">
        <v>700</v>
      </c>
      <c r="F680" s="272" t="s">
        <v>30</v>
      </c>
      <c r="G680" s="272" t="s">
        <v>88</v>
      </c>
      <c r="H680" s="273" t="s">
        <v>102</v>
      </c>
      <c r="I680" s="274" t="s">
        <v>235</v>
      </c>
      <c r="J680" s="275">
        <v>2</v>
      </c>
      <c r="K680" s="276"/>
      <c r="L680" s="277">
        <f>(600*975+122*1.5*975)/3*0.85</f>
        <v>216303.75</v>
      </c>
      <c r="M680" s="96"/>
      <c r="N680" s="96"/>
      <c r="O680" s="75"/>
      <c r="P680" s="75"/>
      <c r="Q680" s="96"/>
      <c r="R680" s="96"/>
      <c r="S680" s="286"/>
      <c r="T680" s="102">
        <f>SUM(Finance[[#This Row],[Samer]:[Margins]])</f>
        <v>216303.75</v>
      </c>
      <c r="U680" s="103">
        <f>ABS(Finance[[#This Row],[Total (EGP)]])</f>
        <v>216303.75</v>
      </c>
      <c r="V680" s="287"/>
    </row>
    <row r="681" spans="2:22" ht="18" customHeight="1" x14ac:dyDescent="0.3">
      <c r="B681" s="288">
        <v>45911</v>
      </c>
      <c r="C681" s="169">
        <f>YEAR(Finance[[#This Row],[Date]])</f>
        <v>2025</v>
      </c>
      <c r="D681" s="289">
        <f>MONTH(Finance[[#This Row],[Date]])</f>
        <v>9</v>
      </c>
      <c r="E681" s="19" t="s">
        <v>723</v>
      </c>
      <c r="F681" s="6" t="s">
        <v>29</v>
      </c>
      <c r="G681" s="6" t="s">
        <v>108</v>
      </c>
      <c r="H681" s="134" t="s">
        <v>182</v>
      </c>
      <c r="I681" s="114" t="s">
        <v>175</v>
      </c>
      <c r="J681" s="136">
        <v>1</v>
      </c>
      <c r="K681" s="31"/>
      <c r="L681" s="132">
        <f>342.9*48.25*1.05</f>
        <v>17372.171249999999</v>
      </c>
      <c r="M681" s="296"/>
      <c r="N681" s="296"/>
      <c r="O681" s="297"/>
      <c r="P681" s="297"/>
      <c r="Q681" s="296"/>
      <c r="R681" s="296"/>
      <c r="S681" s="298"/>
      <c r="T681" s="102">
        <f>SUM(Finance[[#This Row],[Samer]:[Margins]])</f>
        <v>17372.171249999999</v>
      </c>
      <c r="U681" s="103">
        <f>ABS(Finance[[#This Row],[Total (EGP)]])</f>
        <v>17372.171249999999</v>
      </c>
      <c r="V681" s="299"/>
    </row>
    <row r="682" spans="2:22" ht="18" customHeight="1" x14ac:dyDescent="0.3">
      <c r="B682" s="288">
        <v>45911</v>
      </c>
      <c r="C682" s="169">
        <f>YEAR(Finance[[#This Row],[Date]])</f>
        <v>2025</v>
      </c>
      <c r="D682" s="289">
        <f>MONTH(Finance[[#This Row],[Date]])</f>
        <v>9</v>
      </c>
      <c r="E682" s="290" t="s">
        <v>295</v>
      </c>
      <c r="F682" s="6" t="s">
        <v>29</v>
      </c>
      <c r="G682" s="6" t="s">
        <v>111</v>
      </c>
      <c r="H682" s="134" t="s">
        <v>296</v>
      </c>
      <c r="I682" s="114" t="s">
        <v>175</v>
      </c>
      <c r="J682" s="136">
        <v>3</v>
      </c>
      <c r="K682" s="294"/>
      <c r="L682" s="295">
        <v>520</v>
      </c>
      <c r="M682" s="296"/>
      <c r="N682" s="296"/>
      <c r="O682" s="297"/>
      <c r="P682" s="297"/>
      <c r="Q682" s="296"/>
      <c r="R682" s="296"/>
      <c r="S682" s="298"/>
      <c r="T682" s="102">
        <f>SUM(Finance[[#This Row],[Samer]:[Margins]])</f>
        <v>520</v>
      </c>
      <c r="U682" s="103">
        <f>ABS(Finance[[#This Row],[Total (EGP)]])</f>
        <v>520</v>
      </c>
      <c r="V682" s="299"/>
    </row>
    <row r="683" spans="2:22" ht="18" customHeight="1" x14ac:dyDescent="0.3">
      <c r="B683" s="288">
        <v>45911</v>
      </c>
      <c r="C683" s="169">
        <f>YEAR(Finance[[#This Row],[Date]])</f>
        <v>2025</v>
      </c>
      <c r="D683" s="289">
        <f>MONTH(Finance[[#This Row],[Date]])</f>
        <v>9</v>
      </c>
      <c r="E683" s="290" t="s">
        <v>179</v>
      </c>
      <c r="F683" s="272" t="s">
        <v>37</v>
      </c>
      <c r="G683" s="272" t="s">
        <v>36</v>
      </c>
      <c r="H683" s="273" t="s">
        <v>181</v>
      </c>
      <c r="I683" s="274" t="s">
        <v>175</v>
      </c>
      <c r="J683" s="275">
        <v>0</v>
      </c>
      <c r="K683" s="294"/>
      <c r="L683" s="295">
        <v>-200000</v>
      </c>
      <c r="M683" s="296"/>
      <c r="N683" s="296"/>
      <c r="O683" s="297"/>
      <c r="P683" s="297"/>
      <c r="Q683" s="296"/>
      <c r="R683" s="296">
        <v>200000</v>
      </c>
      <c r="S683" s="298"/>
      <c r="T683" s="102">
        <f>SUM(Finance[[#This Row],[Samer]:[Margins]])</f>
        <v>0</v>
      </c>
      <c r="U683" s="103">
        <f>ABS(Finance[[#This Row],[Total (EGP)]])</f>
        <v>0</v>
      </c>
      <c r="V683" s="299"/>
    </row>
    <row r="684" spans="2:22" ht="18" customHeight="1" x14ac:dyDescent="0.3">
      <c r="B684" s="288">
        <v>45911</v>
      </c>
      <c r="C684" s="169">
        <f>YEAR(Finance[[#This Row],[Date]])</f>
        <v>2025</v>
      </c>
      <c r="D684" s="289">
        <f>MONTH(Finance[[#This Row],[Date]])</f>
        <v>9</v>
      </c>
      <c r="E684" s="6" t="s">
        <v>737</v>
      </c>
      <c r="F684" s="6" t="s">
        <v>73</v>
      </c>
      <c r="G684" s="6" t="s">
        <v>75</v>
      </c>
      <c r="H684" s="134" t="s">
        <v>234</v>
      </c>
      <c r="I684" s="135" t="s">
        <v>177</v>
      </c>
      <c r="J684" s="136">
        <v>4</v>
      </c>
      <c r="K684" s="294"/>
      <c r="L684" s="295"/>
      <c r="M684" s="296"/>
      <c r="N684" s="296"/>
      <c r="O684" s="297"/>
      <c r="P684" s="297"/>
      <c r="Q684" s="296"/>
      <c r="R684" s="296">
        <v>-13566.04</v>
      </c>
      <c r="S684" s="298"/>
      <c r="T684" s="102">
        <f>SUM(Finance[[#This Row],[Samer]:[Margins]])</f>
        <v>-13566.04</v>
      </c>
      <c r="U684" s="103">
        <f>ABS(Finance[[#This Row],[Total (EGP)]])</f>
        <v>13566.04</v>
      </c>
      <c r="V684" s="299"/>
    </row>
    <row r="685" spans="2:22" ht="18" customHeight="1" x14ac:dyDescent="0.3">
      <c r="B685" s="288">
        <v>45911</v>
      </c>
      <c r="C685" s="169">
        <f>YEAR(Finance[[#This Row],[Date]])</f>
        <v>2025</v>
      </c>
      <c r="D685" s="289">
        <f>MONTH(Finance[[#This Row],[Date]])</f>
        <v>9</v>
      </c>
      <c r="E685" s="6" t="s">
        <v>237</v>
      </c>
      <c r="F685" s="6" t="s">
        <v>73</v>
      </c>
      <c r="G685" s="6" t="s">
        <v>75</v>
      </c>
      <c r="H685" s="134" t="s">
        <v>90</v>
      </c>
      <c r="I685" s="135" t="s">
        <v>177</v>
      </c>
      <c r="J685" s="136">
        <v>4</v>
      </c>
      <c r="K685" s="294"/>
      <c r="L685" s="295"/>
      <c r="M685" s="296"/>
      <c r="N685" s="296"/>
      <c r="O685" s="297"/>
      <c r="P685" s="297"/>
      <c r="Q685" s="296"/>
      <c r="R685" s="296">
        <f>-13566.04*0.14</f>
        <v>-1899.2456000000002</v>
      </c>
      <c r="S685" s="298"/>
      <c r="T685" s="102">
        <f>SUM(Finance[[#This Row],[Samer]:[Margins]])</f>
        <v>-1899.2456000000002</v>
      </c>
      <c r="U685" s="103">
        <f>ABS(Finance[[#This Row],[Total (EGP)]])</f>
        <v>1899.2456000000002</v>
      </c>
      <c r="V685" s="299"/>
    </row>
    <row r="686" spans="2:22" ht="18" customHeight="1" x14ac:dyDescent="0.3">
      <c r="B686" s="288">
        <v>45911</v>
      </c>
      <c r="C686" s="169">
        <f>YEAR(Finance[[#This Row],[Date]])</f>
        <v>2025</v>
      </c>
      <c r="D686" s="289">
        <f>MONTH(Finance[[#This Row],[Date]])</f>
        <v>9</v>
      </c>
      <c r="E686" s="6" t="s">
        <v>238</v>
      </c>
      <c r="F686" s="6" t="s">
        <v>84</v>
      </c>
      <c r="G686" s="6" t="s">
        <v>86</v>
      </c>
      <c r="H686" s="134" t="s">
        <v>234</v>
      </c>
      <c r="I686" s="135" t="s">
        <v>177</v>
      </c>
      <c r="J686" s="136">
        <v>4</v>
      </c>
      <c r="K686" s="294"/>
      <c r="L686" s="295"/>
      <c r="M686" s="296"/>
      <c r="N686" s="296"/>
      <c r="O686" s="297"/>
      <c r="P686" s="297"/>
      <c r="Q686" s="296"/>
      <c r="R686" s="296">
        <f>13566.04*0.03</f>
        <v>406.9812</v>
      </c>
      <c r="S686" s="298"/>
      <c r="T686" s="102">
        <f>SUM(Finance[[#This Row],[Samer]:[Margins]])</f>
        <v>406.9812</v>
      </c>
      <c r="U686" s="103">
        <f>ABS(Finance[[#This Row],[Total (EGP)]])</f>
        <v>406.9812</v>
      </c>
      <c r="V686" s="299"/>
    </row>
    <row r="687" spans="2:22" ht="18" customHeight="1" x14ac:dyDescent="0.3">
      <c r="B687" s="288">
        <v>45911</v>
      </c>
      <c r="C687" s="169">
        <f>YEAR(Finance[[#This Row],[Date]])</f>
        <v>2025</v>
      </c>
      <c r="D687" s="289">
        <f>MONTH(Finance[[#This Row],[Date]])</f>
        <v>9</v>
      </c>
      <c r="E687" s="6" t="s">
        <v>736</v>
      </c>
      <c r="F687" s="6" t="s">
        <v>73</v>
      </c>
      <c r="G687" s="6" t="s">
        <v>233</v>
      </c>
      <c r="H687" s="134" t="s">
        <v>234</v>
      </c>
      <c r="I687" s="135" t="s">
        <v>235</v>
      </c>
      <c r="J687" s="136">
        <v>1</v>
      </c>
      <c r="K687" s="294"/>
      <c r="L687" s="295"/>
      <c r="M687" s="296"/>
      <c r="N687" s="296"/>
      <c r="O687" s="297"/>
      <c r="P687" s="297"/>
      <c r="Q687" s="296"/>
      <c r="R687" s="296">
        <v>-12124.33</v>
      </c>
      <c r="S687" s="298"/>
      <c r="T687" s="102">
        <f>SUM(Finance[[#This Row],[Samer]:[Margins]])</f>
        <v>-12124.33</v>
      </c>
      <c r="U687" s="103">
        <f>ABS(Finance[[#This Row],[Total (EGP)]])</f>
        <v>12124.33</v>
      </c>
      <c r="V687" s="299"/>
    </row>
    <row r="688" spans="2:22" ht="18" customHeight="1" x14ac:dyDescent="0.3">
      <c r="B688" s="288">
        <v>45911</v>
      </c>
      <c r="C688" s="169">
        <f>YEAR(Finance[[#This Row],[Date]])</f>
        <v>2025</v>
      </c>
      <c r="D688" s="289">
        <f>MONTH(Finance[[#This Row],[Date]])</f>
        <v>9</v>
      </c>
      <c r="E688" s="6" t="s">
        <v>237</v>
      </c>
      <c r="F688" s="6" t="s">
        <v>73</v>
      </c>
      <c r="G688" s="126" t="s">
        <v>233</v>
      </c>
      <c r="H688" s="127" t="s">
        <v>90</v>
      </c>
      <c r="I688" s="135" t="s">
        <v>235</v>
      </c>
      <c r="J688" s="129">
        <v>1</v>
      </c>
      <c r="K688" s="294"/>
      <c r="L688" s="295"/>
      <c r="M688" s="296"/>
      <c r="N688" s="296"/>
      <c r="O688" s="297"/>
      <c r="P688" s="297"/>
      <c r="Q688" s="296"/>
      <c r="R688" s="296">
        <f>-670628.78*0.14</f>
        <v>-93888.029200000019</v>
      </c>
      <c r="S688" s="298"/>
      <c r="T688" s="102">
        <f>SUM(Finance[[#This Row],[Samer]:[Margins]])</f>
        <v>-93888.029200000019</v>
      </c>
      <c r="U688" s="103">
        <f>ABS(Finance[[#This Row],[Total (EGP)]])</f>
        <v>93888.029200000019</v>
      </c>
      <c r="V688" s="299"/>
    </row>
    <row r="689" spans="2:22" ht="18" customHeight="1" x14ac:dyDescent="0.3">
      <c r="B689" s="288">
        <v>45911</v>
      </c>
      <c r="C689" s="169">
        <f>YEAR(Finance[[#This Row],[Date]])</f>
        <v>2025</v>
      </c>
      <c r="D689" s="289">
        <f>MONTH(Finance[[#This Row],[Date]])</f>
        <v>9</v>
      </c>
      <c r="E689" s="6" t="s">
        <v>238</v>
      </c>
      <c r="F689" s="6" t="s">
        <v>84</v>
      </c>
      <c r="G689" s="6" t="s">
        <v>86</v>
      </c>
      <c r="H689" s="134" t="s">
        <v>234</v>
      </c>
      <c r="I689" s="135" t="s">
        <v>235</v>
      </c>
      <c r="J689" s="129">
        <v>1</v>
      </c>
      <c r="K689" s="294"/>
      <c r="L689" s="295"/>
      <c r="M689" s="296"/>
      <c r="N689" s="296"/>
      <c r="O689" s="297"/>
      <c r="P689" s="297"/>
      <c r="Q689" s="296"/>
      <c r="R689" s="296">
        <f>670628.78*0.03</f>
        <v>20118.863399999998</v>
      </c>
      <c r="S689" s="298"/>
      <c r="T689" s="102">
        <f>SUM(Finance[[#This Row],[Samer]:[Margins]])</f>
        <v>20118.863399999998</v>
      </c>
      <c r="U689" s="103">
        <f>ABS(Finance[[#This Row],[Total (EGP)]])</f>
        <v>20118.863399999998</v>
      </c>
      <c r="V689" s="299"/>
    </row>
    <row r="690" spans="2:22" ht="18" customHeight="1" x14ac:dyDescent="0.3">
      <c r="B690" s="288">
        <v>45911</v>
      </c>
      <c r="C690" s="169">
        <f>YEAR(Finance[[#This Row],[Date]])</f>
        <v>2025</v>
      </c>
      <c r="D690" s="289">
        <f>MONTH(Finance[[#This Row],[Date]])</f>
        <v>9</v>
      </c>
      <c r="E690" s="6" t="s">
        <v>738</v>
      </c>
      <c r="F690" s="6" t="s">
        <v>73</v>
      </c>
      <c r="G690" s="6" t="s">
        <v>233</v>
      </c>
      <c r="H690" s="134" t="s">
        <v>234</v>
      </c>
      <c r="I690" s="135" t="s">
        <v>235</v>
      </c>
      <c r="J690" s="136">
        <v>1</v>
      </c>
      <c r="K690" s="294"/>
      <c r="L690" s="295"/>
      <c r="M690" s="296"/>
      <c r="N690" s="296"/>
      <c r="O690" s="297"/>
      <c r="P690" s="297"/>
      <c r="Q690" s="296"/>
      <c r="R690" s="296">
        <v>-399048.2</v>
      </c>
      <c r="S690" s="298"/>
      <c r="T690" s="102">
        <f>SUM(Finance[[#This Row],[Samer]:[Margins]])</f>
        <v>-399048.2</v>
      </c>
      <c r="U690" s="103">
        <f>ABS(Finance[[#This Row],[Total (EGP)]])</f>
        <v>399048.2</v>
      </c>
      <c r="V690" s="299"/>
    </row>
    <row r="691" spans="2:22" ht="18" customHeight="1" x14ac:dyDescent="0.3">
      <c r="B691" s="288">
        <v>45911</v>
      </c>
      <c r="C691" s="169">
        <f>YEAR(Finance[[#This Row],[Date]])</f>
        <v>2025</v>
      </c>
      <c r="D691" s="289">
        <f>MONTH(Finance[[#This Row],[Date]])</f>
        <v>9</v>
      </c>
      <c r="E691" s="6" t="s">
        <v>757</v>
      </c>
      <c r="F691" s="6" t="s">
        <v>29</v>
      </c>
      <c r="G691" s="6" t="s">
        <v>95</v>
      </c>
      <c r="H691" s="134" t="s">
        <v>194</v>
      </c>
      <c r="I691" s="114" t="s">
        <v>235</v>
      </c>
      <c r="J691" s="136">
        <v>3</v>
      </c>
      <c r="K691" s="294"/>
      <c r="L691" s="295"/>
      <c r="M691" s="296"/>
      <c r="N691" s="296"/>
      <c r="O691" s="297"/>
      <c r="P691" s="297"/>
      <c r="Q691" s="296"/>
      <c r="R691" s="296">
        <v>25</v>
      </c>
      <c r="S691" s="298"/>
      <c r="T691" s="102">
        <f>SUM(Finance[[#This Row],[Samer]:[Margins]])</f>
        <v>25</v>
      </c>
      <c r="U691" s="103">
        <f>ABS(Finance[[#This Row],[Total (EGP)]])</f>
        <v>25</v>
      </c>
      <c r="V691" s="299"/>
    </row>
    <row r="692" spans="2:22" ht="18" customHeight="1" x14ac:dyDescent="0.3">
      <c r="B692" s="288">
        <v>45914</v>
      </c>
      <c r="C692" s="169">
        <f>YEAR(Finance[[#This Row],[Date]])</f>
        <v>2025</v>
      </c>
      <c r="D692" s="289">
        <f>MONTH(Finance[[#This Row],[Date]])</f>
        <v>9</v>
      </c>
      <c r="E692" s="19" t="s">
        <v>730</v>
      </c>
      <c r="F692" s="6" t="s">
        <v>73</v>
      </c>
      <c r="G692" s="6" t="s">
        <v>75</v>
      </c>
      <c r="H692" s="134" t="s">
        <v>234</v>
      </c>
      <c r="I692" s="135" t="s">
        <v>185</v>
      </c>
      <c r="J692" s="136">
        <v>4</v>
      </c>
      <c r="K692" s="294"/>
      <c r="L692" s="295"/>
      <c r="M692" s="296"/>
      <c r="N692" s="296"/>
      <c r="O692" s="297"/>
      <c r="P692" s="297"/>
      <c r="Q692" s="296"/>
      <c r="R692" s="296">
        <v>-21561.96</v>
      </c>
      <c r="S692" s="298"/>
      <c r="T692" s="102">
        <f>SUM(Finance[[#This Row],[Samer]:[Margins]])</f>
        <v>-21561.96</v>
      </c>
      <c r="U692" s="103">
        <f>ABS(Finance[[#This Row],[Total (EGP)]])</f>
        <v>21561.96</v>
      </c>
      <c r="V692" s="299"/>
    </row>
    <row r="693" spans="2:22" ht="18" customHeight="1" x14ac:dyDescent="0.3">
      <c r="B693" s="288">
        <v>45914</v>
      </c>
      <c r="C693" s="169">
        <f>YEAR(Finance[[#This Row],[Date]])</f>
        <v>2025</v>
      </c>
      <c r="D693" s="289">
        <f>MONTH(Finance[[#This Row],[Date]])</f>
        <v>9</v>
      </c>
      <c r="E693" s="19" t="s">
        <v>270</v>
      </c>
      <c r="F693" s="6" t="s">
        <v>73</v>
      </c>
      <c r="G693" s="6" t="s">
        <v>75</v>
      </c>
      <c r="H693" s="134" t="s">
        <v>90</v>
      </c>
      <c r="I693" s="135" t="s">
        <v>185</v>
      </c>
      <c r="J693" s="136">
        <v>4</v>
      </c>
      <c r="K693" s="294"/>
      <c r="L693" s="295"/>
      <c r="M693" s="296"/>
      <c r="N693" s="296"/>
      <c r="O693" s="297"/>
      <c r="P693" s="297"/>
      <c r="Q693" s="296"/>
      <c r="R693" s="296">
        <f>-21561.96*0.14</f>
        <v>-3018.6744000000003</v>
      </c>
      <c r="S693" s="298"/>
      <c r="T693" s="102">
        <f>SUM(Finance[[#This Row],[Samer]:[Margins]])</f>
        <v>-3018.6744000000003</v>
      </c>
      <c r="U693" s="103">
        <f>ABS(Finance[[#This Row],[Total (EGP)]])</f>
        <v>3018.6744000000003</v>
      </c>
      <c r="V693" s="299"/>
    </row>
    <row r="694" spans="2:22" ht="18" customHeight="1" x14ac:dyDescent="0.3">
      <c r="B694" s="288">
        <v>45914</v>
      </c>
      <c r="C694" s="169">
        <f>YEAR(Finance[[#This Row],[Date]])</f>
        <v>2025</v>
      </c>
      <c r="D694" s="289">
        <f>MONTH(Finance[[#This Row],[Date]])</f>
        <v>9</v>
      </c>
      <c r="E694" s="19" t="s">
        <v>271</v>
      </c>
      <c r="F694" s="6" t="s">
        <v>84</v>
      </c>
      <c r="G694" s="6" t="s">
        <v>86</v>
      </c>
      <c r="H694" s="134" t="s">
        <v>234</v>
      </c>
      <c r="I694" s="135" t="s">
        <v>185</v>
      </c>
      <c r="J694" s="136">
        <v>4</v>
      </c>
      <c r="K694" s="294"/>
      <c r="L694" s="295"/>
      <c r="M694" s="296"/>
      <c r="N694" s="296"/>
      <c r="O694" s="297"/>
      <c r="P694" s="297"/>
      <c r="Q694" s="296"/>
      <c r="R694" s="296">
        <f>21561.96*0.03</f>
        <v>646.85879999999997</v>
      </c>
      <c r="S694" s="298"/>
      <c r="T694" s="102">
        <f>SUM(Finance[[#This Row],[Samer]:[Margins]])</f>
        <v>646.85879999999997</v>
      </c>
      <c r="U694" s="103">
        <f>ABS(Finance[[#This Row],[Total (EGP)]])</f>
        <v>646.85879999999997</v>
      </c>
      <c r="V694" s="299"/>
    </row>
    <row r="695" spans="2:22" ht="18" customHeight="1" x14ac:dyDescent="0.3">
      <c r="B695" s="288">
        <v>45914</v>
      </c>
      <c r="C695" s="169">
        <f>YEAR(Finance[[#This Row],[Date]])</f>
        <v>2025</v>
      </c>
      <c r="D695" s="289">
        <f>MONTH(Finance[[#This Row],[Date]])</f>
        <v>9</v>
      </c>
      <c r="E695" s="19" t="s">
        <v>731</v>
      </c>
      <c r="F695" s="6" t="s">
        <v>73</v>
      </c>
      <c r="G695" s="6" t="s">
        <v>272</v>
      </c>
      <c r="H695" s="134" t="s">
        <v>234</v>
      </c>
      <c r="I695" s="135" t="s">
        <v>185</v>
      </c>
      <c r="J695" s="136">
        <v>5</v>
      </c>
      <c r="K695" s="294"/>
      <c r="L695" s="295"/>
      <c r="M695" s="296"/>
      <c r="N695" s="296"/>
      <c r="O695" s="297"/>
      <c r="P695" s="297"/>
      <c r="Q695" s="296"/>
      <c r="R695" s="296">
        <v>-4875</v>
      </c>
      <c r="S695" s="298"/>
      <c r="T695" s="102">
        <f>SUM(Finance[[#This Row],[Samer]:[Margins]])</f>
        <v>-4875</v>
      </c>
      <c r="U695" s="103">
        <f>ABS(Finance[[#This Row],[Total (EGP)]])</f>
        <v>4875</v>
      </c>
      <c r="V695" s="299"/>
    </row>
    <row r="696" spans="2:22" ht="18" customHeight="1" x14ac:dyDescent="0.3">
      <c r="B696" s="288">
        <v>45914</v>
      </c>
      <c r="C696" s="169">
        <f>YEAR(Finance[[#This Row],[Date]])</f>
        <v>2025</v>
      </c>
      <c r="D696" s="289">
        <f>MONTH(Finance[[#This Row],[Date]])</f>
        <v>9</v>
      </c>
      <c r="E696" s="19" t="s">
        <v>273</v>
      </c>
      <c r="F696" s="6" t="s">
        <v>73</v>
      </c>
      <c r="G696" s="6" t="s">
        <v>272</v>
      </c>
      <c r="H696" s="134" t="s">
        <v>90</v>
      </c>
      <c r="I696" s="135" t="s">
        <v>185</v>
      </c>
      <c r="J696" s="136">
        <v>5</v>
      </c>
      <c r="K696" s="294"/>
      <c r="L696" s="295"/>
      <c r="M696" s="296"/>
      <c r="N696" s="296"/>
      <c r="O696" s="297"/>
      <c r="P696" s="297"/>
      <c r="Q696" s="296"/>
      <c r="R696" s="296">
        <f>-4875*0.14</f>
        <v>-682.50000000000011</v>
      </c>
      <c r="S696" s="298"/>
      <c r="T696" s="102">
        <f>SUM(Finance[[#This Row],[Samer]:[Margins]])</f>
        <v>-682.50000000000011</v>
      </c>
      <c r="U696" s="103">
        <f>ABS(Finance[[#This Row],[Total (EGP)]])</f>
        <v>682.50000000000011</v>
      </c>
      <c r="V696" s="299"/>
    </row>
    <row r="697" spans="2:22" ht="18" customHeight="1" x14ac:dyDescent="0.3">
      <c r="B697" s="288">
        <v>45914</v>
      </c>
      <c r="C697" s="169">
        <f>YEAR(Finance[[#This Row],[Date]])</f>
        <v>2025</v>
      </c>
      <c r="D697" s="289">
        <f>MONTH(Finance[[#This Row],[Date]])</f>
        <v>9</v>
      </c>
      <c r="E697" s="19" t="s">
        <v>274</v>
      </c>
      <c r="F697" s="6" t="s">
        <v>84</v>
      </c>
      <c r="G697" s="6" t="s">
        <v>86</v>
      </c>
      <c r="H697" s="134" t="s">
        <v>234</v>
      </c>
      <c r="I697" s="135" t="s">
        <v>185</v>
      </c>
      <c r="J697" s="136">
        <v>5</v>
      </c>
      <c r="K697" s="294"/>
      <c r="L697" s="295"/>
      <c r="M697" s="296"/>
      <c r="N697" s="296"/>
      <c r="O697" s="297"/>
      <c r="P697" s="297"/>
      <c r="Q697" s="296"/>
      <c r="R697" s="296">
        <f>4875*0.03</f>
        <v>146.25</v>
      </c>
      <c r="S697" s="298"/>
      <c r="T697" s="102">
        <f>SUM(Finance[[#This Row],[Samer]:[Margins]])</f>
        <v>146.25</v>
      </c>
      <c r="U697" s="103">
        <f>ABS(Finance[[#This Row],[Total (EGP)]])</f>
        <v>146.25</v>
      </c>
      <c r="V697" s="299"/>
    </row>
    <row r="698" spans="2:22" ht="18" customHeight="1" x14ac:dyDescent="0.3">
      <c r="B698" s="288">
        <v>45914</v>
      </c>
      <c r="C698" s="169">
        <f>YEAR(Finance[[#This Row],[Date]])</f>
        <v>2025</v>
      </c>
      <c r="D698" s="289">
        <f>MONTH(Finance[[#This Row],[Date]])</f>
        <v>9</v>
      </c>
      <c r="E698" s="6" t="s">
        <v>275</v>
      </c>
      <c r="F698" s="6" t="s">
        <v>29</v>
      </c>
      <c r="G698" s="6" t="s">
        <v>95</v>
      </c>
      <c r="H698" s="48" t="s">
        <v>276</v>
      </c>
      <c r="I698" s="135" t="s">
        <v>185</v>
      </c>
      <c r="J698" s="136">
        <v>3</v>
      </c>
      <c r="K698" s="294"/>
      <c r="L698" s="295"/>
      <c r="M698" s="296"/>
      <c r="N698" s="296"/>
      <c r="O698" s="297"/>
      <c r="P698" s="297"/>
      <c r="Q698" s="296"/>
      <c r="R698" s="296">
        <v>25</v>
      </c>
      <c r="S698" s="298"/>
      <c r="T698" s="102">
        <f>SUM(Finance[[#This Row],[Samer]:[Margins]])</f>
        <v>25</v>
      </c>
      <c r="U698" s="103">
        <f>ABS(Finance[[#This Row],[Total (EGP)]])</f>
        <v>25</v>
      </c>
      <c r="V698" s="299"/>
    </row>
    <row r="699" spans="2:22" ht="18" customHeight="1" x14ac:dyDescent="0.3">
      <c r="B699" s="288">
        <v>45914</v>
      </c>
      <c r="C699" s="169">
        <f>YEAR(Finance[[#This Row],[Date]])</f>
        <v>2025</v>
      </c>
      <c r="D699" s="289">
        <f>MONTH(Finance[[#This Row],[Date]])</f>
        <v>9</v>
      </c>
      <c r="E699" s="290" t="s">
        <v>732</v>
      </c>
      <c r="F699" s="290" t="s">
        <v>27</v>
      </c>
      <c r="G699" s="290" t="s">
        <v>50</v>
      </c>
      <c r="H699" s="291" t="s">
        <v>733</v>
      </c>
      <c r="I699" s="292" t="s">
        <v>175</v>
      </c>
      <c r="J699" s="293">
        <v>3</v>
      </c>
      <c r="K699" s="294"/>
      <c r="L699" s="295">
        <v>1600</v>
      </c>
      <c r="M699" s="296"/>
      <c r="N699" s="296"/>
      <c r="O699" s="297"/>
      <c r="P699" s="297"/>
      <c r="Q699" s="296"/>
      <c r="R699" s="296"/>
      <c r="S699" s="298"/>
      <c r="T699" s="102">
        <f>SUM(Finance[[#This Row],[Samer]:[Margins]])</f>
        <v>1600</v>
      </c>
      <c r="U699" s="103">
        <f>ABS(Finance[[#This Row],[Total (EGP)]])</f>
        <v>1600</v>
      </c>
      <c r="V699" s="299"/>
    </row>
    <row r="700" spans="2:22" ht="18" customHeight="1" x14ac:dyDescent="0.3">
      <c r="B700" s="288">
        <v>45914</v>
      </c>
      <c r="C700" s="169">
        <f>YEAR(Finance[[#This Row],[Date]])</f>
        <v>2025</v>
      </c>
      <c r="D700" s="289">
        <f>MONTH(Finance[[#This Row],[Date]])</f>
        <v>9</v>
      </c>
      <c r="E700" s="6" t="s">
        <v>739</v>
      </c>
      <c r="F700" s="6" t="s">
        <v>30</v>
      </c>
      <c r="G700" s="6" t="s">
        <v>127</v>
      </c>
      <c r="H700" s="134" t="s">
        <v>190</v>
      </c>
      <c r="I700" s="135" t="s">
        <v>175</v>
      </c>
      <c r="J700" s="131">
        <v>4</v>
      </c>
      <c r="K700" s="31"/>
      <c r="L700" s="132">
        <f>18.4*57.09*1.25</f>
        <v>1313.07</v>
      </c>
      <c r="M700" s="296"/>
      <c r="N700" s="296"/>
      <c r="O700" s="297"/>
      <c r="P700" s="297"/>
      <c r="Q700" s="296"/>
      <c r="R700" s="296"/>
      <c r="S700" s="298"/>
      <c r="T700" s="102">
        <f>SUM(Finance[[#This Row],[Samer]:[Margins]])</f>
        <v>1313.07</v>
      </c>
      <c r="U700" s="103">
        <f>ABS(Finance[[#This Row],[Total (EGP)]])</f>
        <v>1313.07</v>
      </c>
      <c r="V700" s="299"/>
    </row>
    <row r="701" spans="2:22" ht="18" customHeight="1" x14ac:dyDescent="0.3">
      <c r="B701" s="288">
        <v>45914</v>
      </c>
      <c r="C701" s="169">
        <f>YEAR(Finance[[#This Row],[Date]])</f>
        <v>2025</v>
      </c>
      <c r="D701" s="289">
        <f>MONTH(Finance[[#This Row],[Date]])</f>
        <v>9</v>
      </c>
      <c r="E701" s="39" t="s">
        <v>740</v>
      </c>
      <c r="F701" s="39" t="s">
        <v>30</v>
      </c>
      <c r="G701" s="39" t="s">
        <v>127</v>
      </c>
      <c r="H701" s="130" t="s">
        <v>176</v>
      </c>
      <c r="I701" s="114" t="s">
        <v>177</v>
      </c>
      <c r="J701" s="131">
        <v>1</v>
      </c>
      <c r="K701" s="31"/>
      <c r="L701" s="132">
        <f>94.06*57.09*1.25</f>
        <v>6712.3567499999999</v>
      </c>
      <c r="M701" s="296"/>
      <c r="N701" s="296"/>
      <c r="O701" s="297"/>
      <c r="P701" s="297"/>
      <c r="Q701" s="296"/>
      <c r="R701" s="296"/>
      <c r="S701" s="298"/>
      <c r="T701" s="102">
        <f>SUM(Finance[[#This Row],[Samer]:[Margins]])</f>
        <v>6712.3567499999999</v>
      </c>
      <c r="U701" s="103">
        <f>ABS(Finance[[#This Row],[Total (EGP)]])</f>
        <v>6712.3567499999999</v>
      </c>
      <c r="V701" s="299"/>
    </row>
    <row r="702" spans="2:22" ht="18" customHeight="1" x14ac:dyDescent="0.3">
      <c r="B702" s="288">
        <v>45914</v>
      </c>
      <c r="C702" s="169">
        <f>YEAR(Finance[[#This Row],[Date]])</f>
        <v>2025</v>
      </c>
      <c r="D702" s="289">
        <f>MONTH(Finance[[#This Row],[Date]])</f>
        <v>9</v>
      </c>
      <c r="E702" s="6" t="s">
        <v>193</v>
      </c>
      <c r="F702" s="6" t="s">
        <v>29</v>
      </c>
      <c r="G702" s="6" t="s">
        <v>95</v>
      </c>
      <c r="H702" s="134" t="s">
        <v>194</v>
      </c>
      <c r="I702" s="135" t="s">
        <v>175</v>
      </c>
      <c r="J702" s="136">
        <v>3</v>
      </c>
      <c r="K702" s="294"/>
      <c r="L702" s="295"/>
      <c r="M702" s="296"/>
      <c r="N702" s="296"/>
      <c r="O702" s="297"/>
      <c r="P702" s="297"/>
      <c r="Q702" s="296"/>
      <c r="R702" s="296">
        <v>150</v>
      </c>
      <c r="S702" s="298"/>
      <c r="T702" s="102">
        <f>SUM(Finance[[#This Row],[Samer]:[Margins]])</f>
        <v>150</v>
      </c>
      <c r="U702" s="103">
        <f>ABS(Finance[[#This Row],[Total (EGP)]])</f>
        <v>150</v>
      </c>
      <c r="V702" s="299"/>
    </row>
    <row r="703" spans="2:22" ht="18" customHeight="1" x14ac:dyDescent="0.3">
      <c r="B703" s="288">
        <v>45917</v>
      </c>
      <c r="C703" s="169">
        <f>YEAR(Finance[[#This Row],[Date]])</f>
        <v>2025</v>
      </c>
      <c r="D703" s="289">
        <f>MONTH(Finance[[#This Row],[Date]])</f>
        <v>9</v>
      </c>
      <c r="E703" s="290" t="s">
        <v>262</v>
      </c>
      <c r="F703" s="272" t="s">
        <v>37</v>
      </c>
      <c r="G703" s="272" t="s">
        <v>36</v>
      </c>
      <c r="H703" s="48" t="s">
        <v>206</v>
      </c>
      <c r="I703" s="274" t="s">
        <v>175</v>
      </c>
      <c r="J703" s="275">
        <v>0</v>
      </c>
      <c r="K703" s="294"/>
      <c r="L703" s="295">
        <v>4000</v>
      </c>
      <c r="M703" s="296"/>
      <c r="N703" s="296"/>
      <c r="O703" s="297"/>
      <c r="P703" s="297"/>
      <c r="Q703" s="296"/>
      <c r="R703" s="296"/>
      <c r="S703" s="298">
        <v>-4000</v>
      </c>
      <c r="T703" s="102">
        <f>SUM(Finance[[#This Row],[Samer]:[Margins]])</f>
        <v>0</v>
      </c>
      <c r="U703" s="103">
        <f>ABS(Finance[[#This Row],[Total (EGP)]])</f>
        <v>0</v>
      </c>
      <c r="V703" s="299"/>
    </row>
    <row r="704" spans="2:22" ht="18" customHeight="1" x14ac:dyDescent="0.3">
      <c r="B704" s="288">
        <v>45917</v>
      </c>
      <c r="C704" s="169">
        <f>YEAR(Finance[[#This Row],[Date]])</f>
        <v>2025</v>
      </c>
      <c r="D704" s="289">
        <f>MONTH(Finance[[#This Row],[Date]])</f>
        <v>9</v>
      </c>
      <c r="E704" s="290" t="s">
        <v>735</v>
      </c>
      <c r="F704" s="39" t="s">
        <v>29</v>
      </c>
      <c r="G704" s="6" t="s">
        <v>56</v>
      </c>
      <c r="H704" s="48" t="s">
        <v>142</v>
      </c>
      <c r="I704" s="135" t="s">
        <v>175</v>
      </c>
      <c r="J704" s="131">
        <v>3</v>
      </c>
      <c r="K704" s="294"/>
      <c r="L704" s="295"/>
      <c r="M704" s="296"/>
      <c r="N704" s="296"/>
      <c r="O704" s="297"/>
      <c r="P704" s="297"/>
      <c r="Q704" s="296"/>
      <c r="R704" s="296"/>
      <c r="S704" s="298">
        <v>350</v>
      </c>
      <c r="T704" s="102">
        <f>SUM(Finance[[#This Row],[Samer]:[Margins]])</f>
        <v>350</v>
      </c>
      <c r="U704" s="103">
        <f>ABS(Finance[[#This Row],[Total (EGP)]])</f>
        <v>350</v>
      </c>
      <c r="V704" s="299"/>
    </row>
    <row r="705" spans="2:22" ht="18" customHeight="1" x14ac:dyDescent="0.3">
      <c r="B705" s="288">
        <v>45921</v>
      </c>
      <c r="C705" s="169">
        <f>YEAR(Finance[[#This Row],[Date]])</f>
        <v>2025</v>
      </c>
      <c r="D705" s="289">
        <f>MONTH(Finance[[#This Row],[Date]])</f>
        <v>9</v>
      </c>
      <c r="E705" s="39" t="s">
        <v>741</v>
      </c>
      <c r="F705" s="158" t="s">
        <v>34</v>
      </c>
      <c r="G705" s="6" t="s">
        <v>66</v>
      </c>
      <c r="H705" s="134" t="s">
        <v>210</v>
      </c>
      <c r="I705" s="114" t="s">
        <v>175</v>
      </c>
      <c r="J705" s="136">
        <v>3</v>
      </c>
      <c r="K705" s="294"/>
      <c r="L705" s="295"/>
      <c r="M705" s="296"/>
      <c r="N705" s="296"/>
      <c r="O705" s="297"/>
      <c r="P705" s="297"/>
      <c r="Q705" s="296"/>
      <c r="R705" s="296">
        <v>10000</v>
      </c>
      <c r="S705" s="298"/>
      <c r="T705" s="102">
        <f>SUM(Finance[[#This Row],[Samer]:[Margins]])</f>
        <v>10000</v>
      </c>
      <c r="U705" s="103">
        <f>ABS(Finance[[#This Row],[Total (EGP)]])</f>
        <v>10000</v>
      </c>
      <c r="V705" s="299"/>
    </row>
    <row r="706" spans="2:22" ht="18" customHeight="1" x14ac:dyDescent="0.3">
      <c r="B706" s="288">
        <v>45921</v>
      </c>
      <c r="C706" s="169">
        <f>YEAR(Finance[[#This Row],[Date]])</f>
        <v>2025</v>
      </c>
      <c r="D706" s="289">
        <f>MONTH(Finance[[#This Row],[Date]])</f>
        <v>9</v>
      </c>
      <c r="E706" s="290" t="s">
        <v>742</v>
      </c>
      <c r="F706" s="290" t="s">
        <v>28</v>
      </c>
      <c r="G706" s="290" t="s">
        <v>92</v>
      </c>
      <c r="H706" s="291" t="s">
        <v>744</v>
      </c>
      <c r="I706" s="292" t="s">
        <v>175</v>
      </c>
      <c r="J706" s="293">
        <v>3</v>
      </c>
      <c r="K706" s="294"/>
      <c r="L706" s="295"/>
      <c r="M706" s="296"/>
      <c r="N706" s="296"/>
      <c r="O706" s="297"/>
      <c r="P706" s="297"/>
      <c r="Q706" s="296"/>
      <c r="R706" s="296">
        <v>5000</v>
      </c>
      <c r="S706" s="298"/>
      <c r="T706" s="102">
        <f>SUM(Finance[[#This Row],[Samer]:[Margins]])</f>
        <v>5000</v>
      </c>
      <c r="U706" s="103">
        <f>ABS(Finance[[#This Row],[Total (EGP)]])</f>
        <v>5000</v>
      </c>
      <c r="V706" s="299"/>
    </row>
    <row r="707" spans="2:22" ht="18" customHeight="1" x14ac:dyDescent="0.3">
      <c r="B707" s="288">
        <v>45921</v>
      </c>
      <c r="C707" s="169">
        <f>YEAR(Finance[[#This Row],[Date]])</f>
        <v>2025</v>
      </c>
      <c r="D707" s="289">
        <f>MONTH(Finance[[#This Row],[Date]])</f>
        <v>9</v>
      </c>
      <c r="E707" s="290" t="s">
        <v>743</v>
      </c>
      <c r="F707" s="290" t="s">
        <v>28</v>
      </c>
      <c r="G707" s="290" t="s">
        <v>92</v>
      </c>
      <c r="H707" s="291" t="s">
        <v>744</v>
      </c>
      <c r="I707" s="292" t="s">
        <v>175</v>
      </c>
      <c r="J707" s="293">
        <v>3</v>
      </c>
      <c r="K707" s="294"/>
      <c r="L707" s="295"/>
      <c r="M707" s="296"/>
      <c r="N707" s="296"/>
      <c r="O707" s="297"/>
      <c r="P707" s="297"/>
      <c r="Q707" s="296"/>
      <c r="R707" s="296">
        <v>5000</v>
      </c>
      <c r="S707" s="298"/>
      <c r="T707" s="102">
        <f>SUM(Finance[[#This Row],[Samer]:[Margins]])</f>
        <v>5000</v>
      </c>
      <c r="U707" s="103">
        <f>ABS(Finance[[#This Row],[Total (EGP)]])</f>
        <v>5000</v>
      </c>
      <c r="V707" s="299"/>
    </row>
    <row r="708" spans="2:22" ht="18" customHeight="1" x14ac:dyDescent="0.3">
      <c r="B708" s="288">
        <v>45921</v>
      </c>
      <c r="C708" s="169">
        <f>YEAR(Finance[[#This Row],[Date]])</f>
        <v>2025</v>
      </c>
      <c r="D708" s="289">
        <f>MONTH(Finance[[#This Row],[Date]])</f>
        <v>9</v>
      </c>
      <c r="E708" s="290" t="s">
        <v>745</v>
      </c>
      <c r="F708" s="290" t="s">
        <v>28</v>
      </c>
      <c r="G708" s="290" t="s">
        <v>92</v>
      </c>
      <c r="H708" s="291" t="s">
        <v>744</v>
      </c>
      <c r="I708" s="292" t="s">
        <v>175</v>
      </c>
      <c r="J708" s="293">
        <v>3</v>
      </c>
      <c r="K708" s="294"/>
      <c r="L708" s="295">
        <v>3000</v>
      </c>
      <c r="M708" s="296"/>
      <c r="N708" s="296"/>
      <c r="O708" s="297"/>
      <c r="P708" s="297"/>
      <c r="Q708" s="296"/>
      <c r="R708" s="296"/>
      <c r="S708" s="298"/>
      <c r="T708" s="102">
        <f>SUM(Finance[[#This Row],[Samer]:[Margins]])</f>
        <v>3000</v>
      </c>
      <c r="U708" s="103">
        <f>ABS(Finance[[#This Row],[Total (EGP)]])</f>
        <v>3000</v>
      </c>
      <c r="V708" s="299"/>
    </row>
    <row r="709" spans="2:22" ht="18" customHeight="1" x14ac:dyDescent="0.3">
      <c r="B709" s="288">
        <v>45922</v>
      </c>
      <c r="C709" s="169">
        <f>YEAR(Finance[[#This Row],[Date]])</f>
        <v>2025</v>
      </c>
      <c r="D709" s="289">
        <f>MONTH(Finance[[#This Row],[Date]])</f>
        <v>9</v>
      </c>
      <c r="E709" s="6" t="s">
        <v>747</v>
      </c>
      <c r="F709" s="39" t="s">
        <v>84</v>
      </c>
      <c r="G709" s="39" t="s">
        <v>144</v>
      </c>
      <c r="H709" s="48" t="s">
        <v>144</v>
      </c>
      <c r="I709" s="114" t="s">
        <v>175</v>
      </c>
      <c r="J709" s="131">
        <v>3</v>
      </c>
      <c r="K709" s="294"/>
      <c r="L709" s="295"/>
      <c r="M709" s="296"/>
      <c r="N709" s="296"/>
      <c r="O709" s="297"/>
      <c r="P709" s="297"/>
      <c r="Q709" s="296"/>
      <c r="R709" s="296">
        <v>375000</v>
      </c>
      <c r="S709" s="298"/>
      <c r="T709" s="102">
        <f>SUM(Finance[[#This Row],[Samer]:[Margins]])</f>
        <v>375000</v>
      </c>
      <c r="U709" s="103">
        <f>ABS(Finance[[#This Row],[Total (EGP)]])</f>
        <v>375000</v>
      </c>
      <c r="V709" s="299"/>
    </row>
    <row r="710" spans="2:22" ht="18" customHeight="1" x14ac:dyDescent="0.3">
      <c r="B710" s="288">
        <v>45922</v>
      </c>
      <c r="C710" s="169">
        <f>YEAR(Finance[[#This Row],[Date]])</f>
        <v>2025</v>
      </c>
      <c r="D710" s="289">
        <f>MONTH(Finance[[#This Row],[Date]])</f>
        <v>9</v>
      </c>
      <c r="E710" s="6" t="s">
        <v>746</v>
      </c>
      <c r="F710" s="39" t="s">
        <v>29</v>
      </c>
      <c r="G710" s="48" t="s">
        <v>95</v>
      </c>
      <c r="H710" s="48" t="s">
        <v>194</v>
      </c>
      <c r="I710" s="114" t="s">
        <v>175</v>
      </c>
      <c r="J710" s="131">
        <v>3</v>
      </c>
      <c r="K710" s="294"/>
      <c r="L710" s="295"/>
      <c r="M710" s="296"/>
      <c r="N710" s="296"/>
      <c r="O710" s="297"/>
      <c r="P710" s="297"/>
      <c r="Q710" s="296"/>
      <c r="R710" s="296">
        <f>375000*0.001978666</f>
        <v>741.99975000000006</v>
      </c>
      <c r="S710" s="298"/>
      <c r="T710" s="102">
        <f>SUM(Finance[[#This Row],[Samer]:[Margins]])</f>
        <v>741.99975000000006</v>
      </c>
      <c r="U710" s="103">
        <f>ABS(Finance[[#This Row],[Total (EGP)]])</f>
        <v>741.99975000000006</v>
      </c>
      <c r="V710" s="299"/>
    </row>
    <row r="711" spans="2:22" ht="18" customHeight="1" x14ac:dyDescent="0.3">
      <c r="B711" s="288">
        <v>45922</v>
      </c>
      <c r="C711" s="169">
        <f>YEAR(Finance[[#This Row],[Date]])</f>
        <v>2025</v>
      </c>
      <c r="D711" s="289">
        <f>MONTH(Finance[[#This Row],[Date]])</f>
        <v>9</v>
      </c>
      <c r="E711" s="6" t="s">
        <v>167</v>
      </c>
      <c r="F711" s="6" t="s">
        <v>29</v>
      </c>
      <c r="G711" s="6" t="s">
        <v>55</v>
      </c>
      <c r="H711" s="134" t="s">
        <v>258</v>
      </c>
      <c r="I711" s="135" t="s">
        <v>175</v>
      </c>
      <c r="J711" s="136">
        <v>3</v>
      </c>
      <c r="K711" s="294"/>
      <c r="L711" s="295"/>
      <c r="M711" s="296"/>
      <c r="N711" s="296"/>
      <c r="O711" s="297"/>
      <c r="P711" s="297"/>
      <c r="Q711" s="296"/>
      <c r="R711" s="296"/>
      <c r="S711" s="298">
        <v>115</v>
      </c>
      <c r="T711" s="102">
        <f>SUM(Finance[[#This Row],[Samer]:[Margins]])</f>
        <v>115</v>
      </c>
      <c r="U711" s="103">
        <f>ABS(Finance[[#This Row],[Total (EGP)]])</f>
        <v>115</v>
      </c>
      <c r="V711" s="299"/>
    </row>
    <row r="712" spans="2:22" ht="18" customHeight="1" x14ac:dyDescent="0.3">
      <c r="B712" s="288">
        <v>45923</v>
      </c>
      <c r="C712" s="169">
        <f>YEAR(Finance[[#This Row],[Date]])</f>
        <v>2025</v>
      </c>
      <c r="D712" s="289">
        <f>MONTH(Finance[[#This Row],[Date]])</f>
        <v>9</v>
      </c>
      <c r="E712" s="19" t="s">
        <v>754</v>
      </c>
      <c r="F712" s="6" t="s">
        <v>29</v>
      </c>
      <c r="G712" s="6" t="s">
        <v>108</v>
      </c>
      <c r="H712" s="134" t="s">
        <v>182</v>
      </c>
      <c r="I712" s="135" t="s">
        <v>175</v>
      </c>
      <c r="J712" s="136">
        <v>3</v>
      </c>
      <c r="K712" s="31"/>
      <c r="L712" s="132">
        <f>15.99*48.26*1.05</f>
        <v>810.26127000000008</v>
      </c>
      <c r="M712" s="296"/>
      <c r="N712" s="296"/>
      <c r="O712" s="297"/>
      <c r="P712" s="297"/>
      <c r="Q712" s="296"/>
      <c r="R712" s="296"/>
      <c r="S712" s="298"/>
      <c r="T712" s="102">
        <f>SUM(Finance[[#This Row],[Samer]:[Margins]])</f>
        <v>810.26127000000008</v>
      </c>
      <c r="U712" s="103">
        <f>ABS(Finance[[#This Row],[Total (EGP)]])</f>
        <v>810.26127000000008</v>
      </c>
      <c r="V712" s="299"/>
    </row>
    <row r="713" spans="2:22" ht="18" customHeight="1" x14ac:dyDescent="0.3">
      <c r="B713" s="288">
        <v>45923</v>
      </c>
      <c r="C713" s="169">
        <f>YEAR(Finance[[#This Row],[Date]])</f>
        <v>2025</v>
      </c>
      <c r="D713" s="289">
        <f>MONTH(Finance[[#This Row],[Date]])</f>
        <v>9</v>
      </c>
      <c r="E713" s="6" t="s">
        <v>761</v>
      </c>
      <c r="F713" s="6" t="s">
        <v>73</v>
      </c>
      <c r="G713" s="6" t="s">
        <v>93</v>
      </c>
      <c r="H713" s="134" t="s">
        <v>199</v>
      </c>
      <c r="I713" s="135" t="s">
        <v>762</v>
      </c>
      <c r="J713" s="136">
        <v>4</v>
      </c>
      <c r="K713" s="294"/>
      <c r="L713" s="295"/>
      <c r="M713" s="296"/>
      <c r="N713" s="296"/>
      <c r="O713" s="297"/>
      <c r="P713" s="297"/>
      <c r="Q713" s="296"/>
      <c r="R713" s="296">
        <f>-16100-24150</f>
        <v>-40250</v>
      </c>
      <c r="S713" s="298"/>
      <c r="T713" s="102">
        <f>SUM(Finance[[#This Row],[Samer]:[Margins]])</f>
        <v>-40250</v>
      </c>
      <c r="U713" s="103">
        <f>ABS(Finance[[#This Row],[Total (EGP)]])</f>
        <v>40250</v>
      </c>
      <c r="V713" s="299"/>
    </row>
    <row r="714" spans="2:22" ht="18" customHeight="1" x14ac:dyDescent="0.3">
      <c r="B714" s="288">
        <v>45923</v>
      </c>
      <c r="C714" s="169">
        <f>YEAR(Finance[[#This Row],[Date]])</f>
        <v>2025</v>
      </c>
      <c r="D714" s="289">
        <f>MONTH(Finance[[#This Row],[Date]])</f>
        <v>9</v>
      </c>
      <c r="E714" s="6" t="s">
        <v>760</v>
      </c>
      <c r="F714" s="6" t="s">
        <v>73</v>
      </c>
      <c r="G714" s="6" t="s">
        <v>93</v>
      </c>
      <c r="H714" s="134" t="s">
        <v>90</v>
      </c>
      <c r="I714" s="135" t="s">
        <v>762</v>
      </c>
      <c r="J714" s="136">
        <v>4</v>
      </c>
      <c r="K714" s="294"/>
      <c r="L714" s="295"/>
      <c r="M714" s="296"/>
      <c r="N714" s="296"/>
      <c r="O714" s="297"/>
      <c r="P714" s="297"/>
      <c r="Q714" s="296"/>
      <c r="R714" s="296">
        <f>(-16100-24150)*0.14</f>
        <v>-5635.0000000000009</v>
      </c>
      <c r="S714" s="298"/>
      <c r="T714" s="102">
        <f>SUM(Finance[[#This Row],[Samer]:[Margins]])</f>
        <v>-5635.0000000000009</v>
      </c>
      <c r="U714" s="103">
        <f>ABS(Finance[[#This Row],[Total (EGP)]])</f>
        <v>5635.0000000000009</v>
      </c>
      <c r="V714" s="299"/>
    </row>
    <row r="715" spans="2:22" ht="18" customHeight="1" x14ac:dyDescent="0.3">
      <c r="B715" s="288">
        <v>45923</v>
      </c>
      <c r="C715" s="169">
        <f>YEAR(Finance[[#This Row],[Date]])</f>
        <v>2025</v>
      </c>
      <c r="D715" s="289">
        <f>MONTH(Finance[[#This Row],[Date]])</f>
        <v>9</v>
      </c>
      <c r="E715" s="6" t="s">
        <v>759</v>
      </c>
      <c r="F715" s="6" t="s">
        <v>84</v>
      </c>
      <c r="G715" s="6" t="s">
        <v>86</v>
      </c>
      <c r="H715" s="134" t="s">
        <v>199</v>
      </c>
      <c r="I715" s="135" t="s">
        <v>762</v>
      </c>
      <c r="J715" s="136">
        <v>4</v>
      </c>
      <c r="K715" s="294"/>
      <c r="L715" s="295"/>
      <c r="M715" s="296"/>
      <c r="N715" s="296"/>
      <c r="O715" s="297"/>
      <c r="P715" s="297"/>
      <c r="Q715" s="296"/>
      <c r="R715" s="296">
        <f>(16100+24150)*0.03</f>
        <v>1207.5</v>
      </c>
      <c r="S715" s="298"/>
      <c r="T715" s="102">
        <f>SUM(Finance[[#This Row],[Samer]:[Margins]])</f>
        <v>1207.5</v>
      </c>
      <c r="U715" s="103">
        <f>ABS(Finance[[#This Row],[Total (EGP)]])</f>
        <v>1207.5</v>
      </c>
      <c r="V715" s="299"/>
    </row>
    <row r="716" spans="2:22" ht="18" customHeight="1" x14ac:dyDescent="0.3">
      <c r="B716" s="288">
        <v>45923</v>
      </c>
      <c r="C716" s="169">
        <f>YEAR(Finance[[#This Row],[Date]])</f>
        <v>2025</v>
      </c>
      <c r="D716" s="289">
        <f>MONTH(Finance[[#This Row],[Date]])</f>
        <v>9</v>
      </c>
      <c r="E716" s="6" t="s">
        <v>758</v>
      </c>
      <c r="F716" s="6" t="s">
        <v>29</v>
      </c>
      <c r="G716" s="6" t="s">
        <v>95</v>
      </c>
      <c r="H716" s="134" t="s">
        <v>194</v>
      </c>
      <c r="I716" s="135" t="s">
        <v>762</v>
      </c>
      <c r="J716" s="136">
        <v>3</v>
      </c>
      <c r="K716" s="294"/>
      <c r="L716" s="295"/>
      <c r="M716" s="296"/>
      <c r="N716" s="296"/>
      <c r="O716" s="297"/>
      <c r="P716" s="297"/>
      <c r="Q716" s="296"/>
      <c r="R716" s="296">
        <v>10</v>
      </c>
      <c r="S716" s="298"/>
      <c r="T716" s="102">
        <f>SUM(Finance[[#This Row],[Samer]:[Margins]])</f>
        <v>10</v>
      </c>
      <c r="U716" s="103">
        <f>ABS(Finance[[#This Row],[Total (EGP)]])</f>
        <v>10</v>
      </c>
      <c r="V716" s="299"/>
    </row>
    <row r="717" spans="2:22" ht="18" customHeight="1" x14ac:dyDescent="0.3">
      <c r="B717" s="288">
        <v>45924</v>
      </c>
      <c r="C717" s="169">
        <f>YEAR(Finance[[#This Row],[Date]])</f>
        <v>2025</v>
      </c>
      <c r="D717" s="289">
        <f>MONTH(Finance[[#This Row],[Date]])</f>
        <v>9</v>
      </c>
      <c r="E717" s="6" t="s">
        <v>763</v>
      </c>
      <c r="F717" s="6" t="s">
        <v>73</v>
      </c>
      <c r="G717" s="6" t="s">
        <v>93</v>
      </c>
      <c r="H717" s="134" t="s">
        <v>199</v>
      </c>
      <c r="I717" s="114" t="s">
        <v>369</v>
      </c>
      <c r="J717" s="136">
        <v>4</v>
      </c>
      <c r="K717" s="201"/>
      <c r="L717" s="202"/>
      <c r="M717" s="203"/>
      <c r="N717" s="203"/>
      <c r="O717" s="204"/>
      <c r="P717" s="204"/>
      <c r="Q717" s="203"/>
      <c r="R717" s="203">
        <v>-13125</v>
      </c>
      <c r="S717" s="298"/>
      <c r="T717" s="102">
        <f>SUM(Finance[[#This Row],[Samer]:[Margins]])</f>
        <v>-13125</v>
      </c>
      <c r="U717" s="103">
        <f>ABS(Finance[[#This Row],[Total (EGP)]])</f>
        <v>13125</v>
      </c>
      <c r="V717" s="299"/>
    </row>
    <row r="718" spans="2:22" ht="18" customHeight="1" x14ac:dyDescent="0.3">
      <c r="B718" s="288">
        <v>45924</v>
      </c>
      <c r="C718" s="169">
        <f>YEAR(Finance[[#This Row],[Date]])</f>
        <v>2025</v>
      </c>
      <c r="D718" s="289">
        <f>MONTH(Finance[[#This Row],[Date]])</f>
        <v>9</v>
      </c>
      <c r="E718" s="6" t="s">
        <v>638</v>
      </c>
      <c r="F718" s="6" t="s">
        <v>73</v>
      </c>
      <c r="G718" s="6" t="s">
        <v>93</v>
      </c>
      <c r="H718" s="134" t="s">
        <v>90</v>
      </c>
      <c r="I718" s="114" t="s">
        <v>369</v>
      </c>
      <c r="J718" s="136">
        <v>4</v>
      </c>
      <c r="K718" s="201"/>
      <c r="L718" s="202"/>
      <c r="M718" s="203"/>
      <c r="N718" s="203"/>
      <c r="O718" s="204"/>
      <c r="P718" s="204"/>
      <c r="Q718" s="203"/>
      <c r="R718" s="203">
        <f>-13125*0.14</f>
        <v>-1837.5000000000002</v>
      </c>
      <c r="S718" s="298"/>
      <c r="T718" s="102">
        <f>SUM(Finance[[#This Row],[Samer]:[Margins]])</f>
        <v>-1837.5000000000002</v>
      </c>
      <c r="U718" s="103">
        <f>ABS(Finance[[#This Row],[Total (EGP)]])</f>
        <v>1837.5000000000002</v>
      </c>
      <c r="V718" s="299"/>
    </row>
    <row r="719" spans="2:22" ht="18" customHeight="1" x14ac:dyDescent="0.3">
      <c r="B719" s="288">
        <v>45924</v>
      </c>
      <c r="C719" s="169">
        <f>YEAR(Finance[[#This Row],[Date]])</f>
        <v>2025</v>
      </c>
      <c r="D719" s="289">
        <f>MONTH(Finance[[#This Row],[Date]])</f>
        <v>9</v>
      </c>
      <c r="E719" s="6" t="s">
        <v>639</v>
      </c>
      <c r="F719" s="6" t="s">
        <v>84</v>
      </c>
      <c r="G719" s="6" t="s">
        <v>86</v>
      </c>
      <c r="H719" s="134" t="s">
        <v>199</v>
      </c>
      <c r="I719" s="114" t="s">
        <v>369</v>
      </c>
      <c r="J719" s="136">
        <v>4</v>
      </c>
      <c r="K719" s="201"/>
      <c r="L719" s="202"/>
      <c r="M719" s="203"/>
      <c r="N719" s="203"/>
      <c r="O719" s="204"/>
      <c r="P719" s="204"/>
      <c r="Q719" s="203"/>
      <c r="R719" s="203">
        <f>13125*0.03</f>
        <v>393.75</v>
      </c>
      <c r="S719" s="298"/>
      <c r="T719" s="102">
        <f>SUM(Finance[[#This Row],[Samer]:[Margins]])</f>
        <v>393.75</v>
      </c>
      <c r="U719" s="103">
        <f>ABS(Finance[[#This Row],[Total (EGP)]])</f>
        <v>393.75</v>
      </c>
      <c r="V719" s="299"/>
    </row>
    <row r="720" spans="2:22" ht="18" customHeight="1" x14ac:dyDescent="0.3">
      <c r="B720" s="288">
        <v>45924</v>
      </c>
      <c r="C720" s="169">
        <f>YEAR(Finance[[#This Row],[Date]])</f>
        <v>2025</v>
      </c>
      <c r="D720" s="289">
        <f>MONTH(Finance[[#This Row],[Date]])</f>
        <v>9</v>
      </c>
      <c r="E720" s="6" t="s">
        <v>370</v>
      </c>
      <c r="F720" s="6" t="s">
        <v>29</v>
      </c>
      <c r="G720" s="6" t="s">
        <v>95</v>
      </c>
      <c r="H720" s="134" t="s">
        <v>194</v>
      </c>
      <c r="I720" s="114" t="s">
        <v>369</v>
      </c>
      <c r="J720" s="136">
        <v>3</v>
      </c>
      <c r="K720" s="201"/>
      <c r="L720" s="202"/>
      <c r="M720" s="203"/>
      <c r="N720" s="203"/>
      <c r="O720" s="204"/>
      <c r="P720" s="204"/>
      <c r="Q720" s="203"/>
      <c r="R720" s="203">
        <v>10</v>
      </c>
      <c r="S720" s="298"/>
      <c r="T720" s="102">
        <f>SUM(Finance[[#This Row],[Samer]:[Margins]])</f>
        <v>10</v>
      </c>
      <c r="U720" s="103">
        <f>ABS(Finance[[#This Row],[Total (EGP)]])</f>
        <v>10</v>
      </c>
      <c r="V720" s="299"/>
    </row>
    <row r="721" spans="2:22" ht="18" customHeight="1" x14ac:dyDescent="0.3">
      <c r="B721" s="288">
        <v>45925</v>
      </c>
      <c r="C721" s="169">
        <f>YEAR(Finance[[#This Row],[Date]])</f>
        <v>2025</v>
      </c>
      <c r="D721" s="289">
        <f>MONTH(Finance[[#This Row],[Date]])</f>
        <v>9</v>
      </c>
      <c r="E721" s="6" t="s">
        <v>755</v>
      </c>
      <c r="F721" s="6" t="s">
        <v>73</v>
      </c>
      <c r="G721" s="6" t="s">
        <v>233</v>
      </c>
      <c r="H721" s="134" t="s">
        <v>234</v>
      </c>
      <c r="I721" s="135" t="s">
        <v>235</v>
      </c>
      <c r="J721" s="136">
        <v>1</v>
      </c>
      <c r="K721" s="294"/>
      <c r="L721" s="295"/>
      <c r="M721" s="296"/>
      <c r="N721" s="296"/>
      <c r="O721" s="297"/>
      <c r="P721" s="297"/>
      <c r="Q721" s="296"/>
      <c r="R721" s="296">
        <v>-250000</v>
      </c>
      <c r="S721" s="298"/>
      <c r="T721" s="102">
        <f>SUM(Finance[[#This Row],[Samer]:[Margins]])</f>
        <v>-250000</v>
      </c>
      <c r="U721" s="103">
        <f>ABS(Finance[[#This Row],[Total (EGP)]])</f>
        <v>250000</v>
      </c>
      <c r="V721" s="299"/>
    </row>
    <row r="722" spans="2:22" ht="18" customHeight="1" x14ac:dyDescent="0.3">
      <c r="B722" s="288">
        <v>45925</v>
      </c>
      <c r="C722" s="169">
        <f>YEAR(Finance[[#This Row],[Date]])</f>
        <v>2025</v>
      </c>
      <c r="D722" s="289">
        <f>MONTH(Finance[[#This Row],[Date]])</f>
        <v>9</v>
      </c>
      <c r="E722" s="39" t="s">
        <v>208</v>
      </c>
      <c r="F722" s="6" t="s">
        <v>30</v>
      </c>
      <c r="G722" s="6" t="s">
        <v>88</v>
      </c>
      <c r="H722" s="134" t="s">
        <v>209</v>
      </c>
      <c r="I722" s="135" t="s">
        <v>175</v>
      </c>
      <c r="J722" s="136">
        <v>2</v>
      </c>
      <c r="K722" s="294"/>
      <c r="L722" s="295">
        <f>33*325</f>
        <v>10725</v>
      </c>
      <c r="M722" s="296"/>
      <c r="N722" s="296"/>
      <c r="O722" s="297"/>
      <c r="P722" s="297"/>
      <c r="Q722" s="296"/>
      <c r="R722" s="296"/>
      <c r="S722" s="298"/>
      <c r="T722" s="102">
        <f>SUM(Finance[[#This Row],[Samer]:[Margins]])</f>
        <v>10725</v>
      </c>
      <c r="U722" s="103">
        <f>ABS(Finance[[#This Row],[Total (EGP)]])</f>
        <v>10725</v>
      </c>
      <c r="V722" s="299"/>
    </row>
    <row r="723" spans="2:22" ht="18" customHeight="1" x14ac:dyDescent="0.3">
      <c r="B723" s="288">
        <v>45925</v>
      </c>
      <c r="C723" s="169">
        <f>YEAR(Finance[[#This Row],[Date]])</f>
        <v>2025</v>
      </c>
      <c r="D723" s="289">
        <f>MONTH(Finance[[#This Row],[Date]])</f>
        <v>9</v>
      </c>
      <c r="E723" s="6" t="s">
        <v>757</v>
      </c>
      <c r="F723" s="6" t="s">
        <v>29</v>
      </c>
      <c r="G723" s="6" t="s">
        <v>95</v>
      </c>
      <c r="H723" s="134" t="s">
        <v>194</v>
      </c>
      <c r="I723" s="114" t="s">
        <v>235</v>
      </c>
      <c r="J723" s="136">
        <v>3</v>
      </c>
      <c r="K723" s="294"/>
      <c r="L723" s="295"/>
      <c r="M723" s="296"/>
      <c r="N723" s="296"/>
      <c r="O723" s="297"/>
      <c r="P723" s="297"/>
      <c r="Q723" s="296"/>
      <c r="R723" s="296">
        <v>25</v>
      </c>
      <c r="S723" s="298"/>
      <c r="T723" s="102">
        <f>SUM(Finance[[#This Row],[Samer]:[Margins]])</f>
        <v>25</v>
      </c>
      <c r="U723" s="103">
        <f>ABS(Finance[[#This Row],[Total (EGP)]])</f>
        <v>25</v>
      </c>
      <c r="V723" s="299"/>
    </row>
    <row r="724" spans="2:22" ht="18" customHeight="1" x14ac:dyDescent="0.3">
      <c r="B724" s="288">
        <v>45928</v>
      </c>
      <c r="C724" s="169">
        <f>YEAR(Finance[[#This Row],[Date]])</f>
        <v>2025</v>
      </c>
      <c r="D724" s="289">
        <f>MONTH(Finance[[#This Row],[Date]])</f>
        <v>9</v>
      </c>
      <c r="E724" s="290" t="s">
        <v>295</v>
      </c>
      <c r="F724" s="6" t="s">
        <v>29</v>
      </c>
      <c r="G724" s="6" t="s">
        <v>111</v>
      </c>
      <c r="H724" s="134" t="s">
        <v>296</v>
      </c>
      <c r="I724" s="114" t="s">
        <v>175</v>
      </c>
      <c r="J724" s="136">
        <v>3</v>
      </c>
      <c r="K724" s="294"/>
      <c r="L724" s="295"/>
      <c r="M724" s="296"/>
      <c r="N724" s="296"/>
      <c r="O724" s="297"/>
      <c r="P724" s="297"/>
      <c r="Q724" s="296"/>
      <c r="R724" s="296">
        <f>1030.78*2</f>
        <v>2061.56</v>
      </c>
      <c r="S724" s="298"/>
      <c r="T724" s="102">
        <f>SUM(Finance[[#This Row],[Samer]:[Margins]])</f>
        <v>2061.56</v>
      </c>
      <c r="U724" s="103">
        <f>ABS(Finance[[#This Row],[Total (EGP)]])</f>
        <v>2061.56</v>
      </c>
      <c r="V724" s="299"/>
    </row>
    <row r="725" spans="2:22" ht="18" customHeight="1" x14ac:dyDescent="0.3">
      <c r="B725" s="288">
        <v>45928</v>
      </c>
      <c r="C725" s="169">
        <f>YEAR(Finance[[#This Row],[Date]])</f>
        <v>2025</v>
      </c>
      <c r="D725" s="289">
        <f>MONTH(Finance[[#This Row],[Date]])</f>
        <v>9</v>
      </c>
      <c r="E725" s="39" t="s">
        <v>242</v>
      </c>
      <c r="F725" s="39" t="s">
        <v>29</v>
      </c>
      <c r="G725" s="39" t="s">
        <v>112</v>
      </c>
      <c r="H725" s="48" t="s">
        <v>618</v>
      </c>
      <c r="I725" s="114" t="s">
        <v>175</v>
      </c>
      <c r="J725" s="225">
        <v>3</v>
      </c>
      <c r="K725" s="276"/>
      <c r="L725" s="277"/>
      <c r="M725" s="278"/>
      <c r="N725" s="278"/>
      <c r="O725" s="279"/>
      <c r="P725" s="279"/>
      <c r="Q725" s="278"/>
      <c r="R725" s="278">
        <v>1402.2</v>
      </c>
      <c r="S725" s="298"/>
      <c r="T725" s="102">
        <f>SUM(Finance[[#This Row],[Samer]:[Margins]])</f>
        <v>1402.2</v>
      </c>
      <c r="U725" s="103">
        <f>ABS(Finance[[#This Row],[Total (EGP)]])</f>
        <v>1402.2</v>
      </c>
      <c r="V725" s="299"/>
    </row>
    <row r="726" spans="2:22" ht="18" customHeight="1" x14ac:dyDescent="0.3">
      <c r="B726" s="288">
        <v>45929</v>
      </c>
      <c r="C726" s="169">
        <f>YEAR(Finance[[#This Row],[Date]])</f>
        <v>2025</v>
      </c>
      <c r="D726" s="289">
        <f>MONTH(Finance[[#This Row],[Date]])</f>
        <v>9</v>
      </c>
      <c r="E726" s="290" t="s">
        <v>179</v>
      </c>
      <c r="F726" s="290" t="s">
        <v>37</v>
      </c>
      <c r="G726" s="290" t="s">
        <v>36</v>
      </c>
      <c r="H726" s="291" t="s">
        <v>181</v>
      </c>
      <c r="I726" s="292" t="s">
        <v>175</v>
      </c>
      <c r="J726" s="293">
        <v>0</v>
      </c>
      <c r="K726" s="294"/>
      <c r="L726" s="295">
        <v>-195000</v>
      </c>
      <c r="M726" s="296"/>
      <c r="N726" s="296"/>
      <c r="O726" s="297"/>
      <c r="P726" s="297"/>
      <c r="Q726" s="296"/>
      <c r="R726" s="296">
        <v>195000</v>
      </c>
      <c r="S726" s="298"/>
      <c r="T726" s="102">
        <f>SUM(Finance[[#This Row],[Samer]:[Margins]])</f>
        <v>0</v>
      </c>
      <c r="U726" s="103">
        <f>ABS(Finance[[#This Row],[Total (EGP)]])</f>
        <v>0</v>
      </c>
      <c r="V726" s="299"/>
    </row>
    <row r="727" spans="2:22" ht="18" customHeight="1" x14ac:dyDescent="0.3">
      <c r="B727" s="288">
        <v>45929</v>
      </c>
      <c r="C727" s="169">
        <f>YEAR(Finance[[#This Row],[Date]])</f>
        <v>2025</v>
      </c>
      <c r="D727" s="289">
        <f>MONTH(Finance[[#This Row],[Date]])</f>
        <v>9</v>
      </c>
      <c r="E727" s="6" t="s">
        <v>262</v>
      </c>
      <c r="F727" s="290" t="s">
        <v>37</v>
      </c>
      <c r="G727" s="290" t="s">
        <v>36</v>
      </c>
      <c r="H727" s="291" t="s">
        <v>206</v>
      </c>
      <c r="I727" s="292" t="s">
        <v>175</v>
      </c>
      <c r="J727" s="293">
        <v>0</v>
      </c>
      <c r="K727" s="294"/>
      <c r="L727" s="295">
        <v>4000</v>
      </c>
      <c r="M727" s="296"/>
      <c r="N727" s="296"/>
      <c r="O727" s="297"/>
      <c r="P727" s="297"/>
      <c r="Q727" s="296"/>
      <c r="R727" s="296"/>
      <c r="S727" s="298">
        <v>-4000</v>
      </c>
      <c r="T727" s="102">
        <f>SUM(Finance[[#This Row],[Samer]:[Margins]])</f>
        <v>0</v>
      </c>
      <c r="U727" s="103">
        <f>ABS(Finance[[#This Row],[Total (EGP)]])</f>
        <v>0</v>
      </c>
      <c r="V727" s="299"/>
    </row>
    <row r="728" spans="2:22" ht="18" customHeight="1" x14ac:dyDescent="0.3">
      <c r="B728" s="288">
        <v>45929</v>
      </c>
      <c r="C728" s="169">
        <f>YEAR(Finance[[#This Row],[Date]])</f>
        <v>2025</v>
      </c>
      <c r="D728" s="289">
        <f>MONTH(Finance[[#This Row],[Date]])</f>
        <v>9</v>
      </c>
      <c r="E728" s="6" t="s">
        <v>766</v>
      </c>
      <c r="F728" s="39" t="s">
        <v>84</v>
      </c>
      <c r="G728" s="6" t="s">
        <v>85</v>
      </c>
      <c r="H728" s="48" t="s">
        <v>222</v>
      </c>
      <c r="I728" s="135" t="s">
        <v>175</v>
      </c>
      <c r="J728" s="136">
        <v>3</v>
      </c>
      <c r="K728" s="193"/>
      <c r="L728" s="194"/>
      <c r="M728" s="195"/>
      <c r="N728" s="195"/>
      <c r="O728" s="196"/>
      <c r="P728" s="196"/>
      <c r="Q728" s="195"/>
      <c r="R728" s="195">
        <v>9851</v>
      </c>
      <c r="S728" s="286"/>
      <c r="T728" s="102">
        <f>SUM(Finance[[#This Row],[Samer]:[Margins]])</f>
        <v>9851</v>
      </c>
      <c r="U728" s="103">
        <f>ABS(Finance[[#This Row],[Total (EGP)]])</f>
        <v>9851</v>
      </c>
      <c r="V728" s="299"/>
    </row>
    <row r="729" spans="2:22" ht="18" customHeight="1" x14ac:dyDescent="0.3">
      <c r="B729" s="288">
        <v>45929</v>
      </c>
      <c r="C729" s="169">
        <f>YEAR(Finance[[#This Row],[Date]])</f>
        <v>2025</v>
      </c>
      <c r="D729" s="289">
        <f>MONTH(Finance[[#This Row],[Date]])</f>
        <v>9</v>
      </c>
      <c r="E729" s="6" t="s">
        <v>223</v>
      </c>
      <c r="F729" s="39" t="s">
        <v>29</v>
      </c>
      <c r="G729" s="6" t="s">
        <v>95</v>
      </c>
      <c r="H729" s="48" t="s">
        <v>194</v>
      </c>
      <c r="I729" s="135" t="s">
        <v>175</v>
      </c>
      <c r="J729" s="136">
        <v>3</v>
      </c>
      <c r="K729" s="193"/>
      <c r="L729" s="194"/>
      <c r="M729" s="195"/>
      <c r="N729" s="195"/>
      <c r="O729" s="196"/>
      <c r="P729" s="196"/>
      <c r="Q729" s="195"/>
      <c r="R729" s="195">
        <f>+R728*0.0107001</f>
        <v>105.4066851</v>
      </c>
      <c r="S729" s="286"/>
      <c r="T729" s="102">
        <f>SUM(Finance[[#This Row],[Samer]:[Margins]])</f>
        <v>105.4066851</v>
      </c>
      <c r="U729" s="103">
        <f>ABS(Finance[[#This Row],[Total (EGP)]])</f>
        <v>105.4066851</v>
      </c>
      <c r="V729" s="299"/>
    </row>
    <row r="730" spans="2:22" ht="18" customHeight="1" x14ac:dyDescent="0.3">
      <c r="B730" s="288">
        <v>45930</v>
      </c>
      <c r="C730" s="169">
        <f>YEAR(Finance[[#This Row],[Date]])</f>
        <v>2025</v>
      </c>
      <c r="D730" s="289">
        <f>MONTH(Finance[[#This Row],[Date]])</f>
        <v>9</v>
      </c>
      <c r="E730" s="39" t="s">
        <v>756</v>
      </c>
      <c r="F730" s="6" t="s">
        <v>34</v>
      </c>
      <c r="G730" s="6" t="s">
        <v>66</v>
      </c>
      <c r="H730" s="134" t="s">
        <v>272</v>
      </c>
      <c r="I730" s="114" t="s">
        <v>175</v>
      </c>
      <c r="J730" s="136">
        <v>5</v>
      </c>
      <c r="K730" s="294"/>
      <c r="L730" s="295">
        <f>8000*2</f>
        <v>16000</v>
      </c>
      <c r="M730" s="296"/>
      <c r="N730" s="296"/>
      <c r="O730" s="297"/>
      <c r="P730" s="297"/>
      <c r="Q730" s="296"/>
      <c r="R730" s="296"/>
      <c r="S730" s="298"/>
      <c r="T730" s="102">
        <f>SUM(Finance[[#This Row],[Samer]:[Margins]])</f>
        <v>16000</v>
      </c>
      <c r="U730" s="103">
        <f>ABS(Finance[[#This Row],[Total (EGP)]])</f>
        <v>16000</v>
      </c>
      <c r="V730" s="299"/>
    </row>
    <row r="731" spans="2:22" ht="18" customHeight="1" x14ac:dyDescent="0.3">
      <c r="B731" s="270">
        <v>45930</v>
      </c>
      <c r="C731" s="169">
        <f>YEAR(Finance[[#This Row],[Date]])</f>
        <v>2025</v>
      </c>
      <c r="D731" s="285">
        <f>MONTH(Finance[[#This Row],[Date]])</f>
        <v>9</v>
      </c>
      <c r="E731" s="6" t="s">
        <v>254</v>
      </c>
      <c r="F731" s="172" t="s">
        <v>29</v>
      </c>
      <c r="G731" s="6" t="s">
        <v>55</v>
      </c>
      <c r="H731" s="134" t="s">
        <v>352</v>
      </c>
      <c r="I731" s="135" t="s">
        <v>175</v>
      </c>
      <c r="J731" s="136">
        <v>3</v>
      </c>
      <c r="K731" s="251"/>
      <c r="L731" s="252"/>
      <c r="M731" s="253"/>
      <c r="N731" s="253"/>
      <c r="O731" s="254"/>
      <c r="P731" s="254"/>
      <c r="Q731" s="253"/>
      <c r="R731" s="253"/>
      <c r="S731" s="286">
        <v>10010</v>
      </c>
      <c r="T731" s="102">
        <f>SUM(Finance[[#This Row],[Samer]:[Margins]])</f>
        <v>10010</v>
      </c>
      <c r="U731" s="103">
        <f>ABS(Finance[[#This Row],[Total (EGP)]])</f>
        <v>10010</v>
      </c>
      <c r="V731" s="299"/>
    </row>
    <row r="732" spans="2:22" ht="18" customHeight="1" x14ac:dyDescent="0.3">
      <c r="B732" s="270">
        <v>45930</v>
      </c>
      <c r="C732" s="169">
        <f>YEAR(Finance[[#This Row],[Date]])</f>
        <v>2025</v>
      </c>
      <c r="D732" s="285">
        <f>MONTH(Finance[[#This Row],[Date]])</f>
        <v>9</v>
      </c>
      <c r="E732" s="6" t="s">
        <v>101</v>
      </c>
      <c r="F732" s="39" t="s">
        <v>29</v>
      </c>
      <c r="G732" s="6" t="s">
        <v>101</v>
      </c>
      <c r="H732" s="134" t="s">
        <v>74</v>
      </c>
      <c r="I732" s="135" t="s">
        <v>175</v>
      </c>
      <c r="J732" s="136">
        <v>3</v>
      </c>
      <c r="K732" s="251"/>
      <c r="L732" s="252"/>
      <c r="M732" s="253"/>
      <c r="N732" s="253"/>
      <c r="O732" s="254"/>
      <c r="P732" s="254"/>
      <c r="Q732" s="253"/>
      <c r="R732" s="253"/>
      <c r="S732" s="286">
        <v>285</v>
      </c>
      <c r="T732" s="102">
        <f>SUM(Finance[[#This Row],[Samer]:[Margins]])</f>
        <v>285</v>
      </c>
      <c r="U732" s="103">
        <f>ABS(Finance[[#This Row],[Total (EGP)]])</f>
        <v>285</v>
      </c>
      <c r="V732" s="299"/>
    </row>
    <row r="733" spans="2:22" ht="18" customHeight="1" x14ac:dyDescent="0.3">
      <c r="B733" s="270">
        <v>45930</v>
      </c>
      <c r="C733" s="169">
        <f>YEAR(Finance[[#This Row],[Date]])</f>
        <v>2025</v>
      </c>
      <c r="D733" s="285">
        <f>MONTH(Finance[[#This Row],[Date]])</f>
        <v>9</v>
      </c>
      <c r="E733" s="39" t="s">
        <v>32</v>
      </c>
      <c r="F733" s="39" t="s">
        <v>29</v>
      </c>
      <c r="G733" s="6" t="s">
        <v>32</v>
      </c>
      <c r="H733" s="134" t="s">
        <v>142</v>
      </c>
      <c r="I733" s="135" t="s">
        <v>175</v>
      </c>
      <c r="J733" s="136">
        <v>3</v>
      </c>
      <c r="K733" s="251"/>
      <c r="L733" s="252"/>
      <c r="M733" s="253"/>
      <c r="N733" s="253"/>
      <c r="O733" s="254"/>
      <c r="P733" s="254"/>
      <c r="Q733" s="253"/>
      <c r="R733" s="253"/>
      <c r="S733" s="286">
        <v>286</v>
      </c>
      <c r="T733" s="102">
        <f>SUM(Finance[[#This Row],[Samer]:[Margins]])</f>
        <v>286</v>
      </c>
      <c r="U733" s="103">
        <f>ABS(Finance[[#This Row],[Total (EGP)]])</f>
        <v>286</v>
      </c>
      <c r="V733" s="299"/>
    </row>
    <row r="734" spans="2:22" ht="18" customHeight="1" x14ac:dyDescent="0.3">
      <c r="B734" s="270">
        <v>45930</v>
      </c>
      <c r="C734" s="169">
        <f>YEAR(Finance[[#This Row],[Date]])</f>
        <v>2025</v>
      </c>
      <c r="D734" s="285">
        <f>MONTH(Finance[[#This Row],[Date]])</f>
        <v>9</v>
      </c>
      <c r="E734" s="153" t="s">
        <v>295</v>
      </c>
      <c r="F734" s="6" t="s">
        <v>29</v>
      </c>
      <c r="G734" s="6" t="s">
        <v>111</v>
      </c>
      <c r="H734" s="134" t="s">
        <v>296</v>
      </c>
      <c r="I734" s="114" t="s">
        <v>175</v>
      </c>
      <c r="J734" s="136">
        <v>3</v>
      </c>
      <c r="K734" s="201"/>
      <c r="L734" s="202"/>
      <c r="M734" s="253"/>
      <c r="N734" s="253"/>
      <c r="O734" s="254"/>
      <c r="P734" s="254"/>
      <c r="Q734" s="253"/>
      <c r="R734" s="253"/>
      <c r="S734" s="286">
        <v>1549</v>
      </c>
      <c r="T734" s="102">
        <f>SUM(Finance[[#This Row],[Samer]:[Margins]])</f>
        <v>1549</v>
      </c>
      <c r="U734" s="103">
        <f>ABS(Finance[[#This Row],[Total (EGP)]])</f>
        <v>1549</v>
      </c>
      <c r="V734" s="299"/>
    </row>
    <row r="735" spans="2:22" ht="18" customHeight="1" x14ac:dyDescent="0.3">
      <c r="B735" s="288">
        <v>45930</v>
      </c>
      <c r="C735" s="169">
        <f>YEAR(Finance[[#This Row],[Date]])</f>
        <v>2025</v>
      </c>
      <c r="D735" s="289">
        <f>MONTH(Finance[[#This Row],[Date]])</f>
        <v>9</v>
      </c>
      <c r="E735" s="39" t="s">
        <v>767</v>
      </c>
      <c r="F735" s="6" t="s">
        <v>34</v>
      </c>
      <c r="G735" s="6" t="s">
        <v>66</v>
      </c>
      <c r="H735" s="134" t="s">
        <v>210</v>
      </c>
      <c r="I735" s="135" t="s">
        <v>175</v>
      </c>
      <c r="J735" s="136">
        <v>1</v>
      </c>
      <c r="K735" s="31"/>
      <c r="L735" s="132">
        <f>90000*0.25</f>
        <v>22500</v>
      </c>
      <c r="M735" s="164"/>
      <c r="N735" s="164"/>
      <c r="O735" s="165"/>
      <c r="P735" s="165"/>
      <c r="Q735" s="145"/>
      <c r="R735" s="145">
        <f>33000+32810+30000*0.5+18050+25000+10000+15000</f>
        <v>148860</v>
      </c>
      <c r="S735" s="298"/>
      <c r="T735" s="102">
        <f>SUM(Finance[[#This Row],[Samer]:[Margins]])</f>
        <v>171360</v>
      </c>
      <c r="U735" s="103">
        <f>ABS(Finance[[#This Row],[Total (EGP)]])</f>
        <v>171360</v>
      </c>
      <c r="V735" s="299"/>
    </row>
    <row r="736" spans="2:22" ht="18" customHeight="1" x14ac:dyDescent="0.3">
      <c r="B736" s="288">
        <v>45930</v>
      </c>
      <c r="C736" s="169">
        <f>YEAR(Finance[[#This Row],[Date]])</f>
        <v>2025</v>
      </c>
      <c r="D736" s="289">
        <f>MONTH(Finance[[#This Row],[Date]])</f>
        <v>9</v>
      </c>
      <c r="E736" s="39" t="s">
        <v>768</v>
      </c>
      <c r="F736" s="6" t="s">
        <v>34</v>
      </c>
      <c r="G736" s="6" t="s">
        <v>66</v>
      </c>
      <c r="H736" s="134" t="s">
        <v>211</v>
      </c>
      <c r="I736" s="135" t="s">
        <v>175</v>
      </c>
      <c r="J736" s="136">
        <v>3</v>
      </c>
      <c r="K736" s="31"/>
      <c r="L736" s="132">
        <f>90000*0.3</f>
        <v>27000</v>
      </c>
      <c r="M736" s="164"/>
      <c r="N736" s="164"/>
      <c r="O736" s="165"/>
      <c r="P736" s="165"/>
      <c r="Q736" s="145"/>
      <c r="R736" s="145">
        <f>17550+12500+19500</f>
        <v>49550</v>
      </c>
      <c r="S736" s="298"/>
      <c r="T736" s="102">
        <f>SUM(Finance[[#This Row],[Samer]:[Margins]])</f>
        <v>76550</v>
      </c>
      <c r="U736" s="103">
        <f>ABS(Finance[[#This Row],[Total (EGP)]])</f>
        <v>76550</v>
      </c>
      <c r="V736" s="299"/>
    </row>
    <row r="737" spans="2:22" ht="18" customHeight="1" x14ac:dyDescent="0.3">
      <c r="B737" s="288">
        <v>45930</v>
      </c>
      <c r="C737" s="169">
        <f>YEAR(Finance[[#This Row],[Date]])</f>
        <v>2025</v>
      </c>
      <c r="D737" s="289">
        <f>MONTH(Finance[[#This Row],[Date]])</f>
        <v>9</v>
      </c>
      <c r="E737" s="39" t="s">
        <v>769</v>
      </c>
      <c r="F737" s="6" t="s">
        <v>34</v>
      </c>
      <c r="G737" s="6" t="s">
        <v>66</v>
      </c>
      <c r="H737" s="134" t="s">
        <v>212</v>
      </c>
      <c r="I737" s="135" t="s">
        <v>175</v>
      </c>
      <c r="J737" s="136">
        <v>4</v>
      </c>
      <c r="K737" s="31"/>
      <c r="L737" s="132">
        <f>90000*0.2</f>
        <v>18000</v>
      </c>
      <c r="M737" s="164"/>
      <c r="N737" s="164"/>
      <c r="O737" s="165"/>
      <c r="P737" s="165"/>
      <c r="Q737" s="145"/>
      <c r="R737" s="145">
        <f>23000+30000*0.5+14000</f>
        <v>52000</v>
      </c>
      <c r="S737" s="298"/>
      <c r="T737" s="102">
        <f>SUM(Finance[[#This Row],[Samer]:[Margins]])</f>
        <v>70000</v>
      </c>
      <c r="U737" s="103">
        <f>ABS(Finance[[#This Row],[Total (EGP)]])</f>
        <v>70000</v>
      </c>
      <c r="V737" s="299"/>
    </row>
    <row r="738" spans="2:22" ht="18" customHeight="1" x14ac:dyDescent="0.3">
      <c r="B738" s="288">
        <v>45930</v>
      </c>
      <c r="C738" s="169">
        <f>YEAR(Finance[[#This Row],[Date]])</f>
        <v>2025</v>
      </c>
      <c r="D738" s="289">
        <f>MONTH(Finance[[#This Row],[Date]])</f>
        <v>9</v>
      </c>
      <c r="E738" s="39" t="s">
        <v>770</v>
      </c>
      <c r="F738" s="6" t="s">
        <v>34</v>
      </c>
      <c r="G738" s="6" t="s">
        <v>66</v>
      </c>
      <c r="H738" s="134" t="s">
        <v>209</v>
      </c>
      <c r="I738" s="135" t="s">
        <v>175</v>
      </c>
      <c r="J738" s="136">
        <v>2</v>
      </c>
      <c r="K738" s="31"/>
      <c r="L738" s="132">
        <f>90000*0.25</f>
        <v>22500</v>
      </c>
      <c r="M738" s="164"/>
      <c r="N738" s="164"/>
      <c r="O738" s="165"/>
      <c r="P738" s="165"/>
      <c r="Q738" s="145"/>
      <c r="R738" s="145">
        <f>38000+17000+13000+14000+17000</f>
        <v>99000</v>
      </c>
      <c r="S738" s="298"/>
      <c r="T738" s="102">
        <f>SUM(Finance[[#This Row],[Samer]:[Margins]])</f>
        <v>121500</v>
      </c>
      <c r="U738" s="103">
        <f>ABS(Finance[[#This Row],[Total (EGP)]])</f>
        <v>121500</v>
      </c>
      <c r="V738" s="299"/>
    </row>
    <row r="739" spans="2:22" ht="18" customHeight="1" x14ac:dyDescent="0.3">
      <c r="B739" s="288">
        <v>45930</v>
      </c>
      <c r="C739" s="169">
        <f>YEAR(Finance[[#This Row],[Date]])</f>
        <v>2025</v>
      </c>
      <c r="D739" s="289">
        <f>MONTH(Finance[[#This Row],[Date]])</f>
        <v>9</v>
      </c>
      <c r="E739" s="39" t="s">
        <v>771</v>
      </c>
      <c r="F739" s="39" t="s">
        <v>29</v>
      </c>
      <c r="G739" s="39" t="s">
        <v>213</v>
      </c>
      <c r="H739" s="48" t="s">
        <v>214</v>
      </c>
      <c r="I739" s="114" t="s">
        <v>175</v>
      </c>
      <c r="J739" s="131">
        <v>3</v>
      </c>
      <c r="K739" s="31"/>
      <c r="L739" s="132">
        <v>-311</v>
      </c>
      <c r="M739" s="164"/>
      <c r="N739" s="164"/>
      <c r="O739" s="165"/>
      <c r="P739" s="165"/>
      <c r="Q739" s="145"/>
      <c r="R739" s="145">
        <f>-311*10-691</f>
        <v>-3801</v>
      </c>
      <c r="S739" s="298"/>
      <c r="T739" s="102">
        <f>SUM(Finance[[#This Row],[Samer]:[Margins]])</f>
        <v>-4112</v>
      </c>
      <c r="U739" s="103">
        <f>ABS(Finance[[#This Row],[Total (EGP)]])</f>
        <v>4112</v>
      </c>
      <c r="V739" s="299"/>
    </row>
    <row r="740" spans="2:22" ht="18" customHeight="1" x14ac:dyDescent="0.3">
      <c r="B740" s="288">
        <v>45930</v>
      </c>
      <c r="C740" s="169">
        <f>YEAR(Finance[[#This Row],[Date]])</f>
        <v>2025</v>
      </c>
      <c r="D740" s="289">
        <f>MONTH(Finance[[#This Row],[Date]])</f>
        <v>9</v>
      </c>
      <c r="E740" s="290" t="s">
        <v>772</v>
      </c>
      <c r="F740" s="39" t="s">
        <v>29</v>
      </c>
      <c r="G740" s="39" t="s">
        <v>108</v>
      </c>
      <c r="H740" s="130" t="s">
        <v>182</v>
      </c>
      <c r="I740" s="114" t="s">
        <v>175</v>
      </c>
      <c r="J740" s="131">
        <v>4</v>
      </c>
      <c r="K740" s="294"/>
      <c r="L740" s="295"/>
      <c r="M740" s="296"/>
      <c r="N740" s="296"/>
      <c r="O740" s="297"/>
      <c r="P740" s="297"/>
      <c r="Q740" s="296"/>
      <c r="R740" s="296">
        <f>100*48.1*1.03+100*48.1*1.03+20*48.1*1.03+20*48.1*1.03+2000</f>
        <v>13890.320000000002</v>
      </c>
      <c r="S740" s="298"/>
      <c r="T740" s="102">
        <f>SUM(Finance[[#This Row],[Samer]:[Margins]])</f>
        <v>13890.320000000002</v>
      </c>
      <c r="U740" s="103">
        <f>ABS(Finance[[#This Row],[Total (EGP)]])</f>
        <v>13890.320000000002</v>
      </c>
      <c r="V740" s="299"/>
    </row>
    <row r="741" spans="2:22" ht="18" customHeight="1" x14ac:dyDescent="0.3">
      <c r="B741" s="288">
        <v>45930</v>
      </c>
      <c r="C741" s="169">
        <f>YEAR(Finance[[#This Row],[Date]])</f>
        <v>2025</v>
      </c>
      <c r="D741" s="289">
        <f>MONTH(Finance[[#This Row],[Date]])</f>
        <v>9</v>
      </c>
      <c r="E741" s="6" t="s">
        <v>456</v>
      </c>
      <c r="F741" s="6" t="s">
        <v>29</v>
      </c>
      <c r="G741" s="6" t="s">
        <v>95</v>
      </c>
      <c r="H741" s="134" t="s">
        <v>194</v>
      </c>
      <c r="I741" s="135" t="s">
        <v>175</v>
      </c>
      <c r="J741" s="136">
        <v>3</v>
      </c>
      <c r="K741" s="294"/>
      <c r="L741" s="295"/>
      <c r="M741" s="296"/>
      <c r="N741" s="296"/>
      <c r="O741" s="297"/>
      <c r="P741" s="297"/>
      <c r="Q741" s="296"/>
      <c r="R741" s="296">
        <f>100+100+150</f>
        <v>350</v>
      </c>
      <c r="S741" s="298"/>
      <c r="T741" s="102">
        <f>SUM(Finance[[#This Row],[Samer]:[Margins]])</f>
        <v>350</v>
      </c>
      <c r="U741" s="103">
        <f>ABS(Finance[[#This Row],[Total (EGP)]])</f>
        <v>350</v>
      </c>
      <c r="V741" s="299"/>
    </row>
    <row r="742" spans="2:22" ht="18" customHeight="1" x14ac:dyDescent="0.3">
      <c r="B742" s="288">
        <v>45931</v>
      </c>
      <c r="C742" s="169">
        <f>YEAR(Finance[[#This Row],[Date]])</f>
        <v>2025</v>
      </c>
      <c r="D742" s="289">
        <f>MONTH(Finance[[#This Row],[Date]])</f>
        <v>10</v>
      </c>
      <c r="E742" s="6" t="s">
        <v>775</v>
      </c>
      <c r="F742" s="6" t="s">
        <v>73</v>
      </c>
      <c r="G742" s="6" t="s">
        <v>233</v>
      </c>
      <c r="H742" s="134" t="s">
        <v>234</v>
      </c>
      <c r="I742" s="135" t="s">
        <v>235</v>
      </c>
      <c r="J742" s="136">
        <v>1</v>
      </c>
      <c r="K742" s="193"/>
      <c r="L742" s="194"/>
      <c r="M742" s="195"/>
      <c r="N742" s="195"/>
      <c r="O742" s="196"/>
      <c r="P742" s="196"/>
      <c r="Q742" s="195">
        <v>-54450</v>
      </c>
      <c r="R742" s="296"/>
      <c r="S742" s="298"/>
      <c r="T742" s="102">
        <f>SUM(Finance[[#This Row],[Samer]:[Margins]])</f>
        <v>-54450</v>
      </c>
      <c r="U742" s="103">
        <f>ABS(Finance[[#This Row],[Total (EGP)]])</f>
        <v>54450</v>
      </c>
      <c r="V742" s="299"/>
    </row>
    <row r="743" spans="2:22" ht="18" customHeight="1" x14ac:dyDescent="0.3">
      <c r="B743" s="288">
        <v>45931</v>
      </c>
      <c r="C743" s="169">
        <f>YEAR(Finance[[#This Row],[Date]])</f>
        <v>2025</v>
      </c>
      <c r="D743" s="289">
        <f>MONTH(Finance[[#This Row],[Date]])</f>
        <v>10</v>
      </c>
      <c r="E743" s="39" t="s">
        <v>774</v>
      </c>
      <c r="F743" s="6" t="s">
        <v>29</v>
      </c>
      <c r="G743" s="6" t="s">
        <v>23</v>
      </c>
      <c r="H743" s="134" t="s">
        <v>142</v>
      </c>
      <c r="I743" s="135" t="s">
        <v>175</v>
      </c>
      <c r="J743" s="136">
        <v>3</v>
      </c>
      <c r="K743" s="201"/>
      <c r="L743" s="202"/>
      <c r="M743" s="203"/>
      <c r="N743" s="203"/>
      <c r="O743" s="204"/>
      <c r="P743" s="204"/>
      <c r="Q743" s="203">
        <v>54450</v>
      </c>
      <c r="R743" s="296"/>
      <c r="S743" s="298"/>
      <c r="T743" s="102">
        <f>SUM(Finance[[#This Row],[Samer]:[Margins]])</f>
        <v>54450</v>
      </c>
      <c r="U743" s="103">
        <f>ABS(Finance[[#This Row],[Total (EGP)]])</f>
        <v>54450</v>
      </c>
      <c r="V743" s="299"/>
    </row>
    <row r="744" spans="2:22" ht="18" customHeight="1" x14ac:dyDescent="0.3">
      <c r="B744" s="288">
        <v>45931</v>
      </c>
      <c r="C744" s="169">
        <f>YEAR(Finance[[#This Row],[Date]])</f>
        <v>2025</v>
      </c>
      <c r="D744" s="289">
        <f>MONTH(Finance[[#This Row],[Date]])</f>
        <v>10</v>
      </c>
      <c r="E744" s="39" t="s">
        <v>779</v>
      </c>
      <c r="F744" s="39" t="s">
        <v>30</v>
      </c>
      <c r="G744" s="39" t="s">
        <v>127</v>
      </c>
      <c r="H744" s="130" t="s">
        <v>176</v>
      </c>
      <c r="I744" s="114" t="s">
        <v>177</v>
      </c>
      <c r="J744" s="131">
        <v>1</v>
      </c>
      <c r="K744" s="31"/>
      <c r="L744" s="132">
        <f>57*56.25*1.25</f>
        <v>4007.8125</v>
      </c>
      <c r="M744" s="296"/>
      <c r="N744" s="296"/>
      <c r="O744" s="297"/>
      <c r="P744" s="297"/>
      <c r="Q744" s="296"/>
      <c r="R744" s="296"/>
      <c r="S744" s="298"/>
      <c r="T744" s="102">
        <f>SUM(Finance[[#This Row],[Samer]:[Margins]])</f>
        <v>4007.8125</v>
      </c>
      <c r="U744" s="103">
        <f>ABS(Finance[[#This Row],[Total (EGP)]])</f>
        <v>4007.8125</v>
      </c>
      <c r="V744" s="299"/>
    </row>
    <row r="745" spans="2:22" ht="18" customHeight="1" x14ac:dyDescent="0.3">
      <c r="B745" s="288">
        <v>45931</v>
      </c>
      <c r="C745" s="169">
        <f>YEAR(Finance[[#This Row],[Date]])</f>
        <v>2025</v>
      </c>
      <c r="D745" s="289">
        <f>MONTH(Finance[[#This Row],[Date]])</f>
        <v>10</v>
      </c>
      <c r="E745" s="39" t="s">
        <v>778</v>
      </c>
      <c r="F745" s="39" t="s">
        <v>30</v>
      </c>
      <c r="G745" s="39" t="s">
        <v>109</v>
      </c>
      <c r="H745" s="130" t="s">
        <v>176</v>
      </c>
      <c r="I745" s="114" t="s">
        <v>177</v>
      </c>
      <c r="J745" s="131">
        <v>1</v>
      </c>
      <c r="K745" s="175"/>
      <c r="L745" s="176">
        <f>17.66*2*48*1.05</f>
        <v>1780.1280000000002</v>
      </c>
      <c r="M745" s="296"/>
      <c r="N745" s="296"/>
      <c r="O745" s="297"/>
      <c r="P745" s="297"/>
      <c r="Q745" s="296"/>
      <c r="R745" s="296"/>
      <c r="S745" s="298"/>
      <c r="T745" s="102">
        <f>SUM(Finance[[#This Row],[Samer]:[Margins]])</f>
        <v>1780.1280000000002</v>
      </c>
      <c r="U745" s="103">
        <f>ABS(Finance[[#This Row],[Total (EGP)]])</f>
        <v>1780.1280000000002</v>
      </c>
      <c r="V745" s="299"/>
    </row>
    <row r="746" spans="2:22" ht="18" customHeight="1" x14ac:dyDescent="0.3">
      <c r="B746" s="288">
        <v>45931</v>
      </c>
      <c r="C746" s="169">
        <f>YEAR(Finance[[#This Row],[Date]])</f>
        <v>2025</v>
      </c>
      <c r="D746" s="289">
        <f>MONTH(Finance[[#This Row],[Date]])</f>
        <v>10</v>
      </c>
      <c r="E746" s="39" t="s">
        <v>777</v>
      </c>
      <c r="F746" s="39" t="s">
        <v>29</v>
      </c>
      <c r="G746" s="39" t="s">
        <v>108</v>
      </c>
      <c r="H746" s="130" t="s">
        <v>182</v>
      </c>
      <c r="I746" s="114" t="s">
        <v>175</v>
      </c>
      <c r="J746" s="131">
        <v>4</v>
      </c>
      <c r="K746" s="201"/>
      <c r="L746" s="202">
        <f>280*48*1.03</f>
        <v>13843.2</v>
      </c>
      <c r="M746" s="296"/>
      <c r="N746" s="296"/>
      <c r="O746" s="297"/>
      <c r="P746" s="297"/>
      <c r="Q746" s="296"/>
      <c r="R746" s="296"/>
      <c r="S746" s="298"/>
      <c r="T746" s="102">
        <f>SUM(Finance[[#This Row],[Samer]:[Margins]])</f>
        <v>13843.2</v>
      </c>
      <c r="U746" s="103">
        <f>ABS(Finance[[#This Row],[Total (EGP)]])</f>
        <v>13843.2</v>
      </c>
      <c r="V746" s="299"/>
    </row>
    <row r="747" spans="2:22" ht="18" customHeight="1" x14ac:dyDescent="0.3">
      <c r="B747" s="288">
        <v>45931</v>
      </c>
      <c r="C747" s="169">
        <f>YEAR(Finance[[#This Row],[Date]])</f>
        <v>2025</v>
      </c>
      <c r="D747" s="289">
        <f>MONTH(Finance[[#This Row],[Date]])</f>
        <v>10</v>
      </c>
      <c r="E747" s="6" t="s">
        <v>776</v>
      </c>
      <c r="F747" s="6" t="s">
        <v>29</v>
      </c>
      <c r="G747" s="6" t="s">
        <v>111</v>
      </c>
      <c r="H747" s="134" t="s">
        <v>259</v>
      </c>
      <c r="I747" s="135" t="s">
        <v>175</v>
      </c>
      <c r="J747" s="136">
        <v>3</v>
      </c>
      <c r="K747" s="294"/>
      <c r="L747" s="295"/>
      <c r="M747" s="296"/>
      <c r="N747" s="296"/>
      <c r="O747" s="297"/>
      <c r="P747" s="297"/>
      <c r="Q747" s="296"/>
      <c r="R747" s="296"/>
      <c r="S747" s="298">
        <v>20</v>
      </c>
      <c r="T747" s="102">
        <f>SUM(Finance[[#This Row],[Samer]:[Margins]])</f>
        <v>20</v>
      </c>
      <c r="U747" s="103">
        <f>ABS(Finance[[#This Row],[Total (EGP)]])</f>
        <v>20</v>
      </c>
      <c r="V747" s="299"/>
    </row>
    <row r="748" spans="2:22" ht="18" customHeight="1" x14ac:dyDescent="0.3">
      <c r="B748" s="288">
        <v>45931</v>
      </c>
      <c r="C748" s="169">
        <f>YEAR(Finance[[#This Row],[Date]])</f>
        <v>2025</v>
      </c>
      <c r="D748" s="289">
        <f>MONTH(Finance[[#This Row],[Date]])</f>
        <v>10</v>
      </c>
      <c r="E748" s="6" t="s">
        <v>241</v>
      </c>
      <c r="F748" s="6" t="s">
        <v>29</v>
      </c>
      <c r="G748" s="6" t="s">
        <v>95</v>
      </c>
      <c r="H748" s="134" t="s">
        <v>194</v>
      </c>
      <c r="I748" s="135" t="s">
        <v>175</v>
      </c>
      <c r="J748" s="136">
        <v>3</v>
      </c>
      <c r="K748" s="294"/>
      <c r="L748" s="295"/>
      <c r="M748" s="296"/>
      <c r="N748" s="296"/>
      <c r="O748" s="297"/>
      <c r="P748" s="297"/>
      <c r="Q748" s="296"/>
      <c r="R748" s="296">
        <v>55.04</v>
      </c>
      <c r="S748" s="298"/>
      <c r="T748" s="102">
        <f>SUM(Finance[[#This Row],[Samer]:[Margins]])</f>
        <v>55.04</v>
      </c>
      <c r="U748" s="103">
        <f>ABS(Finance[[#This Row],[Total (EGP)]])</f>
        <v>55.04</v>
      </c>
      <c r="V748" s="299"/>
    </row>
    <row r="749" spans="2:22" ht="18" customHeight="1" x14ac:dyDescent="0.3">
      <c r="B749" s="288">
        <v>45935</v>
      </c>
      <c r="C749" s="169">
        <f>YEAR(Finance[[#This Row],[Date]])</f>
        <v>2025</v>
      </c>
      <c r="D749" s="289">
        <f>MONTH(Finance[[#This Row],[Date]])</f>
        <v>10</v>
      </c>
      <c r="E749" s="39" t="s">
        <v>781</v>
      </c>
      <c r="F749" s="158" t="s">
        <v>34</v>
      </c>
      <c r="G749" s="6" t="s">
        <v>66</v>
      </c>
      <c r="H749" s="134" t="s">
        <v>210</v>
      </c>
      <c r="I749" s="114" t="s">
        <v>175</v>
      </c>
      <c r="J749" s="136">
        <v>3</v>
      </c>
      <c r="K749" s="294"/>
      <c r="L749" s="295">
        <v>40000</v>
      </c>
      <c r="M749" s="296"/>
      <c r="N749" s="296"/>
      <c r="O749" s="297"/>
      <c r="P749" s="297"/>
      <c r="Q749" s="296"/>
      <c r="R749" s="296"/>
      <c r="S749" s="298"/>
      <c r="T749" s="102">
        <f>SUM(Finance[[#This Row],[Samer]:[Margins]])</f>
        <v>40000</v>
      </c>
      <c r="U749" s="103">
        <f>ABS(Finance[[#This Row],[Total (EGP)]])</f>
        <v>40000</v>
      </c>
      <c r="V749" s="299"/>
    </row>
    <row r="750" spans="2:22" ht="18" customHeight="1" x14ac:dyDescent="0.3">
      <c r="B750" s="288">
        <v>45935</v>
      </c>
      <c r="C750" s="169">
        <f>YEAR(Finance[[#This Row],[Date]])</f>
        <v>2025</v>
      </c>
      <c r="D750" s="289">
        <f>MONTH(Finance[[#This Row],[Date]])</f>
        <v>10</v>
      </c>
      <c r="E750" s="6" t="s">
        <v>783</v>
      </c>
      <c r="F750" s="39" t="s">
        <v>30</v>
      </c>
      <c r="G750" s="6" t="s">
        <v>127</v>
      </c>
      <c r="H750" s="48" t="s">
        <v>176</v>
      </c>
      <c r="I750" s="114" t="s">
        <v>782</v>
      </c>
      <c r="J750" s="136">
        <v>4</v>
      </c>
      <c r="K750" s="31"/>
      <c r="L750" s="132">
        <f>107.88*47.71*1.03</f>
        <v>5301.3634439999996</v>
      </c>
      <c r="M750" s="296"/>
      <c r="N750" s="296"/>
      <c r="O750" s="297"/>
      <c r="P750" s="297"/>
      <c r="Q750" s="296"/>
      <c r="R750" s="296"/>
      <c r="S750" s="298"/>
      <c r="T750" s="102">
        <f>SUM(Finance[[#This Row],[Samer]:[Margins]])</f>
        <v>5301.3634439999996</v>
      </c>
      <c r="U750" s="103">
        <f>ABS(Finance[[#This Row],[Total (EGP)]])</f>
        <v>5301.3634439999996</v>
      </c>
      <c r="V750" s="299"/>
    </row>
    <row r="751" spans="2:22" ht="18" customHeight="1" x14ac:dyDescent="0.3">
      <c r="B751" s="288">
        <v>45935</v>
      </c>
      <c r="C751" s="169">
        <f>YEAR(Finance[[#This Row],[Date]])</f>
        <v>2025</v>
      </c>
      <c r="D751" s="289">
        <f>MONTH(Finance[[#This Row],[Date]])</f>
        <v>10</v>
      </c>
      <c r="E751" s="6" t="s">
        <v>784</v>
      </c>
      <c r="F751" s="39" t="s">
        <v>30</v>
      </c>
      <c r="G751" s="6" t="s">
        <v>145</v>
      </c>
      <c r="H751" s="48" t="s">
        <v>176</v>
      </c>
      <c r="I751" s="114" t="s">
        <v>782</v>
      </c>
      <c r="J751" s="136">
        <v>4</v>
      </c>
      <c r="K751" s="31"/>
      <c r="L751" s="132">
        <f>22*47.71*1.03</f>
        <v>1081.1086000000003</v>
      </c>
      <c r="M751" s="296"/>
      <c r="N751" s="296"/>
      <c r="O751" s="297"/>
      <c r="P751" s="297"/>
      <c r="Q751" s="296"/>
      <c r="R751" s="296"/>
      <c r="S751" s="298"/>
      <c r="T751" s="102">
        <f>SUM(Finance[[#This Row],[Samer]:[Margins]])</f>
        <v>1081.1086000000003</v>
      </c>
      <c r="U751" s="103">
        <f>ABS(Finance[[#This Row],[Total (EGP)]])</f>
        <v>1081.1086000000003</v>
      </c>
      <c r="V751" s="299"/>
    </row>
    <row r="752" spans="2:22" ht="18" customHeight="1" x14ac:dyDescent="0.3">
      <c r="B752" s="7">
        <v>45935</v>
      </c>
      <c r="C752" s="169">
        <f>YEAR(Finance[[#This Row],[Date]])</f>
        <v>2025</v>
      </c>
      <c r="D752" s="285">
        <f>MONTH(Finance[[#This Row],[Date]])</f>
        <v>10</v>
      </c>
      <c r="E752" s="39" t="s">
        <v>956</v>
      </c>
      <c r="F752" s="272" t="s">
        <v>30</v>
      </c>
      <c r="G752" s="272" t="s">
        <v>88</v>
      </c>
      <c r="H752" s="273" t="s">
        <v>102</v>
      </c>
      <c r="I752" s="274" t="s">
        <v>235</v>
      </c>
      <c r="J752" s="275">
        <v>2</v>
      </c>
      <c r="K752" s="276"/>
      <c r="L752" s="277">
        <f>(600*975+122*1.5*975)/3*0.85</f>
        <v>216303.75</v>
      </c>
      <c r="M752" s="296"/>
      <c r="N752" s="296"/>
      <c r="O752" s="297"/>
      <c r="P752" s="297"/>
      <c r="Q752" s="296"/>
      <c r="R752" s="296"/>
      <c r="S752" s="298"/>
      <c r="T752" s="102">
        <f>SUM(Finance[[#This Row],[Samer]:[Margins]])</f>
        <v>216303.75</v>
      </c>
      <c r="U752" s="103">
        <f>ABS(Finance[[#This Row],[Total (EGP)]])</f>
        <v>216303.75</v>
      </c>
      <c r="V752" s="299"/>
    </row>
    <row r="753" spans="2:22" ht="18" customHeight="1" x14ac:dyDescent="0.3">
      <c r="B753" s="288">
        <v>45935</v>
      </c>
      <c r="C753" s="169">
        <f>YEAR(Finance[[#This Row],[Date]])</f>
        <v>2025</v>
      </c>
      <c r="D753" s="289">
        <f>MONTH(Finance[[#This Row],[Date]])</f>
        <v>10</v>
      </c>
      <c r="E753" s="6" t="s">
        <v>785</v>
      </c>
      <c r="F753" s="6" t="s">
        <v>73</v>
      </c>
      <c r="G753" s="6" t="s">
        <v>75</v>
      </c>
      <c r="H753" s="134" t="s">
        <v>234</v>
      </c>
      <c r="I753" s="135" t="s">
        <v>177</v>
      </c>
      <c r="J753" s="136">
        <v>4</v>
      </c>
      <c r="K753" s="294"/>
      <c r="L753" s="295"/>
      <c r="M753" s="296"/>
      <c r="N753" s="296"/>
      <c r="O753" s="297"/>
      <c r="P753" s="297"/>
      <c r="Q753" s="296"/>
      <c r="R753" s="296">
        <v>-13545.79</v>
      </c>
      <c r="S753" s="298"/>
      <c r="T753" s="102">
        <f>SUM(Finance[[#This Row],[Samer]:[Margins]])</f>
        <v>-13545.79</v>
      </c>
      <c r="U753" s="103">
        <f>ABS(Finance[[#This Row],[Total (EGP)]])</f>
        <v>13545.79</v>
      </c>
      <c r="V753" s="299"/>
    </row>
    <row r="754" spans="2:22" ht="18" customHeight="1" x14ac:dyDescent="0.3">
      <c r="B754" s="7">
        <v>45935</v>
      </c>
      <c r="C754" s="169">
        <f>YEAR(Finance[[#This Row],[Date]])</f>
        <v>2025</v>
      </c>
      <c r="D754" s="289">
        <f>MONTH(Finance[[#This Row],[Date]])</f>
        <v>10</v>
      </c>
      <c r="E754" s="6" t="s">
        <v>237</v>
      </c>
      <c r="F754" s="6" t="s">
        <v>73</v>
      </c>
      <c r="G754" s="6" t="s">
        <v>75</v>
      </c>
      <c r="H754" s="134" t="s">
        <v>90</v>
      </c>
      <c r="I754" s="135" t="s">
        <v>177</v>
      </c>
      <c r="J754" s="136">
        <v>4</v>
      </c>
      <c r="K754" s="294"/>
      <c r="L754" s="295"/>
      <c r="M754" s="296"/>
      <c r="N754" s="296"/>
      <c r="O754" s="297"/>
      <c r="P754" s="297"/>
      <c r="Q754" s="296"/>
      <c r="R754" s="296">
        <f>-13545.79*0.14</f>
        <v>-1896.4106000000004</v>
      </c>
      <c r="S754" s="298"/>
      <c r="T754" s="102">
        <f>SUM(Finance[[#This Row],[Samer]:[Margins]])</f>
        <v>-1896.4106000000004</v>
      </c>
      <c r="U754" s="103">
        <f>ABS(Finance[[#This Row],[Total (EGP)]])</f>
        <v>1896.4106000000004</v>
      </c>
      <c r="V754" s="299"/>
    </row>
    <row r="755" spans="2:22" ht="18" customHeight="1" x14ac:dyDescent="0.3">
      <c r="B755" s="7">
        <v>45935</v>
      </c>
      <c r="C755" s="169">
        <f>YEAR(Finance[[#This Row],[Date]])</f>
        <v>2025</v>
      </c>
      <c r="D755" s="289">
        <f>MONTH(Finance[[#This Row],[Date]])</f>
        <v>10</v>
      </c>
      <c r="E755" s="6" t="s">
        <v>786</v>
      </c>
      <c r="F755" s="6" t="s">
        <v>73</v>
      </c>
      <c r="G755" s="6" t="s">
        <v>233</v>
      </c>
      <c r="H755" s="134" t="s">
        <v>234</v>
      </c>
      <c r="I755" s="135" t="s">
        <v>235</v>
      </c>
      <c r="J755" s="136">
        <v>1</v>
      </c>
      <c r="K755" s="294"/>
      <c r="L755" s="295"/>
      <c r="M755" s="296"/>
      <c r="N755" s="296"/>
      <c r="O755" s="297"/>
      <c r="P755" s="297"/>
      <c r="Q755" s="296"/>
      <c r="R755" s="296">
        <v>-99830.2</v>
      </c>
      <c r="S755" s="298"/>
      <c r="T755" s="102">
        <f>SUM(Finance[[#This Row],[Samer]:[Margins]])</f>
        <v>-99830.2</v>
      </c>
      <c r="U755" s="103">
        <f>ABS(Finance[[#This Row],[Total (EGP)]])</f>
        <v>99830.2</v>
      </c>
      <c r="V755" s="299"/>
    </row>
    <row r="756" spans="2:22" ht="18" customHeight="1" x14ac:dyDescent="0.3">
      <c r="B756" s="288">
        <v>45935</v>
      </c>
      <c r="C756" s="169">
        <f>YEAR(Finance[[#This Row],[Date]])</f>
        <v>2025</v>
      </c>
      <c r="D756" s="289">
        <f>MONTH(Finance[[#This Row],[Date]])</f>
        <v>10</v>
      </c>
      <c r="E756" s="6" t="s">
        <v>237</v>
      </c>
      <c r="F756" s="6" t="s">
        <v>73</v>
      </c>
      <c r="G756" s="126" t="s">
        <v>233</v>
      </c>
      <c r="H756" s="127" t="s">
        <v>90</v>
      </c>
      <c r="I756" s="135" t="s">
        <v>235</v>
      </c>
      <c r="J756" s="129">
        <v>1</v>
      </c>
      <c r="K756" s="294"/>
      <c r="L756" s="295"/>
      <c r="M756" s="296"/>
      <c r="N756" s="296"/>
      <c r="O756" s="297"/>
      <c r="P756" s="297"/>
      <c r="Q756" s="296"/>
      <c r="R756" s="296">
        <f>-803328.41*0.14</f>
        <v>-112465.97740000002</v>
      </c>
      <c r="S756" s="298"/>
      <c r="T756" s="102">
        <f>SUM(Finance[[#This Row],[Samer]:[Margins]])</f>
        <v>-112465.97740000002</v>
      </c>
      <c r="U756" s="103">
        <f>ABS(Finance[[#This Row],[Total (EGP)]])</f>
        <v>112465.97740000002</v>
      </c>
      <c r="V756" s="299"/>
    </row>
    <row r="757" spans="2:22" ht="18" customHeight="1" x14ac:dyDescent="0.3">
      <c r="B757" s="7">
        <v>45935</v>
      </c>
      <c r="C757" s="169">
        <f>YEAR(Finance[[#This Row],[Date]])</f>
        <v>2025</v>
      </c>
      <c r="D757" s="289">
        <f>MONTH(Finance[[#This Row],[Date]])</f>
        <v>10</v>
      </c>
      <c r="E757" s="6" t="s">
        <v>238</v>
      </c>
      <c r="F757" s="6" t="s">
        <v>84</v>
      </c>
      <c r="G757" s="6" t="s">
        <v>86</v>
      </c>
      <c r="H757" s="134" t="s">
        <v>234</v>
      </c>
      <c r="I757" s="135" t="s">
        <v>235</v>
      </c>
      <c r="J757" s="129">
        <v>1</v>
      </c>
      <c r="K757" s="294"/>
      <c r="L757" s="295"/>
      <c r="M757" s="296"/>
      <c r="N757" s="296"/>
      <c r="O757" s="297"/>
      <c r="P757" s="297"/>
      <c r="Q757" s="296"/>
      <c r="R757" s="296">
        <f>803328.41*0.03</f>
        <v>24099.852299999999</v>
      </c>
      <c r="S757" s="298"/>
      <c r="T757" s="102">
        <f>SUM(Finance[[#This Row],[Samer]:[Margins]])</f>
        <v>24099.852299999999</v>
      </c>
      <c r="U757" s="103">
        <f>ABS(Finance[[#This Row],[Total (EGP)]])</f>
        <v>24099.852299999999</v>
      </c>
      <c r="V757" s="299"/>
    </row>
    <row r="758" spans="2:22" ht="18" customHeight="1" x14ac:dyDescent="0.3">
      <c r="B758" s="288">
        <v>45935</v>
      </c>
      <c r="C758" s="169">
        <f>YEAR(Finance[[#This Row],[Date]])</f>
        <v>2025</v>
      </c>
      <c r="D758" s="289">
        <f>MONTH(Finance[[#This Row],[Date]])</f>
        <v>10</v>
      </c>
      <c r="E758" s="6" t="s">
        <v>787</v>
      </c>
      <c r="F758" s="6" t="s">
        <v>73</v>
      </c>
      <c r="G758" s="6" t="s">
        <v>233</v>
      </c>
      <c r="H758" s="134" t="s">
        <v>234</v>
      </c>
      <c r="I758" s="135" t="s">
        <v>235</v>
      </c>
      <c r="J758" s="136">
        <v>1</v>
      </c>
      <c r="K758" s="294"/>
      <c r="L758" s="295"/>
      <c r="M758" s="296"/>
      <c r="N758" s="296"/>
      <c r="O758" s="297"/>
      <c r="P758" s="297"/>
      <c r="Q758" s="296"/>
      <c r="R758" s="296">
        <v>-46361.47</v>
      </c>
      <c r="S758" s="298"/>
      <c r="T758" s="102">
        <f>SUM(Finance[[#This Row],[Samer]:[Margins]])</f>
        <v>-46361.47</v>
      </c>
      <c r="U758" s="103">
        <f>ABS(Finance[[#This Row],[Total (EGP)]])</f>
        <v>46361.47</v>
      </c>
      <c r="V758" s="299"/>
    </row>
    <row r="759" spans="2:22" ht="18" customHeight="1" x14ac:dyDescent="0.3">
      <c r="B759" s="7">
        <v>45935</v>
      </c>
      <c r="C759" s="169">
        <f>YEAR(Finance[[#This Row],[Date]])</f>
        <v>2025</v>
      </c>
      <c r="D759" s="289">
        <f>MONTH(Finance[[#This Row],[Date]])</f>
        <v>10</v>
      </c>
      <c r="E759" s="6" t="s">
        <v>757</v>
      </c>
      <c r="F759" s="6" t="s">
        <v>29</v>
      </c>
      <c r="G759" s="6" t="s">
        <v>95</v>
      </c>
      <c r="H759" s="134" t="s">
        <v>194</v>
      </c>
      <c r="I759" s="114" t="s">
        <v>235</v>
      </c>
      <c r="J759" s="136">
        <v>3</v>
      </c>
      <c r="K759" s="294"/>
      <c r="L759" s="295"/>
      <c r="M759" s="296"/>
      <c r="N759" s="296"/>
      <c r="O759" s="297"/>
      <c r="P759" s="297"/>
      <c r="Q759" s="296"/>
      <c r="R759" s="296">
        <v>25</v>
      </c>
      <c r="S759" s="298"/>
      <c r="T759" s="102">
        <f>SUM(Finance[[#This Row],[Samer]:[Margins]])</f>
        <v>25</v>
      </c>
      <c r="U759" s="103">
        <f>ABS(Finance[[#This Row],[Total (EGP)]])</f>
        <v>25</v>
      </c>
      <c r="V759" s="299"/>
    </row>
    <row r="760" spans="2:22" ht="18" customHeight="1" x14ac:dyDescent="0.3">
      <c r="B760" s="288">
        <v>45935</v>
      </c>
      <c r="C760" s="169">
        <f>YEAR(Finance[[#This Row],[Date]])</f>
        <v>2025</v>
      </c>
      <c r="D760" s="289">
        <f>MONTH(Finance[[#This Row],[Date]])</f>
        <v>10</v>
      </c>
      <c r="E760" s="6" t="s">
        <v>791</v>
      </c>
      <c r="F760" s="39" t="s">
        <v>84</v>
      </c>
      <c r="G760" s="39" t="s">
        <v>144</v>
      </c>
      <c r="H760" s="48" t="s">
        <v>144</v>
      </c>
      <c r="I760" s="114" t="s">
        <v>175</v>
      </c>
      <c r="J760" s="131">
        <v>3</v>
      </c>
      <c r="K760" s="294"/>
      <c r="L760" s="295"/>
      <c r="M760" s="296"/>
      <c r="N760" s="296"/>
      <c r="O760" s="297"/>
      <c r="P760" s="297"/>
      <c r="Q760" s="296"/>
      <c r="R760" s="296">
        <v>100000</v>
      </c>
      <c r="S760" s="298"/>
      <c r="T760" s="102">
        <f>SUM(Finance[[#This Row],[Samer]:[Margins]])</f>
        <v>100000</v>
      </c>
      <c r="U760" s="103">
        <f>ABS(Finance[[#This Row],[Total (EGP)]])</f>
        <v>100000</v>
      </c>
      <c r="V760" s="299"/>
    </row>
    <row r="761" spans="2:22" ht="18" customHeight="1" x14ac:dyDescent="0.3">
      <c r="B761" s="288">
        <v>45935</v>
      </c>
      <c r="C761" s="169">
        <f>YEAR(Finance[[#This Row],[Date]])</f>
        <v>2025</v>
      </c>
      <c r="D761" s="289">
        <f>MONTH(Finance[[#This Row],[Date]])</f>
        <v>10</v>
      </c>
      <c r="E761" s="6" t="s">
        <v>746</v>
      </c>
      <c r="F761" s="39" t="s">
        <v>29</v>
      </c>
      <c r="G761" s="48" t="s">
        <v>95</v>
      </c>
      <c r="H761" s="48" t="s">
        <v>194</v>
      </c>
      <c r="I761" s="114" t="s">
        <v>175</v>
      </c>
      <c r="J761" s="131">
        <v>3</v>
      </c>
      <c r="K761" s="294"/>
      <c r="L761" s="295"/>
      <c r="M761" s="296"/>
      <c r="N761" s="296"/>
      <c r="O761" s="297"/>
      <c r="P761" s="297"/>
      <c r="Q761" s="296"/>
      <c r="R761" s="296">
        <f>100000*0.00371</f>
        <v>371</v>
      </c>
      <c r="S761" s="298"/>
      <c r="T761" s="102">
        <f>SUM(Finance[[#This Row],[Samer]:[Margins]])</f>
        <v>371</v>
      </c>
      <c r="U761" s="103">
        <f>ABS(Finance[[#This Row],[Total (EGP)]])</f>
        <v>371</v>
      </c>
      <c r="V761" s="299"/>
    </row>
    <row r="762" spans="2:22" ht="18" customHeight="1" x14ac:dyDescent="0.3">
      <c r="B762" s="288">
        <v>45937</v>
      </c>
      <c r="C762" s="169">
        <f>YEAR(Finance[[#This Row],[Date]])</f>
        <v>2025</v>
      </c>
      <c r="D762" s="289">
        <f>MONTH(Finance[[#This Row],[Date]])</f>
        <v>10</v>
      </c>
      <c r="E762" s="6" t="s">
        <v>792</v>
      </c>
      <c r="F762" s="6" t="s">
        <v>73</v>
      </c>
      <c r="G762" s="6" t="s">
        <v>93</v>
      </c>
      <c r="H762" s="134" t="s">
        <v>199</v>
      </c>
      <c r="I762" s="114" t="s">
        <v>794</v>
      </c>
      <c r="J762" s="136">
        <v>4</v>
      </c>
      <c r="K762" s="294"/>
      <c r="L762" s="295"/>
      <c r="M762" s="296"/>
      <c r="N762" s="296"/>
      <c r="O762" s="297"/>
      <c r="P762" s="297"/>
      <c r="Q762" s="296"/>
      <c r="R762" s="296">
        <f>-14436-0.96</f>
        <v>-14436.96</v>
      </c>
      <c r="S762" s="298"/>
      <c r="T762" s="102">
        <f>SUM(Finance[[#This Row],[Samer]:[Margins]])</f>
        <v>-14436.96</v>
      </c>
      <c r="U762" s="103">
        <f>ABS(Finance[[#This Row],[Total (EGP)]])</f>
        <v>14436.96</v>
      </c>
      <c r="V762" s="299"/>
    </row>
    <row r="763" spans="2:22" ht="18" customHeight="1" x14ac:dyDescent="0.3">
      <c r="B763" s="288">
        <v>45937</v>
      </c>
      <c r="C763" s="169">
        <f>YEAR(Finance[[#This Row],[Date]])</f>
        <v>2025</v>
      </c>
      <c r="D763" s="289">
        <f>MONTH(Finance[[#This Row],[Date]])</f>
        <v>10</v>
      </c>
      <c r="E763" s="6" t="s">
        <v>793</v>
      </c>
      <c r="F763" s="6" t="s">
        <v>73</v>
      </c>
      <c r="G763" s="6" t="s">
        <v>93</v>
      </c>
      <c r="H763" s="134" t="s">
        <v>90</v>
      </c>
      <c r="I763" s="114" t="s">
        <v>794</v>
      </c>
      <c r="J763" s="136">
        <v>4</v>
      </c>
      <c r="K763" s="294"/>
      <c r="L763" s="295"/>
      <c r="M763" s="296"/>
      <c r="N763" s="296"/>
      <c r="O763" s="297"/>
      <c r="P763" s="297"/>
      <c r="Q763" s="296"/>
      <c r="R763" s="296">
        <f>-14436*0.14</f>
        <v>-2021.0400000000002</v>
      </c>
      <c r="S763" s="298"/>
      <c r="T763" s="102">
        <f>SUM(Finance[[#This Row],[Samer]:[Margins]])</f>
        <v>-2021.0400000000002</v>
      </c>
      <c r="U763" s="103">
        <f>ABS(Finance[[#This Row],[Total (EGP)]])</f>
        <v>2021.0400000000002</v>
      </c>
      <c r="V763" s="299"/>
    </row>
    <row r="764" spans="2:22" ht="18" customHeight="1" x14ac:dyDescent="0.3">
      <c r="B764" s="288">
        <v>45938</v>
      </c>
      <c r="C764" s="169">
        <f>YEAR(Finance[[#This Row],[Date]])</f>
        <v>2025</v>
      </c>
      <c r="D764" s="289">
        <f>MONTH(Finance[[#This Row],[Date]])</f>
        <v>10</v>
      </c>
      <c r="E764" s="290" t="s">
        <v>179</v>
      </c>
      <c r="F764" s="290" t="s">
        <v>37</v>
      </c>
      <c r="G764" s="290" t="s">
        <v>36</v>
      </c>
      <c r="H764" s="291" t="s">
        <v>181</v>
      </c>
      <c r="I764" s="292" t="s">
        <v>175</v>
      </c>
      <c r="J764" s="293">
        <v>0</v>
      </c>
      <c r="K764" s="294"/>
      <c r="L764" s="295">
        <v>-280000</v>
      </c>
      <c r="M764" s="296"/>
      <c r="N764" s="296"/>
      <c r="O764" s="297"/>
      <c r="P764" s="297"/>
      <c r="Q764" s="296"/>
      <c r="R764" s="296">
        <v>280000</v>
      </c>
      <c r="S764" s="298"/>
      <c r="T764" s="102">
        <f>SUM(Finance[[#This Row],[Samer]:[Margins]])</f>
        <v>0</v>
      </c>
      <c r="U764" s="103">
        <f>ABS(Finance[[#This Row],[Total (EGP)]])</f>
        <v>0</v>
      </c>
      <c r="V764" s="299"/>
    </row>
    <row r="765" spans="2:22" ht="18" customHeight="1" x14ac:dyDescent="0.3">
      <c r="B765" s="288">
        <v>45938</v>
      </c>
      <c r="C765" s="169">
        <f>YEAR(Finance[[#This Row],[Date]])</f>
        <v>2025</v>
      </c>
      <c r="D765" s="289">
        <f>MONTH(Finance[[#This Row],[Date]])</f>
        <v>10</v>
      </c>
      <c r="E765" s="290" t="s">
        <v>797</v>
      </c>
      <c r="F765" s="290" t="s">
        <v>29</v>
      </c>
      <c r="G765" s="290" t="s">
        <v>101</v>
      </c>
      <c r="H765" s="291" t="s">
        <v>800</v>
      </c>
      <c r="I765" s="292" t="s">
        <v>175</v>
      </c>
      <c r="J765" s="293">
        <v>3</v>
      </c>
      <c r="K765" s="294"/>
      <c r="L765" s="295">
        <v>2000</v>
      </c>
      <c r="M765" s="296"/>
      <c r="N765" s="296"/>
      <c r="O765" s="297"/>
      <c r="P765" s="297"/>
      <c r="Q765" s="296"/>
      <c r="R765" s="296"/>
      <c r="S765" s="298"/>
      <c r="T765" s="102">
        <f>SUM(Finance[[#This Row],[Samer]:[Margins]])</f>
        <v>2000</v>
      </c>
      <c r="U765" s="103">
        <f>ABS(Finance[[#This Row],[Total (EGP)]])</f>
        <v>2000</v>
      </c>
      <c r="V765" s="299"/>
    </row>
    <row r="766" spans="2:22" ht="18" customHeight="1" x14ac:dyDescent="0.3">
      <c r="B766" s="288">
        <v>45938</v>
      </c>
      <c r="C766" s="169">
        <f>YEAR(Finance[[#This Row],[Date]])</f>
        <v>2025</v>
      </c>
      <c r="D766" s="289">
        <f>MONTH(Finance[[#This Row],[Date]])</f>
        <v>10</v>
      </c>
      <c r="E766" s="290" t="s">
        <v>295</v>
      </c>
      <c r="F766" s="6" t="s">
        <v>29</v>
      </c>
      <c r="G766" s="6" t="s">
        <v>111</v>
      </c>
      <c r="H766" s="134" t="s">
        <v>296</v>
      </c>
      <c r="I766" s="114" t="s">
        <v>175</v>
      </c>
      <c r="J766" s="136">
        <v>3</v>
      </c>
      <c r="K766" s="294"/>
      <c r="L766" s="295"/>
      <c r="M766" s="296"/>
      <c r="N766" s="296"/>
      <c r="O766" s="297"/>
      <c r="P766" s="297"/>
      <c r="Q766" s="296"/>
      <c r="R766" s="296">
        <f>1030.78</f>
        <v>1030.78</v>
      </c>
      <c r="S766" s="298"/>
      <c r="T766" s="102">
        <f>SUM(Finance[[#This Row],[Samer]:[Margins]])</f>
        <v>1030.78</v>
      </c>
      <c r="U766" s="103">
        <f>ABS(Finance[[#This Row],[Total (EGP)]])</f>
        <v>1030.78</v>
      </c>
      <c r="V766" s="299"/>
    </row>
    <row r="767" spans="2:22" ht="18" customHeight="1" x14ac:dyDescent="0.3">
      <c r="B767" s="288">
        <v>45938</v>
      </c>
      <c r="C767" s="169">
        <f>YEAR(Finance[[#This Row],[Date]])</f>
        <v>2025</v>
      </c>
      <c r="D767" s="289">
        <f>MONTH(Finance[[#This Row],[Date]])</f>
        <v>10</v>
      </c>
      <c r="E767" s="39" t="s">
        <v>242</v>
      </c>
      <c r="F767" s="39" t="s">
        <v>29</v>
      </c>
      <c r="G767" s="39" t="s">
        <v>112</v>
      </c>
      <c r="H767" s="48" t="s">
        <v>618</v>
      </c>
      <c r="I767" s="114" t="s">
        <v>175</v>
      </c>
      <c r="J767" s="225">
        <v>3</v>
      </c>
      <c r="K767" s="276"/>
      <c r="L767" s="277"/>
      <c r="M767" s="278"/>
      <c r="N767" s="278"/>
      <c r="O767" s="279"/>
      <c r="P767" s="279"/>
      <c r="Q767" s="278"/>
      <c r="R767" s="278">
        <v>1402.2</v>
      </c>
      <c r="S767" s="298"/>
      <c r="T767" s="102">
        <f>SUM(Finance[[#This Row],[Samer]:[Margins]])</f>
        <v>1402.2</v>
      </c>
      <c r="U767" s="103">
        <f>ABS(Finance[[#This Row],[Total (EGP)]])</f>
        <v>1402.2</v>
      </c>
      <c r="V767" s="299"/>
    </row>
    <row r="768" spans="2:22" ht="18" customHeight="1" x14ac:dyDescent="0.3">
      <c r="B768" s="288">
        <v>45938</v>
      </c>
      <c r="C768" s="169">
        <f>YEAR(Finance[[#This Row],[Date]])</f>
        <v>2025</v>
      </c>
      <c r="D768" s="289">
        <f>MONTH(Finance[[#This Row],[Date]])</f>
        <v>10</v>
      </c>
      <c r="E768" s="6" t="s">
        <v>801</v>
      </c>
      <c r="F768" s="6" t="s">
        <v>73</v>
      </c>
      <c r="G768" s="6" t="s">
        <v>93</v>
      </c>
      <c r="H768" s="134" t="s">
        <v>199</v>
      </c>
      <c r="I768" s="114" t="s">
        <v>369</v>
      </c>
      <c r="J768" s="136">
        <v>4</v>
      </c>
      <c r="K768" s="294"/>
      <c r="L768" s="295"/>
      <c r="M768" s="296"/>
      <c r="N768" s="296"/>
      <c r="O768" s="297"/>
      <c r="P768" s="297"/>
      <c r="Q768" s="296"/>
      <c r="R768" s="296">
        <v>-4112.5</v>
      </c>
      <c r="S768" s="298"/>
      <c r="T768" s="102">
        <f>SUM(Finance[[#This Row],[Samer]:[Margins]])</f>
        <v>-4112.5</v>
      </c>
      <c r="U768" s="103">
        <f>ABS(Finance[[#This Row],[Total (EGP)]])</f>
        <v>4112.5</v>
      </c>
      <c r="V768" s="299"/>
    </row>
    <row r="769" spans="2:22" ht="18" customHeight="1" x14ac:dyDescent="0.3">
      <c r="B769" s="288">
        <v>45938</v>
      </c>
      <c r="C769" s="169">
        <f>YEAR(Finance[[#This Row],[Date]])</f>
        <v>2025</v>
      </c>
      <c r="D769" s="289">
        <f>MONTH(Finance[[#This Row],[Date]])</f>
        <v>10</v>
      </c>
      <c r="E769" s="6" t="s">
        <v>638</v>
      </c>
      <c r="F769" s="6" t="s">
        <v>73</v>
      </c>
      <c r="G769" s="6" t="s">
        <v>93</v>
      </c>
      <c r="H769" s="134" t="s">
        <v>90</v>
      </c>
      <c r="I769" s="114" t="s">
        <v>369</v>
      </c>
      <c r="J769" s="136">
        <v>4</v>
      </c>
      <c r="K769" s="294"/>
      <c r="L769" s="295"/>
      <c r="M769" s="296"/>
      <c r="N769" s="296"/>
      <c r="O769" s="297"/>
      <c r="P769" s="297"/>
      <c r="Q769" s="296"/>
      <c r="R769" s="296">
        <f>-4112.5*0.14</f>
        <v>-575.75</v>
      </c>
      <c r="S769" s="298"/>
      <c r="T769" s="102">
        <f>SUM(Finance[[#This Row],[Samer]:[Margins]])</f>
        <v>-575.75</v>
      </c>
      <c r="U769" s="103">
        <f>ABS(Finance[[#This Row],[Total (EGP)]])</f>
        <v>575.75</v>
      </c>
      <c r="V769" s="299"/>
    </row>
    <row r="770" spans="2:22" ht="18" customHeight="1" x14ac:dyDescent="0.3">
      <c r="B770" s="288">
        <v>45938</v>
      </c>
      <c r="C770" s="169">
        <f>YEAR(Finance[[#This Row],[Date]])</f>
        <v>2025</v>
      </c>
      <c r="D770" s="289">
        <f>MONTH(Finance[[#This Row],[Date]])</f>
        <v>10</v>
      </c>
      <c r="E770" s="6" t="s">
        <v>370</v>
      </c>
      <c r="F770" s="6" t="s">
        <v>29</v>
      </c>
      <c r="G770" s="6" t="s">
        <v>95</v>
      </c>
      <c r="H770" s="134" t="s">
        <v>194</v>
      </c>
      <c r="I770" s="114" t="s">
        <v>369</v>
      </c>
      <c r="J770" s="136">
        <v>3</v>
      </c>
      <c r="K770" s="294"/>
      <c r="L770" s="295"/>
      <c r="M770" s="296"/>
      <c r="N770" s="296"/>
      <c r="O770" s="297"/>
      <c r="P770" s="297"/>
      <c r="Q770" s="296"/>
      <c r="R770" s="296">
        <v>10</v>
      </c>
      <c r="S770" s="298"/>
      <c r="T770" s="102">
        <f>SUM(Finance[[#This Row],[Samer]:[Margins]])</f>
        <v>10</v>
      </c>
      <c r="U770" s="103">
        <f>ABS(Finance[[#This Row],[Total (EGP)]])</f>
        <v>10</v>
      </c>
      <c r="V770" s="299"/>
    </row>
    <row r="771" spans="2:22" ht="18" customHeight="1" x14ac:dyDescent="0.3">
      <c r="B771" s="288">
        <v>45938</v>
      </c>
      <c r="C771" s="169">
        <f>YEAR(Finance[[#This Row],[Date]])</f>
        <v>2025</v>
      </c>
      <c r="D771" s="289">
        <f>MONTH(Finance[[#This Row],[Date]])</f>
        <v>10</v>
      </c>
      <c r="E771" s="6" t="s">
        <v>810</v>
      </c>
      <c r="F771" s="6" t="s">
        <v>29</v>
      </c>
      <c r="G771" s="6" t="s">
        <v>108</v>
      </c>
      <c r="H771" s="134" t="s">
        <v>182</v>
      </c>
      <c r="I771" s="135" t="s">
        <v>175</v>
      </c>
      <c r="J771" s="136">
        <v>1</v>
      </c>
      <c r="K771" s="31"/>
      <c r="L771" s="132">
        <v>599</v>
      </c>
      <c r="M771" s="296"/>
      <c r="N771" s="296"/>
      <c r="O771" s="297"/>
      <c r="P771" s="297"/>
      <c r="Q771" s="296"/>
      <c r="R771" s="296"/>
      <c r="S771" s="298"/>
      <c r="T771" s="102">
        <f>SUM(Finance[[#This Row],[Samer]:[Margins]])</f>
        <v>599</v>
      </c>
      <c r="U771" s="103">
        <f>ABS(Finance[[#This Row],[Total (EGP)]])</f>
        <v>599</v>
      </c>
      <c r="V771" s="299"/>
    </row>
    <row r="772" spans="2:22" ht="18" customHeight="1" x14ac:dyDescent="0.3">
      <c r="B772" s="288">
        <v>45938</v>
      </c>
      <c r="C772" s="169">
        <f>YEAR(Finance[[#This Row],[Date]])</f>
        <v>2025</v>
      </c>
      <c r="D772" s="289">
        <f>MONTH(Finance[[#This Row],[Date]])</f>
        <v>10</v>
      </c>
      <c r="E772" s="6" t="s">
        <v>831</v>
      </c>
      <c r="F772" s="6" t="s">
        <v>73</v>
      </c>
      <c r="G772" s="6" t="s">
        <v>75</v>
      </c>
      <c r="H772" s="134" t="s">
        <v>199</v>
      </c>
      <c r="I772" s="114" t="s">
        <v>782</v>
      </c>
      <c r="J772" s="136">
        <v>4</v>
      </c>
      <c r="K772" s="294"/>
      <c r="L772" s="295"/>
      <c r="M772" s="296"/>
      <c r="N772" s="296"/>
      <c r="O772" s="297"/>
      <c r="P772" s="297"/>
      <c r="Q772" s="296"/>
      <c r="R772" s="296">
        <v>-8452.08</v>
      </c>
      <c r="S772" s="298"/>
      <c r="T772" s="102">
        <f>SUM(Finance[[#This Row],[Samer]:[Margins]])</f>
        <v>-8452.08</v>
      </c>
      <c r="U772" s="103">
        <f>ABS(Finance[[#This Row],[Total (EGP)]])</f>
        <v>8452.08</v>
      </c>
      <c r="V772" s="299"/>
    </row>
    <row r="773" spans="2:22" ht="18" customHeight="1" x14ac:dyDescent="0.3">
      <c r="B773" s="288">
        <v>45938</v>
      </c>
      <c r="C773" s="169">
        <f>YEAR(Finance[[#This Row],[Date]])</f>
        <v>2025</v>
      </c>
      <c r="D773" s="289">
        <f>MONTH(Finance[[#This Row],[Date]])</f>
        <v>10</v>
      </c>
      <c r="E773" s="6" t="s">
        <v>832</v>
      </c>
      <c r="F773" s="6" t="s">
        <v>73</v>
      </c>
      <c r="G773" s="6" t="s">
        <v>75</v>
      </c>
      <c r="H773" s="134" t="s">
        <v>90</v>
      </c>
      <c r="I773" s="114" t="s">
        <v>782</v>
      </c>
      <c r="J773" s="136">
        <v>4</v>
      </c>
      <c r="K773" s="294"/>
      <c r="L773" s="295"/>
      <c r="M773" s="296"/>
      <c r="N773" s="296"/>
      <c r="O773" s="297"/>
      <c r="P773" s="297"/>
      <c r="Q773" s="296"/>
      <c r="R773" s="296">
        <f>-8452.08*0.14</f>
        <v>-1183.2912000000001</v>
      </c>
      <c r="S773" s="298"/>
      <c r="T773" s="102">
        <f>SUM(Finance[[#This Row],[Samer]:[Margins]])</f>
        <v>-1183.2912000000001</v>
      </c>
      <c r="U773" s="103">
        <f>ABS(Finance[[#This Row],[Total (EGP)]])</f>
        <v>1183.2912000000001</v>
      </c>
      <c r="V773" s="299"/>
    </row>
    <row r="774" spans="2:22" ht="18" customHeight="1" x14ac:dyDescent="0.3">
      <c r="B774" s="288">
        <v>45938</v>
      </c>
      <c r="C774" s="169">
        <f>YEAR(Finance[[#This Row],[Date]])</f>
        <v>2025</v>
      </c>
      <c r="D774" s="289">
        <f>MONTH(Finance[[#This Row],[Date]])</f>
        <v>10</v>
      </c>
      <c r="E774" s="6" t="s">
        <v>833</v>
      </c>
      <c r="F774" s="6" t="s">
        <v>29</v>
      </c>
      <c r="G774" s="6" t="s">
        <v>95</v>
      </c>
      <c r="H774" s="48" t="s">
        <v>194</v>
      </c>
      <c r="I774" s="114" t="s">
        <v>782</v>
      </c>
      <c r="J774" s="131">
        <v>3</v>
      </c>
      <c r="K774" s="294"/>
      <c r="L774" s="295"/>
      <c r="M774" s="296"/>
      <c r="N774" s="296"/>
      <c r="O774" s="297"/>
      <c r="P774" s="297"/>
      <c r="Q774" s="296"/>
      <c r="R774" s="296">
        <v>25</v>
      </c>
      <c r="S774" s="298"/>
      <c r="T774" s="102">
        <f>SUM(Finance[[#This Row],[Samer]:[Margins]])</f>
        <v>25</v>
      </c>
      <c r="U774" s="103">
        <f>ABS(Finance[[#This Row],[Total (EGP)]])</f>
        <v>25</v>
      </c>
      <c r="V774" s="299"/>
    </row>
    <row r="775" spans="2:22" ht="18" customHeight="1" x14ac:dyDescent="0.3">
      <c r="B775" s="288">
        <v>45939</v>
      </c>
      <c r="C775" s="169">
        <f>YEAR(Finance[[#This Row],[Date]])</f>
        <v>2025</v>
      </c>
      <c r="D775" s="289">
        <f>MONTH(Finance[[#This Row],[Date]])</f>
        <v>10</v>
      </c>
      <c r="E775" s="6" t="s">
        <v>803</v>
      </c>
      <c r="F775" s="39" t="s">
        <v>29</v>
      </c>
      <c r="G775" s="6" t="s">
        <v>108</v>
      </c>
      <c r="H775" s="48" t="s">
        <v>182</v>
      </c>
      <c r="I775" s="135" t="s">
        <v>175</v>
      </c>
      <c r="J775" s="136">
        <v>1</v>
      </c>
      <c r="K775" s="31"/>
      <c r="L775" s="132">
        <f>41.38*47.94*1.05</f>
        <v>2082.94506</v>
      </c>
      <c r="M775" s="296"/>
      <c r="N775" s="296"/>
      <c r="O775" s="297"/>
      <c r="P775" s="297"/>
      <c r="Q775" s="296"/>
      <c r="R775" s="296"/>
      <c r="S775" s="298"/>
      <c r="T775" s="102">
        <f>SUM(Finance[[#This Row],[Samer]:[Margins]])</f>
        <v>2082.94506</v>
      </c>
      <c r="U775" s="103">
        <f>ABS(Finance[[#This Row],[Total (EGP)]])</f>
        <v>2082.94506</v>
      </c>
      <c r="V775" s="299"/>
    </row>
    <row r="776" spans="2:22" ht="18" customHeight="1" x14ac:dyDescent="0.3">
      <c r="B776" s="288">
        <v>45939</v>
      </c>
      <c r="C776" s="169">
        <f>YEAR(Finance[[#This Row],[Date]])</f>
        <v>2025</v>
      </c>
      <c r="D776" s="289">
        <f>MONTH(Finance[[#This Row],[Date]])</f>
        <v>10</v>
      </c>
      <c r="E776" s="39" t="s">
        <v>674</v>
      </c>
      <c r="F776" s="39" t="s">
        <v>29</v>
      </c>
      <c r="G776" s="39" t="s">
        <v>108</v>
      </c>
      <c r="H776" s="48" t="s">
        <v>182</v>
      </c>
      <c r="I776" s="114" t="s">
        <v>175</v>
      </c>
      <c r="J776" s="250">
        <v>3</v>
      </c>
      <c r="K776" s="251"/>
      <c r="L776" s="138">
        <f>20*47.94*1.1</f>
        <v>1054.68</v>
      </c>
      <c r="M776" s="296"/>
      <c r="N776" s="296"/>
      <c r="O776" s="297"/>
      <c r="P776" s="297"/>
      <c r="Q776" s="296"/>
      <c r="R776" s="296"/>
      <c r="S776" s="298"/>
      <c r="T776" s="102">
        <f>SUM(Finance[[#This Row],[Samer]:[Margins]])</f>
        <v>1054.68</v>
      </c>
      <c r="U776" s="103">
        <f>ABS(Finance[[#This Row],[Total (EGP)]])</f>
        <v>1054.68</v>
      </c>
      <c r="V776" s="299"/>
    </row>
    <row r="777" spans="2:22" ht="18" customHeight="1" x14ac:dyDescent="0.3">
      <c r="B777" s="288">
        <v>45940</v>
      </c>
      <c r="C777" s="169">
        <f>YEAR(Finance[[#This Row],[Date]])</f>
        <v>2025</v>
      </c>
      <c r="D777" s="289">
        <f>MONTH(Finance[[#This Row],[Date]])</f>
        <v>10</v>
      </c>
      <c r="E777" s="39" t="s">
        <v>802</v>
      </c>
      <c r="F777" s="39" t="s">
        <v>30</v>
      </c>
      <c r="G777" s="6" t="s">
        <v>127</v>
      </c>
      <c r="H777" s="48" t="s">
        <v>176</v>
      </c>
      <c r="I777" s="135" t="s">
        <v>184</v>
      </c>
      <c r="J777" s="136">
        <v>4</v>
      </c>
      <c r="K777" s="136"/>
      <c r="L777" s="132">
        <f>78.28*47.94*1.25</f>
        <v>4690.9290000000001</v>
      </c>
      <c r="M777" s="296"/>
      <c r="N777" s="296"/>
      <c r="O777" s="297"/>
      <c r="P777" s="297"/>
      <c r="Q777" s="296"/>
      <c r="R777" s="296"/>
      <c r="S777" s="298"/>
      <c r="T777" s="102">
        <f>SUM(Finance[[#This Row],[Samer]:[Margins]])</f>
        <v>4690.9290000000001</v>
      </c>
      <c r="U777" s="103">
        <f>ABS(Finance[[#This Row],[Total (EGP)]])</f>
        <v>4690.9290000000001</v>
      </c>
      <c r="V777" s="299"/>
    </row>
    <row r="778" spans="2:22" ht="18" customHeight="1" x14ac:dyDescent="0.3">
      <c r="B778" s="288">
        <v>45940</v>
      </c>
      <c r="C778" s="169">
        <f>YEAR(Finance[[#This Row],[Date]])</f>
        <v>2025</v>
      </c>
      <c r="D778" s="289">
        <f>MONTH(Finance[[#This Row],[Date]])</f>
        <v>10</v>
      </c>
      <c r="E778" s="6" t="s">
        <v>804</v>
      </c>
      <c r="F778" s="39" t="s">
        <v>30</v>
      </c>
      <c r="G778" s="39" t="s">
        <v>127</v>
      </c>
      <c r="H778" s="48" t="s">
        <v>176</v>
      </c>
      <c r="I778" s="135" t="s">
        <v>185</v>
      </c>
      <c r="J778" s="136">
        <v>4</v>
      </c>
      <c r="K778" s="31"/>
      <c r="L778" s="132">
        <f>153*47.94*1.25</f>
        <v>9168.5249999999996</v>
      </c>
      <c r="M778" s="296"/>
      <c r="N778" s="296"/>
      <c r="O778" s="297"/>
      <c r="P778" s="297"/>
      <c r="Q778" s="296"/>
      <c r="R778" s="296"/>
      <c r="S778" s="298"/>
      <c r="T778" s="102">
        <f>SUM(Finance[[#This Row],[Samer]:[Margins]])</f>
        <v>9168.5249999999996</v>
      </c>
      <c r="U778" s="103">
        <f>ABS(Finance[[#This Row],[Total (EGP)]])</f>
        <v>9168.5249999999996</v>
      </c>
      <c r="V778" s="299"/>
    </row>
    <row r="779" spans="2:22" ht="18" customHeight="1" x14ac:dyDescent="0.3">
      <c r="B779" s="288">
        <v>45941</v>
      </c>
      <c r="C779" s="169">
        <f>YEAR(Finance[[#This Row],[Date]])</f>
        <v>2025</v>
      </c>
      <c r="D779" s="289">
        <f>MONTH(Finance[[#This Row],[Date]])</f>
        <v>10</v>
      </c>
      <c r="E779" s="19" t="s">
        <v>805</v>
      </c>
      <c r="F779" s="6" t="s">
        <v>29</v>
      </c>
      <c r="G779" s="6" t="s">
        <v>108</v>
      </c>
      <c r="H779" s="134" t="s">
        <v>182</v>
      </c>
      <c r="I779" s="114" t="s">
        <v>175</v>
      </c>
      <c r="J779" s="136">
        <v>1</v>
      </c>
      <c r="K779" s="31"/>
      <c r="L779" s="132">
        <f>108.53*47.94*1.05</f>
        <v>5463.0746099999997</v>
      </c>
      <c r="M779" s="296"/>
      <c r="N779" s="296"/>
      <c r="O779" s="297"/>
      <c r="P779" s="297"/>
      <c r="Q779" s="296"/>
      <c r="R779" s="296"/>
      <c r="S779" s="298"/>
      <c r="T779" s="102">
        <f>SUM(Finance[[#This Row],[Samer]:[Margins]])</f>
        <v>5463.0746099999997</v>
      </c>
      <c r="U779" s="103">
        <f>ABS(Finance[[#This Row],[Total (EGP)]])</f>
        <v>5463.0746099999997</v>
      </c>
      <c r="V779" s="299"/>
    </row>
    <row r="780" spans="2:22" ht="18" customHeight="1" x14ac:dyDescent="0.3">
      <c r="B780" s="288">
        <v>45941</v>
      </c>
      <c r="C780" s="169">
        <f>YEAR(Finance[[#This Row],[Date]])</f>
        <v>2025</v>
      </c>
      <c r="D780" s="289">
        <f>MONTH(Finance[[#This Row],[Date]])</f>
        <v>10</v>
      </c>
      <c r="E780" s="39" t="s">
        <v>806</v>
      </c>
      <c r="F780" s="39" t="s">
        <v>29</v>
      </c>
      <c r="G780" s="39" t="s">
        <v>108</v>
      </c>
      <c r="H780" s="48" t="s">
        <v>182</v>
      </c>
      <c r="I780" s="114" t="s">
        <v>175</v>
      </c>
      <c r="J780" s="261">
        <v>4</v>
      </c>
      <c r="K780" s="262"/>
      <c r="L780" s="263">
        <v>699.99</v>
      </c>
      <c r="M780" s="296"/>
      <c r="N780" s="296"/>
      <c r="O780" s="297"/>
      <c r="P780" s="297"/>
      <c r="Q780" s="296"/>
      <c r="R780" s="296"/>
      <c r="S780" s="298"/>
      <c r="T780" s="102">
        <f>SUM(Finance[[#This Row],[Samer]:[Margins]])</f>
        <v>699.99</v>
      </c>
      <c r="U780" s="103">
        <f>ABS(Finance[[#This Row],[Total (EGP)]])</f>
        <v>699.99</v>
      </c>
      <c r="V780" s="299"/>
    </row>
    <row r="781" spans="2:22" ht="18" customHeight="1" x14ac:dyDescent="0.3">
      <c r="B781" s="288">
        <v>45941</v>
      </c>
      <c r="C781" s="169">
        <f>YEAR(Finance[[#This Row],[Date]])</f>
        <v>2025</v>
      </c>
      <c r="D781" s="289">
        <f>MONTH(Finance[[#This Row],[Date]])</f>
        <v>10</v>
      </c>
      <c r="E781" s="39" t="s">
        <v>807</v>
      </c>
      <c r="F781" s="6" t="s">
        <v>30</v>
      </c>
      <c r="G781" s="6" t="s">
        <v>88</v>
      </c>
      <c r="H781" s="134" t="s">
        <v>210</v>
      </c>
      <c r="I781" s="135" t="s">
        <v>177</v>
      </c>
      <c r="J781" s="136">
        <v>4</v>
      </c>
      <c r="K781" s="262"/>
      <c r="L781" s="263">
        <f>5*975</f>
        <v>4875</v>
      </c>
      <c r="M781" s="296"/>
      <c r="N781" s="296"/>
      <c r="O781" s="297"/>
      <c r="P781" s="297"/>
      <c r="Q781" s="296"/>
      <c r="R781" s="296"/>
      <c r="S781" s="298"/>
      <c r="T781" s="102">
        <f>SUM(Finance[[#This Row],[Samer]:[Margins]])</f>
        <v>4875</v>
      </c>
      <c r="U781" s="103">
        <f>ABS(Finance[[#This Row],[Total (EGP)]])</f>
        <v>4875</v>
      </c>
      <c r="V781" s="299"/>
    </row>
    <row r="782" spans="2:22" ht="18" customHeight="1" x14ac:dyDescent="0.3">
      <c r="B782" s="288">
        <v>45941</v>
      </c>
      <c r="C782" s="169">
        <f>YEAR(Finance[[#This Row],[Date]])</f>
        <v>2025</v>
      </c>
      <c r="D782" s="289">
        <f>MONTH(Finance[[#This Row],[Date]])</f>
        <v>10</v>
      </c>
      <c r="E782" s="39" t="s">
        <v>808</v>
      </c>
      <c r="F782" s="39" t="s">
        <v>29</v>
      </c>
      <c r="G782" s="39" t="s">
        <v>108</v>
      </c>
      <c r="H782" s="48" t="s">
        <v>182</v>
      </c>
      <c r="I782" s="114" t="s">
        <v>175</v>
      </c>
      <c r="J782" s="258">
        <v>4</v>
      </c>
      <c r="K782" s="264"/>
      <c r="L782" s="265">
        <f>72*47.94*1.05</f>
        <v>3624.2640000000001</v>
      </c>
      <c r="M782" s="296"/>
      <c r="N782" s="296"/>
      <c r="O782" s="297"/>
      <c r="P782" s="297"/>
      <c r="Q782" s="296"/>
      <c r="R782" s="296"/>
      <c r="S782" s="298"/>
      <c r="T782" s="102">
        <f>SUM(Finance[[#This Row],[Samer]:[Margins]])</f>
        <v>3624.2640000000001</v>
      </c>
      <c r="U782" s="103">
        <f>ABS(Finance[[#This Row],[Total (EGP)]])</f>
        <v>3624.2640000000001</v>
      </c>
      <c r="V782" s="299"/>
    </row>
    <row r="783" spans="2:22" ht="18" customHeight="1" x14ac:dyDescent="0.3">
      <c r="B783" s="288">
        <v>45941</v>
      </c>
      <c r="C783" s="169">
        <f>YEAR(Finance[[#This Row],[Date]])</f>
        <v>2025</v>
      </c>
      <c r="D783" s="289">
        <f>MONTH(Finance[[#This Row],[Date]])</f>
        <v>10</v>
      </c>
      <c r="E783" s="19" t="s">
        <v>809</v>
      </c>
      <c r="F783" s="6" t="s">
        <v>29</v>
      </c>
      <c r="G783" s="6" t="s">
        <v>108</v>
      </c>
      <c r="H783" s="134" t="s">
        <v>182</v>
      </c>
      <c r="I783" s="114" t="s">
        <v>175</v>
      </c>
      <c r="J783" s="136">
        <v>1</v>
      </c>
      <c r="K783" s="31"/>
      <c r="L783" s="132">
        <f>342.9*47.94*1.05</f>
        <v>17260.557299999997</v>
      </c>
      <c r="M783" s="296"/>
      <c r="N783" s="296"/>
      <c r="O783" s="297"/>
      <c r="P783" s="297"/>
      <c r="Q783" s="296"/>
      <c r="R783" s="296"/>
      <c r="S783" s="298"/>
      <c r="T783" s="102">
        <f>SUM(Finance[[#This Row],[Samer]:[Margins]])</f>
        <v>17260.557299999997</v>
      </c>
      <c r="U783" s="103">
        <f>ABS(Finance[[#This Row],[Total (EGP)]])</f>
        <v>17260.557299999997</v>
      </c>
      <c r="V783" s="299"/>
    </row>
    <row r="784" spans="2:22" ht="18" customHeight="1" x14ac:dyDescent="0.3">
      <c r="B784" s="288">
        <v>45943</v>
      </c>
      <c r="C784" s="169">
        <f>YEAR(Finance[[#This Row],[Date]])</f>
        <v>2025</v>
      </c>
      <c r="D784" s="289">
        <f>MONTH(Finance[[#This Row],[Date]])</f>
        <v>10</v>
      </c>
      <c r="E784" s="6" t="s">
        <v>811</v>
      </c>
      <c r="F784" s="6" t="s">
        <v>30</v>
      </c>
      <c r="G784" s="6" t="s">
        <v>127</v>
      </c>
      <c r="H784" s="134" t="s">
        <v>190</v>
      </c>
      <c r="I784" s="135" t="s">
        <v>175</v>
      </c>
      <c r="J784" s="131">
        <v>4</v>
      </c>
      <c r="K784" s="31"/>
      <c r="L784" s="132">
        <f>18.4*55.55*1.25</f>
        <v>1277.6499999999999</v>
      </c>
      <c r="M784" s="296"/>
      <c r="N784" s="296"/>
      <c r="O784" s="297"/>
      <c r="P784" s="297"/>
      <c r="Q784" s="296"/>
      <c r="R784" s="296"/>
      <c r="S784" s="298"/>
      <c r="T784" s="102">
        <f>SUM(Finance[[#This Row],[Samer]:[Margins]])</f>
        <v>1277.6499999999999</v>
      </c>
      <c r="U784" s="103">
        <f>ABS(Finance[[#This Row],[Total (EGP)]])</f>
        <v>1277.6499999999999</v>
      </c>
      <c r="V784" s="299"/>
    </row>
    <row r="785" spans="2:22" ht="18" customHeight="1" x14ac:dyDescent="0.3">
      <c r="B785" s="288">
        <v>45943</v>
      </c>
      <c r="C785" s="169">
        <f>YEAR(Finance[[#This Row],[Date]])</f>
        <v>2025</v>
      </c>
      <c r="D785" s="289">
        <f>MONTH(Finance[[#This Row],[Date]])</f>
        <v>10</v>
      </c>
      <c r="E785" s="301" t="s">
        <v>812</v>
      </c>
      <c r="F785" s="303" t="s">
        <v>30</v>
      </c>
      <c r="G785" s="301" t="s">
        <v>127</v>
      </c>
      <c r="H785" s="304" t="s">
        <v>176</v>
      </c>
      <c r="I785" s="306" t="s">
        <v>378</v>
      </c>
      <c r="J785" s="305">
        <v>4</v>
      </c>
      <c r="K785" s="302"/>
      <c r="L785" s="311">
        <f>107.88*47.77*1.05</f>
        <v>5411.0989800000007</v>
      </c>
      <c r="M785" s="296"/>
      <c r="N785" s="296"/>
      <c r="O785" s="297"/>
      <c r="P785" s="297"/>
      <c r="Q785" s="296"/>
      <c r="R785" s="296"/>
      <c r="S785" s="298"/>
      <c r="T785" s="102">
        <f>SUM(Finance[[#This Row],[Samer]:[Margins]])</f>
        <v>5411.0989800000007</v>
      </c>
      <c r="U785" s="103">
        <f>ABS(Finance[[#This Row],[Total (EGP)]])</f>
        <v>5411.0989800000007</v>
      </c>
      <c r="V785" s="299"/>
    </row>
    <row r="786" spans="2:22" ht="18" customHeight="1" x14ac:dyDescent="0.3">
      <c r="B786" s="288">
        <v>45943</v>
      </c>
      <c r="C786" s="169">
        <f>YEAR(Finance[[#This Row],[Date]])</f>
        <v>2025</v>
      </c>
      <c r="D786" s="289">
        <f>MONTH(Finance[[#This Row],[Date]])</f>
        <v>10</v>
      </c>
      <c r="E786" s="301" t="s">
        <v>813</v>
      </c>
      <c r="F786" s="303" t="s">
        <v>30</v>
      </c>
      <c r="G786" s="301" t="s">
        <v>145</v>
      </c>
      <c r="H786" s="304" t="s">
        <v>176</v>
      </c>
      <c r="I786" s="306" t="s">
        <v>378</v>
      </c>
      <c r="J786" s="305">
        <v>4</v>
      </c>
      <c r="K786" s="302"/>
      <c r="L786" s="311">
        <f>18.19*47.77*1.05</f>
        <v>912.38311500000009</v>
      </c>
      <c r="M786" s="296"/>
      <c r="N786" s="296"/>
      <c r="O786" s="297"/>
      <c r="P786" s="297"/>
      <c r="Q786" s="296"/>
      <c r="R786" s="296"/>
      <c r="S786" s="298"/>
      <c r="T786" s="102">
        <f>SUM(Finance[[#This Row],[Samer]:[Margins]])</f>
        <v>912.38311500000009</v>
      </c>
      <c r="U786" s="103">
        <f>ABS(Finance[[#This Row],[Total (EGP)]])</f>
        <v>912.38311500000009</v>
      </c>
      <c r="V786" s="299"/>
    </row>
    <row r="787" spans="2:22" ht="18" customHeight="1" x14ac:dyDescent="0.3">
      <c r="B787" s="288">
        <v>45943</v>
      </c>
      <c r="C787" s="169">
        <f>YEAR(Finance[[#This Row],[Date]])</f>
        <v>2025</v>
      </c>
      <c r="D787" s="289">
        <f>MONTH(Finance[[#This Row],[Date]])</f>
        <v>10</v>
      </c>
      <c r="E787" s="307" t="s">
        <v>814</v>
      </c>
      <c r="F787" s="309" t="s">
        <v>30</v>
      </c>
      <c r="G787" s="309" t="s">
        <v>127</v>
      </c>
      <c r="H787" s="310" t="s">
        <v>176</v>
      </c>
      <c r="I787" s="313" t="s">
        <v>185</v>
      </c>
      <c r="J787" s="312">
        <v>4</v>
      </c>
      <c r="K787" s="308"/>
      <c r="L787" s="311">
        <f>107.88*47.77*1.05</f>
        <v>5411.0989800000007</v>
      </c>
      <c r="M787" s="296"/>
      <c r="N787" s="296"/>
      <c r="O787" s="297"/>
      <c r="P787" s="297"/>
      <c r="Q787" s="296"/>
      <c r="R787" s="296"/>
      <c r="S787" s="298"/>
      <c r="T787" s="102">
        <f>SUM(Finance[[#This Row],[Samer]:[Margins]])</f>
        <v>5411.0989800000007</v>
      </c>
      <c r="U787" s="103">
        <f>ABS(Finance[[#This Row],[Total (EGP)]])</f>
        <v>5411.0989800000007</v>
      </c>
      <c r="V787" s="299"/>
    </row>
    <row r="788" spans="2:22" ht="18" customHeight="1" x14ac:dyDescent="0.3">
      <c r="B788" s="288">
        <v>45944</v>
      </c>
      <c r="C788" s="169">
        <f>YEAR(Finance[[#This Row],[Date]])</f>
        <v>2025</v>
      </c>
      <c r="D788" s="289">
        <f>MONTH(Finance[[#This Row],[Date]])</f>
        <v>10</v>
      </c>
      <c r="E788" s="39" t="s">
        <v>822</v>
      </c>
      <c r="F788" s="39" t="s">
        <v>30</v>
      </c>
      <c r="G788" s="39" t="s">
        <v>127</v>
      </c>
      <c r="H788" s="130" t="s">
        <v>176</v>
      </c>
      <c r="I788" s="114" t="s">
        <v>177</v>
      </c>
      <c r="J788" s="131">
        <v>1</v>
      </c>
      <c r="K788" s="31"/>
      <c r="L788" s="132">
        <f>94.06*55.55*1.25</f>
        <v>6531.2912499999993</v>
      </c>
      <c r="M788" s="296"/>
      <c r="N788" s="296"/>
      <c r="O788" s="297"/>
      <c r="P788" s="297"/>
      <c r="Q788" s="296"/>
      <c r="R788" s="296"/>
      <c r="S788" s="298"/>
      <c r="T788" s="102">
        <f>SUM(Finance[[#This Row],[Samer]:[Margins]])</f>
        <v>6531.2912499999993</v>
      </c>
      <c r="U788" s="103">
        <f>ABS(Finance[[#This Row],[Total (EGP)]])</f>
        <v>6531.2912499999993</v>
      </c>
      <c r="V788" s="299"/>
    </row>
    <row r="789" spans="2:22" ht="18" customHeight="1" x14ac:dyDescent="0.3">
      <c r="B789" s="288">
        <v>45944</v>
      </c>
      <c r="C789" s="169">
        <f>YEAR(Finance[[#This Row],[Date]])</f>
        <v>2025</v>
      </c>
      <c r="D789" s="289">
        <f>MONTH(Finance[[#This Row],[Date]])</f>
        <v>10</v>
      </c>
      <c r="E789" s="6" t="s">
        <v>193</v>
      </c>
      <c r="F789" s="6" t="s">
        <v>29</v>
      </c>
      <c r="G789" s="6" t="s">
        <v>95</v>
      </c>
      <c r="H789" s="134" t="s">
        <v>194</v>
      </c>
      <c r="I789" s="135" t="s">
        <v>175</v>
      </c>
      <c r="J789" s="136">
        <v>3</v>
      </c>
      <c r="K789" s="294"/>
      <c r="L789" s="295"/>
      <c r="M789" s="296"/>
      <c r="N789" s="296"/>
      <c r="O789" s="297"/>
      <c r="P789" s="297"/>
      <c r="Q789" s="296"/>
      <c r="R789" s="296">
        <v>150</v>
      </c>
      <c r="S789" s="298"/>
      <c r="T789" s="102">
        <f>SUM(Finance[[#This Row],[Samer]:[Margins]])</f>
        <v>150</v>
      </c>
      <c r="U789" s="103">
        <f>ABS(Finance[[#This Row],[Total (EGP)]])</f>
        <v>150</v>
      </c>
      <c r="V789" s="299"/>
    </row>
    <row r="790" spans="2:22" ht="18" customHeight="1" x14ac:dyDescent="0.3">
      <c r="B790" s="317">
        <v>45946</v>
      </c>
      <c r="C790" s="169">
        <f>YEAR(Finance[[#This Row],[Date]])</f>
        <v>2025</v>
      </c>
      <c r="D790" s="318">
        <f>MONTH(Finance[[#This Row],[Date]])</f>
        <v>10</v>
      </c>
      <c r="E790" s="6" t="s">
        <v>890</v>
      </c>
      <c r="F790" s="39" t="s">
        <v>30</v>
      </c>
      <c r="G790" s="6" t="s">
        <v>127</v>
      </c>
      <c r="H790" s="48" t="s">
        <v>176</v>
      </c>
      <c r="I790" s="114" t="s">
        <v>889</v>
      </c>
      <c r="J790" s="136">
        <v>4</v>
      </c>
      <c r="K790" s="31"/>
      <c r="L790" s="132">
        <v>8721</v>
      </c>
      <c r="M790" s="325"/>
      <c r="N790" s="325"/>
      <c r="O790" s="326"/>
      <c r="P790" s="326"/>
      <c r="Q790" s="325"/>
      <c r="R790" s="325"/>
      <c r="S790" s="327"/>
      <c r="T790" s="102">
        <f>SUM(Finance[[#This Row],[Samer]:[Margins]])</f>
        <v>8721</v>
      </c>
      <c r="U790" s="103">
        <f>ABS(Finance[[#This Row],[Total (EGP)]])</f>
        <v>8721</v>
      </c>
      <c r="V790" s="328"/>
    </row>
    <row r="791" spans="2:22" ht="18" customHeight="1" x14ac:dyDescent="0.3">
      <c r="B791" s="317">
        <v>45946</v>
      </c>
      <c r="C791" s="169">
        <f>YEAR(Finance[[#This Row],[Date]])</f>
        <v>2025</v>
      </c>
      <c r="D791" s="318">
        <f>MONTH(Finance[[#This Row],[Date]])</f>
        <v>10</v>
      </c>
      <c r="E791" s="39" t="s">
        <v>947</v>
      </c>
      <c r="F791" s="39" t="s">
        <v>73</v>
      </c>
      <c r="G791" s="39" t="s">
        <v>886</v>
      </c>
      <c r="H791" s="48" t="s">
        <v>62</v>
      </c>
      <c r="I791" s="114" t="s">
        <v>889</v>
      </c>
      <c r="J791" s="131">
        <v>4</v>
      </c>
      <c r="K791" s="276"/>
      <c r="L791" s="324">
        <v>-8721</v>
      </c>
      <c r="M791" s="325"/>
      <c r="N791" s="325"/>
      <c r="O791" s="326"/>
      <c r="P791" s="326"/>
      <c r="Q791" s="325"/>
      <c r="R791" s="325"/>
      <c r="S791" s="327"/>
      <c r="T791" s="102">
        <f>SUM(Finance[[#This Row],[Samer]:[Margins]])</f>
        <v>-8721</v>
      </c>
      <c r="U791" s="103">
        <f>ABS(Finance[[#This Row],[Total (EGP)]])</f>
        <v>8721</v>
      </c>
      <c r="V791" s="328"/>
    </row>
    <row r="792" spans="2:22" ht="18" customHeight="1" x14ac:dyDescent="0.3">
      <c r="B792" s="288">
        <v>45950</v>
      </c>
      <c r="C792" s="169">
        <f>YEAR(Finance[[#This Row],[Date]])</f>
        <v>2025</v>
      </c>
      <c r="D792" s="289">
        <f>MONTH(Finance[[#This Row],[Date]])</f>
        <v>10</v>
      </c>
      <c r="E792" s="153" t="s">
        <v>262</v>
      </c>
      <c r="F792" s="172" t="s">
        <v>37</v>
      </c>
      <c r="G792" s="172" t="s">
        <v>36</v>
      </c>
      <c r="H792" s="173" t="s">
        <v>206</v>
      </c>
      <c r="I792" s="181" t="s">
        <v>175</v>
      </c>
      <c r="J792" s="174">
        <v>0</v>
      </c>
      <c r="K792" s="175"/>
      <c r="L792" s="176">
        <v>4000</v>
      </c>
      <c r="M792" s="296"/>
      <c r="N792" s="296"/>
      <c r="O792" s="297"/>
      <c r="P792" s="297"/>
      <c r="Q792" s="296"/>
      <c r="R792" s="296"/>
      <c r="S792" s="298">
        <v>-4000</v>
      </c>
      <c r="T792" s="102">
        <f>SUM(Finance[[#This Row],[Samer]:[Margins]])</f>
        <v>0</v>
      </c>
      <c r="U792" s="103">
        <f>ABS(Finance[[#This Row],[Total (EGP)]])</f>
        <v>0</v>
      </c>
      <c r="V792" s="299"/>
    </row>
    <row r="793" spans="2:22" ht="18" customHeight="1" x14ac:dyDescent="0.3">
      <c r="B793" s="288">
        <v>45950</v>
      </c>
      <c r="C793" s="169">
        <f>YEAR(Finance[[#This Row],[Date]])</f>
        <v>2025</v>
      </c>
      <c r="D793" s="289">
        <f>MONTH(Finance[[#This Row],[Date]])</f>
        <v>10</v>
      </c>
      <c r="E793" s="153" t="s">
        <v>817</v>
      </c>
      <c r="F793" s="183" t="s">
        <v>29</v>
      </c>
      <c r="G793" s="183" t="s">
        <v>57</v>
      </c>
      <c r="H793" s="184" t="s">
        <v>142</v>
      </c>
      <c r="I793" s="185" t="s">
        <v>175</v>
      </c>
      <c r="J793" s="186">
        <v>3</v>
      </c>
      <c r="K793" s="175"/>
      <c r="L793" s="176"/>
      <c r="M793" s="296"/>
      <c r="N793" s="296"/>
      <c r="O793" s="297"/>
      <c r="P793" s="297"/>
      <c r="Q793" s="296"/>
      <c r="R793" s="296"/>
      <c r="S793" s="298">
        <v>3000</v>
      </c>
      <c r="T793" s="102">
        <f>SUM(Finance[[#This Row],[Samer]:[Margins]])</f>
        <v>3000</v>
      </c>
      <c r="U793" s="103">
        <f>ABS(Finance[[#This Row],[Total (EGP)]])</f>
        <v>3000</v>
      </c>
      <c r="V793" s="299"/>
    </row>
    <row r="794" spans="2:22" ht="18" customHeight="1" x14ac:dyDescent="0.3">
      <c r="B794" s="288">
        <v>45950</v>
      </c>
      <c r="C794" s="169">
        <f>YEAR(Finance[[#This Row],[Date]])</f>
        <v>2025</v>
      </c>
      <c r="D794" s="289">
        <f>MONTH(Finance[[#This Row],[Date]])</f>
        <v>10</v>
      </c>
      <c r="E794" s="39" t="s">
        <v>242</v>
      </c>
      <c r="F794" s="39" t="s">
        <v>29</v>
      </c>
      <c r="G794" s="39" t="s">
        <v>112</v>
      </c>
      <c r="H794" s="48" t="s">
        <v>618</v>
      </c>
      <c r="I794" s="114" t="s">
        <v>175</v>
      </c>
      <c r="J794" s="225">
        <v>3</v>
      </c>
      <c r="K794" s="294"/>
      <c r="L794" s="295"/>
      <c r="M794" s="296"/>
      <c r="N794" s="296"/>
      <c r="O794" s="297"/>
      <c r="P794" s="297"/>
      <c r="Q794" s="296"/>
      <c r="R794" s="296">
        <v>500</v>
      </c>
      <c r="S794" s="298"/>
      <c r="T794" s="102">
        <f>SUM(Finance[[#This Row],[Samer]:[Margins]])</f>
        <v>500</v>
      </c>
      <c r="U794" s="103">
        <f>ABS(Finance[[#This Row],[Total (EGP)]])</f>
        <v>500</v>
      </c>
      <c r="V794" s="299"/>
    </row>
    <row r="795" spans="2:22" ht="18" customHeight="1" x14ac:dyDescent="0.3">
      <c r="B795" s="7">
        <v>45950</v>
      </c>
      <c r="C795" s="169">
        <f>YEAR(Finance[[#This Row],[Date]])</f>
        <v>2025</v>
      </c>
      <c r="D795" s="285">
        <f>MONTH(Finance[[#This Row],[Date]])</f>
        <v>10</v>
      </c>
      <c r="E795" s="6" t="s">
        <v>167</v>
      </c>
      <c r="F795" s="6" t="s">
        <v>29</v>
      </c>
      <c r="G795" s="6" t="s">
        <v>55</v>
      </c>
      <c r="H795" s="134" t="s">
        <v>258</v>
      </c>
      <c r="I795" s="135" t="s">
        <v>175</v>
      </c>
      <c r="J795" s="136">
        <v>3</v>
      </c>
      <c r="K795" s="31"/>
      <c r="L795" s="132"/>
      <c r="M795" s="96"/>
      <c r="N795" s="96"/>
      <c r="O795" s="75"/>
      <c r="P795" s="75"/>
      <c r="Q795" s="96"/>
      <c r="R795" s="96"/>
      <c r="S795" s="286">
        <v>115</v>
      </c>
      <c r="T795" s="102">
        <f>SUM(Finance[[#This Row],[Samer]:[Margins]])</f>
        <v>115</v>
      </c>
      <c r="U795" s="103">
        <f>ABS(Finance[[#This Row],[Total (EGP)]])</f>
        <v>115</v>
      </c>
      <c r="V795" s="287"/>
    </row>
    <row r="796" spans="2:22" ht="18" customHeight="1" x14ac:dyDescent="0.3">
      <c r="B796" s="288">
        <v>45951</v>
      </c>
      <c r="C796" s="169">
        <f>YEAR(Finance[[#This Row],[Date]])</f>
        <v>2025</v>
      </c>
      <c r="D796" s="289">
        <f>MONTH(Finance[[#This Row],[Date]])</f>
        <v>10</v>
      </c>
      <c r="E796" s="307" t="s">
        <v>818</v>
      </c>
      <c r="F796" s="309" t="s">
        <v>30</v>
      </c>
      <c r="G796" s="309" t="s">
        <v>127</v>
      </c>
      <c r="H796" s="310" t="s">
        <v>176</v>
      </c>
      <c r="I796" s="313" t="s">
        <v>819</v>
      </c>
      <c r="J796" s="312">
        <v>4</v>
      </c>
      <c r="K796" s="308"/>
      <c r="L796" s="311">
        <f>107.88*47.59*1.05</f>
        <v>5390.7096600000004</v>
      </c>
      <c r="M796" s="296"/>
      <c r="N796" s="296"/>
      <c r="O796" s="297"/>
      <c r="P796" s="297"/>
      <c r="Q796" s="296"/>
      <c r="R796" s="296"/>
      <c r="S796" s="298"/>
      <c r="T796" s="102">
        <f>SUM(Finance[[#This Row],[Samer]:[Margins]])</f>
        <v>5390.7096600000004</v>
      </c>
      <c r="U796" s="103">
        <f>ABS(Finance[[#This Row],[Total (EGP)]])</f>
        <v>5390.7096600000004</v>
      </c>
      <c r="V796" s="299"/>
    </row>
    <row r="797" spans="2:22" ht="18" customHeight="1" x14ac:dyDescent="0.3">
      <c r="B797" s="288">
        <v>45951</v>
      </c>
      <c r="C797" s="169">
        <f>YEAR(Finance[[#This Row],[Date]])</f>
        <v>2025</v>
      </c>
      <c r="D797" s="289">
        <f>MONTH(Finance[[#This Row],[Date]])</f>
        <v>10</v>
      </c>
      <c r="E797" s="19" t="s">
        <v>823</v>
      </c>
      <c r="F797" s="6" t="s">
        <v>73</v>
      </c>
      <c r="G797" s="6" t="s">
        <v>75</v>
      </c>
      <c r="H797" s="134" t="s">
        <v>234</v>
      </c>
      <c r="I797" s="135" t="s">
        <v>185</v>
      </c>
      <c r="J797" s="136">
        <v>4</v>
      </c>
      <c r="K797" s="294"/>
      <c r="L797" s="295"/>
      <c r="M797" s="296"/>
      <c r="N797" s="296"/>
      <c r="O797" s="297"/>
      <c r="P797" s="297"/>
      <c r="Q797" s="296"/>
      <c r="R797" s="296">
        <v>-18046.66</v>
      </c>
      <c r="S797" s="298"/>
      <c r="T797" s="102">
        <f>SUM(Finance[[#This Row],[Samer]:[Margins]])</f>
        <v>-18046.66</v>
      </c>
      <c r="U797" s="103">
        <f>ABS(Finance[[#This Row],[Total (EGP)]])</f>
        <v>18046.66</v>
      </c>
      <c r="V797" s="299"/>
    </row>
    <row r="798" spans="2:22" ht="18" customHeight="1" x14ac:dyDescent="0.3">
      <c r="B798" s="288">
        <v>45951</v>
      </c>
      <c r="C798" s="169">
        <f>YEAR(Finance[[#This Row],[Date]])</f>
        <v>2025</v>
      </c>
      <c r="D798" s="289">
        <f>MONTH(Finance[[#This Row],[Date]])</f>
        <v>10</v>
      </c>
      <c r="E798" s="19" t="s">
        <v>270</v>
      </c>
      <c r="F798" s="6" t="s">
        <v>73</v>
      </c>
      <c r="G798" s="6" t="s">
        <v>75</v>
      </c>
      <c r="H798" s="134" t="s">
        <v>90</v>
      </c>
      <c r="I798" s="135" t="s">
        <v>185</v>
      </c>
      <c r="J798" s="136">
        <v>4</v>
      </c>
      <c r="K798" s="294"/>
      <c r="L798" s="295"/>
      <c r="M798" s="296"/>
      <c r="N798" s="296"/>
      <c r="O798" s="297"/>
      <c r="P798" s="297"/>
      <c r="Q798" s="296"/>
      <c r="R798" s="296">
        <f>-18046.66*0.14</f>
        <v>-2526.5324000000001</v>
      </c>
      <c r="S798" s="298"/>
      <c r="T798" s="102">
        <f>SUM(Finance[[#This Row],[Samer]:[Margins]])</f>
        <v>-2526.5324000000001</v>
      </c>
      <c r="U798" s="103">
        <f>ABS(Finance[[#This Row],[Total (EGP)]])</f>
        <v>2526.5324000000001</v>
      </c>
      <c r="V798" s="299"/>
    </row>
    <row r="799" spans="2:22" ht="18" customHeight="1" x14ac:dyDescent="0.3">
      <c r="B799" s="288">
        <v>45951</v>
      </c>
      <c r="C799" s="169">
        <f>YEAR(Finance[[#This Row],[Date]])</f>
        <v>2025</v>
      </c>
      <c r="D799" s="289">
        <f>MONTH(Finance[[#This Row],[Date]])</f>
        <v>10</v>
      </c>
      <c r="E799" s="19" t="s">
        <v>271</v>
      </c>
      <c r="F799" s="6" t="s">
        <v>84</v>
      </c>
      <c r="G799" s="6" t="s">
        <v>86</v>
      </c>
      <c r="H799" s="134" t="s">
        <v>234</v>
      </c>
      <c r="I799" s="135" t="s">
        <v>185</v>
      </c>
      <c r="J799" s="136">
        <v>4</v>
      </c>
      <c r="K799" s="294"/>
      <c r="L799" s="295"/>
      <c r="M799" s="296"/>
      <c r="N799" s="296"/>
      <c r="O799" s="297"/>
      <c r="P799" s="297"/>
      <c r="Q799" s="296"/>
      <c r="R799" s="296">
        <f>18046.66*0.03</f>
        <v>541.39980000000003</v>
      </c>
      <c r="S799" s="298"/>
      <c r="T799" s="102">
        <f>SUM(Finance[[#This Row],[Samer]:[Margins]])</f>
        <v>541.39980000000003</v>
      </c>
      <c r="U799" s="103">
        <f>ABS(Finance[[#This Row],[Total (EGP)]])</f>
        <v>541.39980000000003</v>
      </c>
      <c r="V799" s="299"/>
    </row>
    <row r="800" spans="2:22" ht="18" customHeight="1" x14ac:dyDescent="0.3">
      <c r="B800" s="288">
        <v>45951</v>
      </c>
      <c r="C800" s="169">
        <f>YEAR(Finance[[#This Row],[Date]])</f>
        <v>2025</v>
      </c>
      <c r="D800" s="289">
        <f>MONTH(Finance[[#This Row],[Date]])</f>
        <v>10</v>
      </c>
      <c r="E800" s="19" t="s">
        <v>824</v>
      </c>
      <c r="F800" s="6" t="s">
        <v>73</v>
      </c>
      <c r="G800" s="6" t="s">
        <v>272</v>
      </c>
      <c r="H800" s="134" t="s">
        <v>234</v>
      </c>
      <c r="I800" s="135" t="s">
        <v>185</v>
      </c>
      <c r="J800" s="136">
        <v>5</v>
      </c>
      <c r="K800" s="294"/>
      <c r="L800" s="295"/>
      <c r="M800" s="296"/>
      <c r="N800" s="296"/>
      <c r="O800" s="297"/>
      <c r="P800" s="297"/>
      <c r="Q800" s="296"/>
      <c r="R800" s="296">
        <v>-4875</v>
      </c>
      <c r="S800" s="298"/>
      <c r="T800" s="102">
        <f>SUM(Finance[[#This Row],[Samer]:[Margins]])</f>
        <v>-4875</v>
      </c>
      <c r="U800" s="103">
        <f>ABS(Finance[[#This Row],[Total (EGP)]])</f>
        <v>4875</v>
      </c>
      <c r="V800" s="299"/>
    </row>
    <row r="801" spans="2:22" ht="18" customHeight="1" x14ac:dyDescent="0.3">
      <c r="B801" s="288">
        <v>45951</v>
      </c>
      <c r="C801" s="169">
        <f>YEAR(Finance[[#This Row],[Date]])</f>
        <v>2025</v>
      </c>
      <c r="D801" s="289">
        <f>MONTH(Finance[[#This Row],[Date]])</f>
        <v>10</v>
      </c>
      <c r="E801" s="19" t="s">
        <v>273</v>
      </c>
      <c r="F801" s="6" t="s">
        <v>73</v>
      </c>
      <c r="G801" s="6" t="s">
        <v>272</v>
      </c>
      <c r="H801" s="134" t="s">
        <v>90</v>
      </c>
      <c r="I801" s="135" t="s">
        <v>185</v>
      </c>
      <c r="J801" s="136">
        <v>5</v>
      </c>
      <c r="K801" s="294"/>
      <c r="L801" s="295"/>
      <c r="M801" s="296"/>
      <c r="N801" s="296"/>
      <c r="O801" s="297"/>
      <c r="P801" s="297"/>
      <c r="Q801" s="296"/>
      <c r="R801" s="296">
        <f>-4875*0.14</f>
        <v>-682.50000000000011</v>
      </c>
      <c r="S801" s="298"/>
      <c r="T801" s="102">
        <f>SUM(Finance[[#This Row],[Samer]:[Margins]])</f>
        <v>-682.50000000000011</v>
      </c>
      <c r="U801" s="103">
        <f>ABS(Finance[[#This Row],[Total (EGP)]])</f>
        <v>682.50000000000011</v>
      </c>
      <c r="V801" s="299"/>
    </row>
    <row r="802" spans="2:22" ht="18" customHeight="1" x14ac:dyDescent="0.3">
      <c r="B802" s="288">
        <v>45951</v>
      </c>
      <c r="C802" s="169">
        <f>YEAR(Finance[[#This Row],[Date]])</f>
        <v>2025</v>
      </c>
      <c r="D802" s="289">
        <f>MONTH(Finance[[#This Row],[Date]])</f>
        <v>10</v>
      </c>
      <c r="E802" s="19" t="s">
        <v>274</v>
      </c>
      <c r="F802" s="6" t="s">
        <v>84</v>
      </c>
      <c r="G802" s="6" t="s">
        <v>86</v>
      </c>
      <c r="H802" s="134" t="s">
        <v>234</v>
      </c>
      <c r="I802" s="135" t="s">
        <v>185</v>
      </c>
      <c r="J802" s="136">
        <v>5</v>
      </c>
      <c r="K802" s="294"/>
      <c r="L802" s="295"/>
      <c r="M802" s="296"/>
      <c r="N802" s="296"/>
      <c r="O802" s="297"/>
      <c r="P802" s="297"/>
      <c r="Q802" s="296"/>
      <c r="R802" s="296">
        <f>4875*0.03</f>
        <v>146.25</v>
      </c>
      <c r="S802" s="298"/>
      <c r="T802" s="102">
        <f>SUM(Finance[[#This Row],[Samer]:[Margins]])</f>
        <v>146.25</v>
      </c>
      <c r="U802" s="103">
        <f>ABS(Finance[[#This Row],[Total (EGP)]])</f>
        <v>146.25</v>
      </c>
      <c r="V802" s="299"/>
    </row>
    <row r="803" spans="2:22" ht="18" customHeight="1" x14ac:dyDescent="0.3">
      <c r="B803" s="288">
        <v>45951</v>
      </c>
      <c r="C803" s="169">
        <f>YEAR(Finance[[#This Row],[Date]])</f>
        <v>2025</v>
      </c>
      <c r="D803" s="289">
        <f>MONTH(Finance[[#This Row],[Date]])</f>
        <v>10</v>
      </c>
      <c r="E803" s="6" t="s">
        <v>275</v>
      </c>
      <c r="F803" s="6" t="s">
        <v>29</v>
      </c>
      <c r="G803" s="6" t="s">
        <v>95</v>
      </c>
      <c r="H803" s="48" t="s">
        <v>276</v>
      </c>
      <c r="I803" s="135" t="s">
        <v>185</v>
      </c>
      <c r="J803" s="136">
        <v>3</v>
      </c>
      <c r="K803" s="294"/>
      <c r="L803" s="295"/>
      <c r="M803" s="296"/>
      <c r="N803" s="296"/>
      <c r="O803" s="297"/>
      <c r="P803" s="297"/>
      <c r="Q803" s="296"/>
      <c r="R803" s="296">
        <v>25</v>
      </c>
      <c r="S803" s="298"/>
      <c r="T803" s="102">
        <f>SUM(Finance[[#This Row],[Samer]:[Margins]])</f>
        <v>25</v>
      </c>
      <c r="U803" s="103">
        <f>ABS(Finance[[#This Row],[Total (EGP)]])</f>
        <v>25</v>
      </c>
      <c r="V803" s="299"/>
    </row>
    <row r="804" spans="2:22" ht="18" customHeight="1" x14ac:dyDescent="0.3">
      <c r="B804" s="332">
        <v>45952</v>
      </c>
      <c r="C804" s="169">
        <f>YEAR(Finance[[#This Row],[Date]])</f>
        <v>2025</v>
      </c>
      <c r="D804" s="333">
        <f>MONTH(Finance[[#This Row],[Date]])</f>
        <v>10</v>
      </c>
      <c r="E804" s="334" t="s">
        <v>834</v>
      </c>
      <c r="F804" s="334" t="s">
        <v>73</v>
      </c>
      <c r="G804" s="334" t="s">
        <v>75</v>
      </c>
      <c r="H804" s="336" t="s">
        <v>62</v>
      </c>
      <c r="I804" s="114" t="s">
        <v>378</v>
      </c>
      <c r="J804" s="131">
        <v>4</v>
      </c>
      <c r="K804" s="294"/>
      <c r="L804" s="295"/>
      <c r="M804" s="296"/>
      <c r="N804" s="296"/>
      <c r="O804" s="297"/>
      <c r="P804" s="297"/>
      <c r="Q804" s="296"/>
      <c r="R804" s="296">
        <v>-8979.74</v>
      </c>
      <c r="S804" s="298"/>
      <c r="T804" s="102">
        <f>SUM(Finance[[#This Row],[Samer]:[Margins]])</f>
        <v>-8979.74</v>
      </c>
      <c r="U804" s="103">
        <f>ABS(Finance[[#This Row],[Total (EGP)]])</f>
        <v>8979.74</v>
      </c>
      <c r="V804" s="299"/>
    </row>
    <row r="805" spans="2:22" ht="18" customHeight="1" x14ac:dyDescent="0.3">
      <c r="B805" s="332">
        <v>45952</v>
      </c>
      <c r="C805" s="169">
        <f>YEAR(Finance[[#This Row],[Date]])</f>
        <v>2025</v>
      </c>
      <c r="D805" s="333">
        <f>MONTH(Finance[[#This Row],[Date]])</f>
        <v>10</v>
      </c>
      <c r="E805" s="334" t="s">
        <v>835</v>
      </c>
      <c r="F805" s="334" t="s">
        <v>73</v>
      </c>
      <c r="G805" s="334" t="s">
        <v>75</v>
      </c>
      <c r="H805" s="336" t="s">
        <v>90</v>
      </c>
      <c r="I805" s="114" t="s">
        <v>378</v>
      </c>
      <c r="J805" s="131">
        <v>4</v>
      </c>
      <c r="K805" s="294"/>
      <c r="L805" s="295"/>
      <c r="M805" s="296"/>
      <c r="N805" s="296"/>
      <c r="O805" s="297"/>
      <c r="P805" s="297"/>
      <c r="Q805" s="296"/>
      <c r="R805" s="296">
        <f>-8979.74*0.14</f>
        <v>-1257.1636000000001</v>
      </c>
      <c r="S805" s="298"/>
      <c r="T805" s="102">
        <f>SUM(Finance[[#This Row],[Samer]:[Margins]])</f>
        <v>-1257.1636000000001</v>
      </c>
      <c r="U805" s="103">
        <f>ABS(Finance[[#This Row],[Total (EGP)]])</f>
        <v>1257.1636000000001</v>
      </c>
      <c r="V805" s="299"/>
    </row>
    <row r="806" spans="2:22" ht="18" customHeight="1" x14ac:dyDescent="0.3">
      <c r="B806" s="332">
        <v>45952</v>
      </c>
      <c r="C806" s="169">
        <f>YEAR(Finance[[#This Row],[Date]])</f>
        <v>2025</v>
      </c>
      <c r="D806" s="333">
        <f>MONTH(Finance[[#This Row],[Date]])</f>
        <v>10</v>
      </c>
      <c r="E806" s="329" t="s">
        <v>379</v>
      </c>
      <c r="F806" s="329" t="s">
        <v>29</v>
      </c>
      <c r="G806" s="329" t="s">
        <v>95</v>
      </c>
      <c r="H806" s="330" t="s">
        <v>194</v>
      </c>
      <c r="I806" s="135" t="s">
        <v>378</v>
      </c>
      <c r="J806" s="136">
        <v>3</v>
      </c>
      <c r="K806" s="294"/>
      <c r="L806" s="295"/>
      <c r="M806" s="296"/>
      <c r="N806" s="296"/>
      <c r="O806" s="297"/>
      <c r="P806" s="297"/>
      <c r="Q806" s="296"/>
      <c r="R806" s="296">
        <v>10</v>
      </c>
      <c r="S806" s="298"/>
      <c r="T806" s="102">
        <f>SUM(Finance[[#This Row],[Samer]:[Margins]])</f>
        <v>10</v>
      </c>
      <c r="U806" s="103">
        <f>ABS(Finance[[#This Row],[Total (EGP)]])</f>
        <v>10</v>
      </c>
      <c r="V806" s="299"/>
    </row>
    <row r="807" spans="2:22" ht="18" customHeight="1" x14ac:dyDescent="0.3">
      <c r="B807" s="332">
        <v>45953</v>
      </c>
      <c r="C807" s="169">
        <f>YEAR(Finance[[#This Row],[Date]])</f>
        <v>2025</v>
      </c>
      <c r="D807" s="333">
        <f>MONTH(Finance[[#This Row],[Date]])</f>
        <v>10</v>
      </c>
      <c r="E807" s="335" t="s">
        <v>825</v>
      </c>
      <c r="F807" s="329" t="s">
        <v>29</v>
      </c>
      <c r="G807" s="329" t="s">
        <v>108</v>
      </c>
      <c r="H807" s="330" t="s">
        <v>182</v>
      </c>
      <c r="I807" s="135" t="s">
        <v>175</v>
      </c>
      <c r="J807" s="136">
        <v>3</v>
      </c>
      <c r="K807" s="31"/>
      <c r="L807" s="132">
        <f>15.99*47.64*1.05</f>
        <v>799.85178000000008</v>
      </c>
      <c r="M807" s="296"/>
      <c r="N807" s="296"/>
      <c r="O807" s="297"/>
      <c r="P807" s="297"/>
      <c r="Q807" s="296"/>
      <c r="R807" s="296"/>
      <c r="S807" s="298"/>
      <c r="T807" s="102">
        <f>SUM(Finance[[#This Row],[Samer]:[Margins]])</f>
        <v>799.85178000000008</v>
      </c>
      <c r="U807" s="103">
        <f>ABS(Finance[[#This Row],[Total (EGP)]])</f>
        <v>799.85178000000008</v>
      </c>
      <c r="V807" s="299"/>
    </row>
    <row r="808" spans="2:22" ht="18" customHeight="1" x14ac:dyDescent="0.3">
      <c r="B808" s="314">
        <v>45953</v>
      </c>
      <c r="C808" s="169">
        <f>YEAR(Finance[[#This Row],[Date]])</f>
        <v>2025</v>
      </c>
      <c r="D808" s="315">
        <f>MONTH(Finance[[#This Row],[Date]])</f>
        <v>10</v>
      </c>
      <c r="E808" s="2" t="s">
        <v>848</v>
      </c>
      <c r="F808" s="2" t="s">
        <v>73</v>
      </c>
      <c r="G808" s="2" t="s">
        <v>103</v>
      </c>
      <c r="H808" s="316" t="s">
        <v>199</v>
      </c>
      <c r="I808" s="135" t="s">
        <v>200</v>
      </c>
      <c r="J808" s="136">
        <v>4</v>
      </c>
      <c r="K808" s="264"/>
      <c r="L808" s="138"/>
      <c r="M808" s="66"/>
      <c r="N808" s="66"/>
      <c r="O808" s="266"/>
      <c r="P808" s="266"/>
      <c r="Q808" s="66"/>
      <c r="R808" s="66">
        <f>-13125+393.75</f>
        <v>-12731.25</v>
      </c>
      <c r="S808" s="298"/>
      <c r="T808" s="102">
        <f>SUM(Finance[[#This Row],[Samer]:[Margins]])</f>
        <v>-12731.25</v>
      </c>
      <c r="U808" s="103">
        <f>ABS(Finance[[#This Row],[Total (EGP)]])</f>
        <v>12731.25</v>
      </c>
      <c r="V808" s="299"/>
    </row>
    <row r="809" spans="2:22" ht="18" customHeight="1" x14ac:dyDescent="0.3">
      <c r="B809" s="314">
        <v>45953</v>
      </c>
      <c r="C809" s="169">
        <f>YEAR(Finance[[#This Row],[Date]])</f>
        <v>2025</v>
      </c>
      <c r="D809" s="315">
        <f>MONTH(Finance[[#This Row],[Date]])</f>
        <v>10</v>
      </c>
      <c r="E809" s="2" t="s">
        <v>374</v>
      </c>
      <c r="F809" s="2" t="s">
        <v>73</v>
      </c>
      <c r="G809" s="2" t="s">
        <v>103</v>
      </c>
      <c r="H809" s="316" t="s">
        <v>90</v>
      </c>
      <c r="I809" s="135" t="s">
        <v>200</v>
      </c>
      <c r="J809" s="136">
        <v>4</v>
      </c>
      <c r="K809" s="264"/>
      <c r="L809" s="138"/>
      <c r="M809" s="66"/>
      <c r="N809" s="66"/>
      <c r="O809" s="266"/>
      <c r="P809" s="266"/>
      <c r="Q809" s="66"/>
      <c r="R809" s="66">
        <f>-13125*0.14</f>
        <v>-1837.5000000000002</v>
      </c>
      <c r="S809" s="298"/>
      <c r="T809" s="102">
        <f>SUM(Finance[[#This Row],[Samer]:[Margins]])</f>
        <v>-1837.5000000000002</v>
      </c>
      <c r="U809" s="103">
        <f>ABS(Finance[[#This Row],[Total (EGP)]])</f>
        <v>1837.5000000000002</v>
      </c>
      <c r="V809" s="299"/>
    </row>
    <row r="810" spans="2:22" ht="18" customHeight="1" x14ac:dyDescent="0.3">
      <c r="B810" s="314">
        <v>45953</v>
      </c>
      <c r="C810" s="169">
        <f>YEAR(Finance[[#This Row],[Date]])</f>
        <v>2025</v>
      </c>
      <c r="D810" s="315">
        <f>MONTH(Finance[[#This Row],[Date]])</f>
        <v>10</v>
      </c>
      <c r="E810" s="2" t="s">
        <v>244</v>
      </c>
      <c r="F810" s="2" t="s">
        <v>29</v>
      </c>
      <c r="G810" s="2" t="s">
        <v>95</v>
      </c>
      <c r="H810" s="316" t="s">
        <v>194</v>
      </c>
      <c r="I810" s="135" t="s">
        <v>200</v>
      </c>
      <c r="J810" s="136">
        <v>3</v>
      </c>
      <c r="K810" s="264"/>
      <c r="L810" s="138"/>
      <c r="M810" s="66"/>
      <c r="N810" s="66"/>
      <c r="O810" s="266"/>
      <c r="P810" s="266"/>
      <c r="Q810" s="66"/>
      <c r="R810" s="66">
        <v>10</v>
      </c>
      <c r="S810" s="298"/>
      <c r="T810" s="102">
        <f>SUM(Finance[[#This Row],[Samer]:[Margins]])</f>
        <v>10</v>
      </c>
      <c r="U810" s="103">
        <f>ABS(Finance[[#This Row],[Total (EGP)]])</f>
        <v>10</v>
      </c>
      <c r="V810" s="299"/>
    </row>
    <row r="811" spans="2:22" ht="18" customHeight="1" x14ac:dyDescent="0.3">
      <c r="B811" s="314">
        <v>45956</v>
      </c>
      <c r="C811" s="169">
        <f>YEAR(Finance[[#This Row],[Date]])</f>
        <v>2025</v>
      </c>
      <c r="D811" s="315">
        <f>MONTH(Finance[[#This Row],[Date]])</f>
        <v>10</v>
      </c>
      <c r="E811" s="2" t="s">
        <v>826</v>
      </c>
      <c r="F811" s="2" t="s">
        <v>73</v>
      </c>
      <c r="G811" s="2" t="s">
        <v>233</v>
      </c>
      <c r="H811" s="316" t="s">
        <v>234</v>
      </c>
      <c r="I811" s="135" t="s">
        <v>235</v>
      </c>
      <c r="J811" s="136">
        <v>1</v>
      </c>
      <c r="K811" s="294"/>
      <c r="L811" s="295"/>
      <c r="M811" s="296"/>
      <c r="N811" s="296"/>
      <c r="O811" s="297"/>
      <c r="P811" s="297"/>
      <c r="Q811" s="296"/>
      <c r="R811" s="296">
        <v>-500000</v>
      </c>
      <c r="S811" s="298"/>
      <c r="T811" s="102">
        <f>SUM(Finance[[#This Row],[Samer]:[Margins]])</f>
        <v>-500000</v>
      </c>
      <c r="U811" s="103">
        <f>ABS(Finance[[#This Row],[Total (EGP)]])</f>
        <v>500000</v>
      </c>
      <c r="V811" s="299"/>
    </row>
    <row r="812" spans="2:22" ht="18" customHeight="1" x14ac:dyDescent="0.3">
      <c r="B812" s="314">
        <v>45956</v>
      </c>
      <c r="C812" s="169">
        <f>YEAR(Finance[[#This Row],[Date]])</f>
        <v>2025</v>
      </c>
      <c r="D812" s="315">
        <f>MONTH(Finance[[#This Row],[Date]])</f>
        <v>10</v>
      </c>
      <c r="E812" s="2" t="s">
        <v>757</v>
      </c>
      <c r="F812" s="2" t="s">
        <v>29</v>
      </c>
      <c r="G812" s="2" t="s">
        <v>95</v>
      </c>
      <c r="H812" s="316" t="s">
        <v>194</v>
      </c>
      <c r="I812" s="114" t="s">
        <v>235</v>
      </c>
      <c r="J812" s="136">
        <v>3</v>
      </c>
      <c r="K812" s="294"/>
      <c r="L812" s="295"/>
      <c r="M812" s="296"/>
      <c r="N812" s="296"/>
      <c r="O812" s="297"/>
      <c r="P812" s="297"/>
      <c r="Q812" s="296"/>
      <c r="R812" s="296">
        <v>25</v>
      </c>
      <c r="S812" s="298"/>
      <c r="T812" s="102">
        <f>SUM(Finance[[#This Row],[Samer]:[Margins]])</f>
        <v>25</v>
      </c>
      <c r="U812" s="103">
        <f>ABS(Finance[[#This Row],[Total (EGP)]])</f>
        <v>25</v>
      </c>
      <c r="V812" s="299"/>
    </row>
    <row r="813" spans="2:22" ht="18" customHeight="1" x14ac:dyDescent="0.3">
      <c r="B813" s="332">
        <v>45957</v>
      </c>
      <c r="C813" s="169">
        <f>YEAR(Finance[[#This Row],[Date]])</f>
        <v>2025</v>
      </c>
      <c r="D813" s="333">
        <f>MONTH(Finance[[#This Row],[Date]])</f>
        <v>10</v>
      </c>
      <c r="E813" s="368" t="s">
        <v>295</v>
      </c>
      <c r="F813" s="329" t="s">
        <v>29</v>
      </c>
      <c r="G813" s="329" t="s">
        <v>111</v>
      </c>
      <c r="H813" s="330" t="s">
        <v>296</v>
      </c>
      <c r="I813" s="114" t="s">
        <v>175</v>
      </c>
      <c r="J813" s="136">
        <v>3</v>
      </c>
      <c r="K813" s="294"/>
      <c r="L813" s="295"/>
      <c r="M813" s="296"/>
      <c r="N813" s="296"/>
      <c r="O813" s="297"/>
      <c r="P813" s="297"/>
      <c r="Q813" s="296"/>
      <c r="R813" s="296">
        <v>1030.78</v>
      </c>
      <c r="S813" s="298"/>
      <c r="T813" s="102">
        <f>SUM(Finance[[#This Row],[Samer]:[Margins]])</f>
        <v>1030.78</v>
      </c>
      <c r="U813" s="103">
        <f>ABS(Finance[[#This Row],[Total (EGP)]])</f>
        <v>1030.78</v>
      </c>
      <c r="V813" s="299"/>
    </row>
    <row r="814" spans="2:22" ht="18" customHeight="1" x14ac:dyDescent="0.3">
      <c r="B814" s="288">
        <v>45957</v>
      </c>
      <c r="C814" s="169">
        <f>YEAR(Finance[[#This Row],[Date]])</f>
        <v>2025</v>
      </c>
      <c r="D814" s="289">
        <f>MONTH(Finance[[#This Row],[Date]])</f>
        <v>10</v>
      </c>
      <c r="E814" s="290" t="s">
        <v>179</v>
      </c>
      <c r="F814" s="290" t="s">
        <v>37</v>
      </c>
      <c r="G814" s="290" t="s">
        <v>36</v>
      </c>
      <c r="H814" s="291" t="s">
        <v>181</v>
      </c>
      <c r="I814" s="292" t="s">
        <v>175</v>
      </c>
      <c r="J814" s="293">
        <v>0</v>
      </c>
      <c r="K814" s="294"/>
      <c r="L814" s="295">
        <v>-120000</v>
      </c>
      <c r="M814" s="296"/>
      <c r="N814" s="296"/>
      <c r="O814" s="297"/>
      <c r="P814" s="297"/>
      <c r="Q814" s="296"/>
      <c r="R814" s="296">
        <v>120000</v>
      </c>
      <c r="S814" s="298"/>
      <c r="T814" s="102">
        <f>SUM(Finance[[#This Row],[Samer]:[Margins]])</f>
        <v>0</v>
      </c>
      <c r="U814" s="103">
        <f>ABS(Finance[[#This Row],[Total (EGP)]])</f>
        <v>0</v>
      </c>
      <c r="V814" s="299"/>
    </row>
    <row r="815" spans="2:22" ht="18" customHeight="1" x14ac:dyDescent="0.3">
      <c r="B815" s="288">
        <v>45957</v>
      </c>
      <c r="C815" s="169">
        <f>YEAR(Finance[[#This Row],[Date]])</f>
        <v>2025</v>
      </c>
      <c r="D815" s="289">
        <f>MONTH(Finance[[#This Row],[Date]])</f>
        <v>10</v>
      </c>
      <c r="E815" s="6" t="s">
        <v>836</v>
      </c>
      <c r="F815" s="6" t="s">
        <v>73</v>
      </c>
      <c r="G815" s="6" t="s">
        <v>75</v>
      </c>
      <c r="H815" s="134" t="s">
        <v>234</v>
      </c>
      <c r="I815" s="135" t="s">
        <v>177</v>
      </c>
      <c r="J815" s="136">
        <v>4</v>
      </c>
      <c r="K815" s="294"/>
      <c r="L815" s="295"/>
      <c r="M815" s="296"/>
      <c r="N815" s="296"/>
      <c r="O815" s="297"/>
      <c r="P815" s="297"/>
      <c r="Q815" s="296"/>
      <c r="R815" s="296">
        <f>-13354.05+14.18</f>
        <v>-13339.869999999999</v>
      </c>
      <c r="S815" s="298"/>
      <c r="T815" s="102">
        <f>SUM(Finance[[#This Row],[Samer]:[Margins]])</f>
        <v>-13339.869999999999</v>
      </c>
      <c r="U815" s="103">
        <f>ABS(Finance[[#This Row],[Total (EGP)]])</f>
        <v>13339.869999999999</v>
      </c>
      <c r="V815" s="299"/>
    </row>
    <row r="816" spans="2:22" ht="18" customHeight="1" x14ac:dyDescent="0.3">
      <c r="B816" s="288">
        <v>45957</v>
      </c>
      <c r="C816" s="169">
        <f>YEAR(Finance[[#This Row],[Date]])</f>
        <v>2025</v>
      </c>
      <c r="D816" s="289">
        <f>MONTH(Finance[[#This Row],[Date]])</f>
        <v>10</v>
      </c>
      <c r="E816" s="6" t="s">
        <v>237</v>
      </c>
      <c r="F816" s="6" t="s">
        <v>73</v>
      </c>
      <c r="G816" s="6" t="s">
        <v>75</v>
      </c>
      <c r="H816" s="134" t="s">
        <v>90</v>
      </c>
      <c r="I816" s="135" t="s">
        <v>177</v>
      </c>
      <c r="J816" s="136">
        <v>4</v>
      </c>
      <c r="K816" s="294"/>
      <c r="L816" s="295"/>
      <c r="M816" s="296"/>
      <c r="N816" s="296"/>
      <c r="O816" s="297"/>
      <c r="P816" s="297"/>
      <c r="Q816" s="296"/>
      <c r="R816" s="296">
        <f>-13354.05*0.14</f>
        <v>-1869.567</v>
      </c>
      <c r="S816" s="298"/>
      <c r="T816" s="102">
        <f>SUM(Finance[[#This Row],[Samer]:[Margins]])</f>
        <v>-1869.567</v>
      </c>
      <c r="U816" s="103">
        <f>ABS(Finance[[#This Row],[Total (EGP)]])</f>
        <v>1869.567</v>
      </c>
      <c r="V816" s="299"/>
    </row>
    <row r="817" spans="2:22" ht="18" customHeight="1" x14ac:dyDescent="0.3">
      <c r="B817" s="288">
        <v>45957</v>
      </c>
      <c r="C817" s="169">
        <f>YEAR(Finance[[#This Row],[Date]])</f>
        <v>2025</v>
      </c>
      <c r="D817" s="289">
        <f>MONTH(Finance[[#This Row],[Date]])</f>
        <v>10</v>
      </c>
      <c r="E817" s="6" t="s">
        <v>837</v>
      </c>
      <c r="F817" s="6" t="s">
        <v>73</v>
      </c>
      <c r="G817" s="6" t="s">
        <v>233</v>
      </c>
      <c r="H817" s="134" t="s">
        <v>234</v>
      </c>
      <c r="I817" s="135" t="s">
        <v>235</v>
      </c>
      <c r="J817" s="136">
        <v>1</v>
      </c>
      <c r="K817" s="294"/>
      <c r="L817" s="295"/>
      <c r="M817" s="296"/>
      <c r="N817" s="296"/>
      <c r="O817" s="297"/>
      <c r="P817" s="297"/>
      <c r="Q817" s="296"/>
      <c r="R817" s="296">
        <v>-138859.611</v>
      </c>
      <c r="S817" s="298"/>
      <c r="T817" s="102">
        <f>SUM(Finance[[#This Row],[Samer]:[Margins]])</f>
        <v>-138859.611</v>
      </c>
      <c r="U817" s="103">
        <f>ABS(Finance[[#This Row],[Total (EGP)]])</f>
        <v>138859.611</v>
      </c>
      <c r="V817" s="299"/>
    </row>
    <row r="818" spans="2:22" ht="18" customHeight="1" x14ac:dyDescent="0.3">
      <c r="B818" s="288">
        <v>45957</v>
      </c>
      <c r="C818" s="169">
        <f>YEAR(Finance[[#This Row],[Date]])</f>
        <v>2025</v>
      </c>
      <c r="D818" s="289">
        <f>MONTH(Finance[[#This Row],[Date]])</f>
        <v>10</v>
      </c>
      <c r="E818" s="6" t="s">
        <v>237</v>
      </c>
      <c r="F818" s="6" t="s">
        <v>73</v>
      </c>
      <c r="G818" s="126" t="s">
        <v>233</v>
      </c>
      <c r="H818" s="127" t="s">
        <v>90</v>
      </c>
      <c r="I818" s="135" t="s">
        <v>235</v>
      </c>
      <c r="J818" s="129">
        <v>1</v>
      </c>
      <c r="K818" s="294"/>
      <c r="L818" s="295"/>
      <c r="M818" s="296"/>
      <c r="N818" s="296"/>
      <c r="O818" s="297"/>
      <c r="P818" s="297"/>
      <c r="Q818" s="296"/>
      <c r="R818" s="296">
        <f>-685221.08*0.14</f>
        <v>-95930.95120000001</v>
      </c>
      <c r="S818" s="298"/>
      <c r="T818" s="102">
        <f>SUM(Finance[[#This Row],[Samer]:[Margins]])</f>
        <v>-95930.95120000001</v>
      </c>
      <c r="U818" s="103">
        <f>ABS(Finance[[#This Row],[Total (EGP)]])</f>
        <v>95930.95120000001</v>
      </c>
      <c r="V818" s="299"/>
    </row>
    <row r="819" spans="2:22" ht="18" customHeight="1" x14ac:dyDescent="0.3">
      <c r="B819" s="288">
        <v>45957</v>
      </c>
      <c r="C819" s="169">
        <f>YEAR(Finance[[#This Row],[Date]])</f>
        <v>2025</v>
      </c>
      <c r="D819" s="289">
        <f>MONTH(Finance[[#This Row],[Date]])</f>
        <v>10</v>
      </c>
      <c r="E819" s="6" t="s">
        <v>757</v>
      </c>
      <c r="F819" s="6" t="s">
        <v>29</v>
      </c>
      <c r="G819" s="6" t="s">
        <v>95</v>
      </c>
      <c r="H819" s="134" t="s">
        <v>194</v>
      </c>
      <c r="I819" s="114" t="s">
        <v>235</v>
      </c>
      <c r="J819" s="136">
        <v>3</v>
      </c>
      <c r="K819" s="294"/>
      <c r="L819" s="295"/>
      <c r="M819" s="296"/>
      <c r="N819" s="296"/>
      <c r="O819" s="297"/>
      <c r="P819" s="297"/>
      <c r="Q819" s="296"/>
      <c r="R819" s="296">
        <v>25</v>
      </c>
      <c r="S819" s="298"/>
      <c r="T819" s="102">
        <f>SUM(Finance[[#This Row],[Samer]:[Margins]])</f>
        <v>25</v>
      </c>
      <c r="U819" s="103">
        <f>ABS(Finance[[#This Row],[Total (EGP)]])</f>
        <v>25</v>
      </c>
      <c r="V819" s="299"/>
    </row>
    <row r="820" spans="2:22" ht="18" customHeight="1" x14ac:dyDescent="0.3">
      <c r="B820" s="288">
        <v>45958</v>
      </c>
      <c r="C820" s="169">
        <f>YEAR(Finance[[#This Row],[Date]])</f>
        <v>2025</v>
      </c>
      <c r="D820" s="289">
        <f>MONTH(Finance[[#This Row],[Date]])</f>
        <v>10</v>
      </c>
      <c r="E820" s="6" t="s">
        <v>827</v>
      </c>
      <c r="F820" s="39" t="s">
        <v>84</v>
      </c>
      <c r="G820" s="39" t="s">
        <v>90</v>
      </c>
      <c r="H820" s="48" t="s">
        <v>143</v>
      </c>
      <c r="I820" s="149" t="s">
        <v>175</v>
      </c>
      <c r="J820" s="131">
        <v>1</v>
      </c>
      <c r="K820" s="193"/>
      <c r="L820" s="194"/>
      <c r="M820" s="195"/>
      <c r="N820" s="195"/>
      <c r="O820" s="196"/>
      <c r="P820" s="196"/>
      <c r="Q820" s="195"/>
      <c r="R820" s="195">
        <v>0</v>
      </c>
      <c r="S820" s="298"/>
      <c r="T820" s="102">
        <f>SUM(Finance[[#This Row],[Samer]:[Margins]])</f>
        <v>0</v>
      </c>
      <c r="U820" s="103">
        <f>ABS(Finance[[#This Row],[Total (EGP)]])</f>
        <v>0</v>
      </c>
      <c r="V820" s="299"/>
    </row>
    <row r="821" spans="2:22" ht="18" customHeight="1" x14ac:dyDescent="0.3">
      <c r="B821" s="288">
        <v>45958</v>
      </c>
      <c r="C821" s="169">
        <f>YEAR(Finance[[#This Row],[Date]])</f>
        <v>2025</v>
      </c>
      <c r="D821" s="289">
        <f>MONTH(Finance[[#This Row],[Date]])</f>
        <v>10</v>
      </c>
      <c r="E821" s="6" t="s">
        <v>828</v>
      </c>
      <c r="F821" s="39" t="s">
        <v>84</v>
      </c>
      <c r="G821" s="39" t="s">
        <v>90</v>
      </c>
      <c r="H821" s="48" t="s">
        <v>143</v>
      </c>
      <c r="I821" s="149" t="s">
        <v>175</v>
      </c>
      <c r="J821" s="131">
        <v>4</v>
      </c>
      <c r="K821" s="193"/>
      <c r="L821" s="194"/>
      <c r="M821" s="195"/>
      <c r="N821" s="195"/>
      <c r="O821" s="196"/>
      <c r="P821" s="196"/>
      <c r="Q821" s="195"/>
      <c r="R821" s="195">
        <f>10631.95+12391.02+6260.45</f>
        <v>29283.420000000002</v>
      </c>
      <c r="S821" s="298"/>
      <c r="T821" s="102">
        <f>SUM(Finance[[#This Row],[Samer]:[Margins]])</f>
        <v>29283.420000000002</v>
      </c>
      <c r="U821" s="103">
        <f>ABS(Finance[[#This Row],[Total (EGP)]])</f>
        <v>29283.420000000002</v>
      </c>
      <c r="V821" s="299"/>
    </row>
    <row r="822" spans="2:22" ht="18" customHeight="1" x14ac:dyDescent="0.3">
      <c r="B822" s="288">
        <v>45958</v>
      </c>
      <c r="C822" s="169">
        <f>YEAR(Finance[[#This Row],[Date]])</f>
        <v>2025</v>
      </c>
      <c r="D822" s="289">
        <f>MONTH(Finance[[#This Row],[Date]])</f>
        <v>10</v>
      </c>
      <c r="E822" s="6" t="s">
        <v>829</v>
      </c>
      <c r="F822" s="39" t="s">
        <v>84</v>
      </c>
      <c r="G822" s="39" t="s">
        <v>90</v>
      </c>
      <c r="H822" s="48" t="s">
        <v>143</v>
      </c>
      <c r="I822" s="149" t="s">
        <v>175</v>
      </c>
      <c r="J822" s="131">
        <v>5</v>
      </c>
      <c r="K822" s="193"/>
      <c r="L822" s="194"/>
      <c r="M822" s="195"/>
      <c r="N822" s="195"/>
      <c r="O822" s="196"/>
      <c r="P822" s="196"/>
      <c r="Q822" s="195"/>
      <c r="R822" s="195">
        <f>682.5+1911+682.5</f>
        <v>3276</v>
      </c>
      <c r="S822" s="298"/>
      <c r="T822" s="102">
        <f>SUM(Finance[[#This Row],[Samer]:[Margins]])</f>
        <v>3276</v>
      </c>
      <c r="U822" s="103">
        <f>ABS(Finance[[#This Row],[Total (EGP)]])</f>
        <v>3276</v>
      </c>
      <c r="V822" s="299"/>
    </row>
    <row r="823" spans="2:22" ht="18" customHeight="1" x14ac:dyDescent="0.3">
      <c r="B823" s="288">
        <v>45958</v>
      </c>
      <c r="C823" s="169">
        <f>YEAR(Finance[[#This Row],[Date]])</f>
        <v>2025</v>
      </c>
      <c r="D823" s="289">
        <f>MONTH(Finance[[#This Row],[Date]])</f>
        <v>10</v>
      </c>
      <c r="E823" s="6" t="s">
        <v>830</v>
      </c>
      <c r="F823" s="39" t="s">
        <v>84</v>
      </c>
      <c r="G823" s="39" t="s">
        <v>90</v>
      </c>
      <c r="H823" s="48" t="s">
        <v>143</v>
      </c>
      <c r="I823" s="149" t="s">
        <v>175</v>
      </c>
      <c r="J823" s="131">
        <v>2</v>
      </c>
      <c r="K823" s="193"/>
      <c r="L823" s="194"/>
      <c r="M823" s="195"/>
      <c r="N823" s="195"/>
      <c r="O823" s="196"/>
      <c r="P823" s="196"/>
      <c r="Q823" s="195"/>
      <c r="R823" s="66">
        <f>93086.86+112452.1+94169.78</f>
        <v>299708.74</v>
      </c>
      <c r="S823" s="298"/>
      <c r="T823" s="102">
        <f>SUM(Finance[[#This Row],[Samer]:[Margins]])</f>
        <v>299708.74</v>
      </c>
      <c r="U823" s="103">
        <f>ABS(Finance[[#This Row],[Total (EGP)]])</f>
        <v>299708.74</v>
      </c>
      <c r="V823" s="299"/>
    </row>
    <row r="824" spans="2:22" ht="18" customHeight="1" x14ac:dyDescent="0.3">
      <c r="B824" s="288">
        <v>45958</v>
      </c>
      <c r="C824" s="169">
        <f>YEAR(Finance[[#This Row],[Date]])</f>
        <v>2025</v>
      </c>
      <c r="D824" s="289">
        <f>MONTH(Finance[[#This Row],[Date]])</f>
        <v>10</v>
      </c>
      <c r="E824" s="6" t="s">
        <v>221</v>
      </c>
      <c r="F824" s="39" t="s">
        <v>29</v>
      </c>
      <c r="G824" s="6" t="s">
        <v>95</v>
      </c>
      <c r="H824" s="48" t="s">
        <v>194</v>
      </c>
      <c r="I824" s="135" t="s">
        <v>175</v>
      </c>
      <c r="J824" s="136">
        <v>3</v>
      </c>
      <c r="K824" s="193"/>
      <c r="L824" s="194"/>
      <c r="M824" s="195"/>
      <c r="N824" s="195"/>
      <c r="O824" s="196"/>
      <c r="P824" s="196"/>
      <c r="Q824" s="195"/>
      <c r="R824" s="195">
        <f>332268.16*0.00102928911</f>
        <v>341.99999868773762</v>
      </c>
      <c r="S824" s="298"/>
      <c r="T824" s="102">
        <f>SUM(Finance[[#This Row],[Samer]:[Margins]])</f>
        <v>341.99999868773762</v>
      </c>
      <c r="U824" s="103">
        <f>ABS(Finance[[#This Row],[Total (EGP)]])</f>
        <v>341.99999868773762</v>
      </c>
      <c r="V824" s="299"/>
    </row>
    <row r="825" spans="2:22" ht="18" customHeight="1" x14ac:dyDescent="0.3">
      <c r="B825" s="7">
        <v>45959</v>
      </c>
      <c r="C825" s="169">
        <f>YEAR(Finance[[#This Row],[Date]])</f>
        <v>2025</v>
      </c>
      <c r="D825" s="285">
        <f>MONTH(Finance[[#This Row],[Date]])</f>
        <v>10</v>
      </c>
      <c r="E825" s="6" t="s">
        <v>845</v>
      </c>
      <c r="F825" s="6" t="s">
        <v>29</v>
      </c>
      <c r="G825" s="6" t="s">
        <v>95</v>
      </c>
      <c r="H825" s="134" t="s">
        <v>194</v>
      </c>
      <c r="I825" s="114" t="s">
        <v>175</v>
      </c>
      <c r="J825" s="136">
        <v>3</v>
      </c>
      <c r="K825" s="31"/>
      <c r="L825" s="132"/>
      <c r="M825" s="96"/>
      <c r="N825" s="96"/>
      <c r="O825" s="75"/>
      <c r="P825" s="75"/>
      <c r="Q825" s="96"/>
      <c r="R825" s="96">
        <v>300</v>
      </c>
      <c r="S825" s="286"/>
      <c r="T825" s="102">
        <f>SUM(Finance[[#This Row],[Samer]:[Margins]])</f>
        <v>300</v>
      </c>
      <c r="U825" s="103">
        <f>ABS(Finance[[#This Row],[Total (EGP)]])</f>
        <v>300</v>
      </c>
      <c r="V825" s="287"/>
    </row>
    <row r="826" spans="2:22" ht="18" customHeight="1" x14ac:dyDescent="0.3">
      <c r="B826" s="288">
        <v>45960</v>
      </c>
      <c r="C826" s="169">
        <f>YEAR(Finance[[#This Row],[Date]])</f>
        <v>2025</v>
      </c>
      <c r="D826" s="289">
        <f>MONTH(Finance[[#This Row],[Date]])</f>
        <v>10</v>
      </c>
      <c r="E826" s="39" t="s">
        <v>838</v>
      </c>
      <c r="F826" s="6" t="s">
        <v>34</v>
      </c>
      <c r="G826" s="6" t="s">
        <v>66</v>
      </c>
      <c r="H826" s="134" t="s">
        <v>210</v>
      </c>
      <c r="I826" s="135" t="s">
        <v>175</v>
      </c>
      <c r="J826" s="136">
        <v>1</v>
      </c>
      <c r="K826" s="31"/>
      <c r="L826" s="132">
        <f>90000*0.25</f>
        <v>22500</v>
      </c>
      <c r="M826" s="296"/>
      <c r="N826" s="296"/>
      <c r="O826" s="297"/>
      <c r="P826" s="297"/>
      <c r="Q826" s="296"/>
      <c r="R826" s="145">
        <f>33000+20490+30000*0.5+18570.6+25000+15000</f>
        <v>127060.6</v>
      </c>
      <c r="S826" s="298"/>
      <c r="T826" s="102">
        <f>SUM(Finance[[#This Row],[Samer]:[Margins]])</f>
        <v>149560.6</v>
      </c>
      <c r="U826" s="103">
        <f>ABS(Finance[[#This Row],[Total (EGP)]])</f>
        <v>149560.6</v>
      </c>
      <c r="V826" s="299"/>
    </row>
    <row r="827" spans="2:22" ht="18" customHeight="1" x14ac:dyDescent="0.3">
      <c r="B827" s="288">
        <v>45960</v>
      </c>
      <c r="C827" s="169">
        <f>YEAR(Finance[[#This Row],[Date]])</f>
        <v>2025</v>
      </c>
      <c r="D827" s="289">
        <f>MONTH(Finance[[#This Row],[Date]])</f>
        <v>10</v>
      </c>
      <c r="E827" s="39" t="s">
        <v>839</v>
      </c>
      <c r="F827" s="329" t="s">
        <v>34</v>
      </c>
      <c r="G827" s="329" t="s">
        <v>66</v>
      </c>
      <c r="H827" s="330" t="s">
        <v>211</v>
      </c>
      <c r="I827" s="135" t="s">
        <v>175</v>
      </c>
      <c r="J827" s="136">
        <v>3</v>
      </c>
      <c r="K827" s="31"/>
      <c r="L827" s="132">
        <f>90000*0.3</f>
        <v>27000</v>
      </c>
      <c r="M827" s="296"/>
      <c r="N827" s="296"/>
      <c r="O827" s="297"/>
      <c r="P827" s="297"/>
      <c r="Q827" s="296"/>
      <c r="R827" s="145">
        <f>18811+12500+19500</f>
        <v>50811</v>
      </c>
      <c r="S827" s="298"/>
      <c r="T827" s="102">
        <f>SUM(Finance[[#This Row],[Samer]:[Margins]])</f>
        <v>77811</v>
      </c>
      <c r="U827" s="103">
        <f>ABS(Finance[[#This Row],[Total (EGP)]])</f>
        <v>77811</v>
      </c>
      <c r="V827" s="299"/>
    </row>
    <row r="828" spans="2:22" ht="18" customHeight="1" x14ac:dyDescent="0.3">
      <c r="B828" s="288">
        <v>45960</v>
      </c>
      <c r="C828" s="169">
        <f>YEAR(Finance[[#This Row],[Date]])</f>
        <v>2025</v>
      </c>
      <c r="D828" s="289">
        <f>MONTH(Finance[[#This Row],[Date]])</f>
        <v>10</v>
      </c>
      <c r="E828" s="39" t="s">
        <v>840</v>
      </c>
      <c r="F828" s="6" t="s">
        <v>34</v>
      </c>
      <c r="G828" s="6" t="s">
        <v>66</v>
      </c>
      <c r="H828" s="134" t="s">
        <v>212</v>
      </c>
      <c r="I828" s="135" t="s">
        <v>175</v>
      </c>
      <c r="J828" s="136">
        <v>4</v>
      </c>
      <c r="K828" s="31"/>
      <c r="L828" s="132">
        <f>90000*0.2</f>
        <v>18000</v>
      </c>
      <c r="M828" s="296"/>
      <c r="N828" s="296"/>
      <c r="O828" s="297"/>
      <c r="P828" s="297"/>
      <c r="Q828" s="296"/>
      <c r="R828" s="145">
        <f>22579.1+30000*0.5+12000</f>
        <v>49579.1</v>
      </c>
      <c r="S828" s="298"/>
      <c r="T828" s="102">
        <f>SUM(Finance[[#This Row],[Samer]:[Margins]])</f>
        <v>67579.100000000006</v>
      </c>
      <c r="U828" s="103">
        <f>ABS(Finance[[#This Row],[Total (EGP)]])</f>
        <v>67579.100000000006</v>
      </c>
      <c r="V828" s="299"/>
    </row>
    <row r="829" spans="2:22" ht="18" customHeight="1" x14ac:dyDescent="0.3">
      <c r="B829" s="288">
        <v>45960</v>
      </c>
      <c r="C829" s="169">
        <f>YEAR(Finance[[#This Row],[Date]])</f>
        <v>2025</v>
      </c>
      <c r="D829" s="289">
        <f>MONTH(Finance[[#This Row],[Date]])</f>
        <v>10</v>
      </c>
      <c r="E829" s="39" t="s">
        <v>841</v>
      </c>
      <c r="F829" s="6" t="s">
        <v>34</v>
      </c>
      <c r="G829" s="6" t="s">
        <v>66</v>
      </c>
      <c r="H829" s="134" t="s">
        <v>209</v>
      </c>
      <c r="I829" s="135" t="s">
        <v>175</v>
      </c>
      <c r="J829" s="136">
        <v>2</v>
      </c>
      <c r="K829" s="31"/>
      <c r="L829" s="132">
        <f>90000*0.25</f>
        <v>22500</v>
      </c>
      <c r="M829" s="296"/>
      <c r="N829" s="296"/>
      <c r="O829" s="297"/>
      <c r="P829" s="297"/>
      <c r="Q829" s="296"/>
      <c r="R829" s="145">
        <f>38000+17000+13000+14000+17000</f>
        <v>99000</v>
      </c>
      <c r="S829" s="298"/>
      <c r="T829" s="102">
        <f>SUM(Finance[[#This Row],[Samer]:[Margins]])</f>
        <v>121500</v>
      </c>
      <c r="U829" s="103">
        <f>ABS(Finance[[#This Row],[Total (EGP)]])</f>
        <v>121500</v>
      </c>
      <c r="V829" s="299"/>
    </row>
    <row r="830" spans="2:22" ht="18" customHeight="1" x14ac:dyDescent="0.3">
      <c r="B830" s="288">
        <v>45960</v>
      </c>
      <c r="C830" s="169">
        <f>YEAR(Finance[[#This Row],[Date]])</f>
        <v>2025</v>
      </c>
      <c r="D830" s="289">
        <f>MONTH(Finance[[#This Row],[Date]])</f>
        <v>10</v>
      </c>
      <c r="E830" s="39" t="s">
        <v>842</v>
      </c>
      <c r="F830" s="39" t="s">
        <v>29</v>
      </c>
      <c r="G830" s="39" t="s">
        <v>213</v>
      </c>
      <c r="H830" s="48" t="s">
        <v>214</v>
      </c>
      <c r="I830" s="114" t="s">
        <v>175</v>
      </c>
      <c r="J830" s="131">
        <v>3</v>
      </c>
      <c r="K830" s="31"/>
      <c r="L830" s="132">
        <v>-311</v>
      </c>
      <c r="M830" s="296"/>
      <c r="N830" s="296"/>
      <c r="O830" s="297"/>
      <c r="P830" s="297"/>
      <c r="Q830" s="296"/>
      <c r="R830" s="145">
        <f>-311*10-691</f>
        <v>-3801</v>
      </c>
      <c r="S830" s="298"/>
      <c r="T830" s="102">
        <f>SUM(Finance[[#This Row],[Samer]:[Margins]])</f>
        <v>-4112</v>
      </c>
      <c r="U830" s="103">
        <f>ABS(Finance[[#This Row],[Total (EGP)]])</f>
        <v>4112</v>
      </c>
      <c r="V830" s="299"/>
    </row>
    <row r="831" spans="2:22" ht="18" customHeight="1" x14ac:dyDescent="0.3">
      <c r="B831" s="7">
        <v>45960</v>
      </c>
      <c r="C831" s="169">
        <f>YEAR(Finance[[#This Row],[Date]])</f>
        <v>2025</v>
      </c>
      <c r="D831" s="285">
        <f>MONTH(Finance[[#This Row],[Date]])</f>
        <v>10</v>
      </c>
      <c r="E831" s="6" t="s">
        <v>847</v>
      </c>
      <c r="F831" s="39" t="s">
        <v>29</v>
      </c>
      <c r="G831" s="39" t="s">
        <v>108</v>
      </c>
      <c r="H831" s="130" t="s">
        <v>182</v>
      </c>
      <c r="I831" s="114" t="s">
        <v>175</v>
      </c>
      <c r="J831" s="131">
        <v>4</v>
      </c>
      <c r="K831" s="31"/>
      <c r="L831" s="132"/>
      <c r="M831" s="96"/>
      <c r="N831" s="96"/>
      <c r="O831" s="75"/>
      <c r="P831" s="75"/>
      <c r="Q831" s="96"/>
      <c r="R831" s="296">
        <f>100*47.5*1.03-70.44+100*48*1.03+20*48*1.03+20*48*1.03+67.77+80*47.61*1.03</f>
        <v>15734.494000000001</v>
      </c>
      <c r="S831" s="286"/>
      <c r="T831" s="102">
        <f>SUM(Finance[[#This Row],[Samer]:[Margins]])</f>
        <v>15734.494000000001</v>
      </c>
      <c r="U831" s="103">
        <f>ABS(Finance[[#This Row],[Total (EGP)]])</f>
        <v>15734.494000000001</v>
      </c>
      <c r="V831" s="287"/>
    </row>
    <row r="832" spans="2:22" ht="18" customHeight="1" x14ac:dyDescent="0.3">
      <c r="B832" s="7">
        <v>45960</v>
      </c>
      <c r="C832" s="169">
        <f>YEAR(Finance[[#This Row],[Date]])</f>
        <v>2025</v>
      </c>
      <c r="D832" s="285">
        <f>MONTH(Finance[[#This Row],[Date]])</f>
        <v>10</v>
      </c>
      <c r="E832" s="6" t="s">
        <v>179</v>
      </c>
      <c r="F832" s="290" t="s">
        <v>37</v>
      </c>
      <c r="G832" s="290" t="s">
        <v>36</v>
      </c>
      <c r="H832" s="291" t="s">
        <v>181</v>
      </c>
      <c r="I832" s="292" t="s">
        <v>175</v>
      </c>
      <c r="J832" s="293">
        <v>0</v>
      </c>
      <c r="K832" s="31"/>
      <c r="L832" s="132">
        <v>-60000</v>
      </c>
      <c r="M832" s="96"/>
      <c r="N832" s="96"/>
      <c r="O832" s="75"/>
      <c r="P832" s="75"/>
      <c r="Q832" s="96"/>
      <c r="R832" s="96">
        <v>60000</v>
      </c>
      <c r="S832" s="286"/>
      <c r="T832" s="102">
        <f>SUM(Finance[[#This Row],[Samer]:[Margins]])</f>
        <v>0</v>
      </c>
      <c r="U832" s="103">
        <f>ABS(Finance[[#This Row],[Total (EGP)]])</f>
        <v>0</v>
      </c>
      <c r="V832" s="287"/>
    </row>
    <row r="833" spans="2:22" ht="18" customHeight="1" x14ac:dyDescent="0.3">
      <c r="B833" s="7">
        <v>45960</v>
      </c>
      <c r="C833" s="169">
        <f>YEAR(Finance[[#This Row],[Date]])</f>
        <v>2025</v>
      </c>
      <c r="D833" s="285">
        <f>MONTH(Finance[[#This Row],[Date]])</f>
        <v>10</v>
      </c>
      <c r="E833" s="6" t="s">
        <v>254</v>
      </c>
      <c r="F833" s="172" t="s">
        <v>29</v>
      </c>
      <c r="G833" s="6" t="s">
        <v>55</v>
      </c>
      <c r="H833" s="134" t="s">
        <v>352</v>
      </c>
      <c r="I833" s="135" t="s">
        <v>175</v>
      </c>
      <c r="J833" s="136">
        <v>3</v>
      </c>
      <c r="K833" s="31"/>
      <c r="L833" s="132"/>
      <c r="M833" s="96"/>
      <c r="N833" s="96"/>
      <c r="O833" s="75"/>
      <c r="P833" s="75"/>
      <c r="Q833" s="96"/>
      <c r="R833" s="96"/>
      <c r="S833" s="286">
        <v>1939</v>
      </c>
      <c r="T833" s="102">
        <f>SUM(Finance[[#This Row],[Samer]:[Margins]])</f>
        <v>1939</v>
      </c>
      <c r="U833" s="103">
        <f>ABS(Finance[[#This Row],[Total (EGP)]])</f>
        <v>1939</v>
      </c>
      <c r="V833" s="287"/>
    </row>
    <row r="834" spans="2:22" ht="18" customHeight="1" x14ac:dyDescent="0.3">
      <c r="B834" s="7">
        <v>45960</v>
      </c>
      <c r="C834" s="169">
        <f>YEAR(Finance[[#This Row],[Date]])</f>
        <v>2025</v>
      </c>
      <c r="D834" s="285">
        <f>MONTH(Finance[[#This Row],[Date]])</f>
        <v>10</v>
      </c>
      <c r="E834" s="6" t="s">
        <v>101</v>
      </c>
      <c r="F834" s="39" t="s">
        <v>29</v>
      </c>
      <c r="G834" s="6" t="s">
        <v>101</v>
      </c>
      <c r="H834" s="134" t="s">
        <v>74</v>
      </c>
      <c r="I834" s="135" t="s">
        <v>175</v>
      </c>
      <c r="J834" s="136">
        <v>3</v>
      </c>
      <c r="K834" s="31"/>
      <c r="L834" s="132"/>
      <c r="M834" s="96"/>
      <c r="N834" s="96"/>
      <c r="O834" s="75"/>
      <c r="P834" s="75"/>
      <c r="Q834" s="96"/>
      <c r="R834" s="96"/>
      <c r="S834" s="286">
        <v>202</v>
      </c>
      <c r="T834" s="102">
        <f>SUM(Finance[[#This Row],[Samer]:[Margins]])</f>
        <v>202</v>
      </c>
      <c r="U834" s="103">
        <f>ABS(Finance[[#This Row],[Total (EGP)]])</f>
        <v>202</v>
      </c>
      <c r="V834" s="287"/>
    </row>
    <row r="835" spans="2:22" ht="18" customHeight="1" x14ac:dyDescent="0.3">
      <c r="B835" s="7">
        <v>45960</v>
      </c>
      <c r="C835" s="169">
        <f>YEAR(Finance[[#This Row],[Date]])</f>
        <v>2025</v>
      </c>
      <c r="D835" s="285">
        <f>MONTH(Finance[[#This Row],[Date]])</f>
        <v>10</v>
      </c>
      <c r="E835" s="39" t="s">
        <v>32</v>
      </c>
      <c r="F835" s="39" t="s">
        <v>29</v>
      </c>
      <c r="G835" s="6" t="s">
        <v>32</v>
      </c>
      <c r="H835" s="134" t="s">
        <v>142</v>
      </c>
      <c r="I835" s="135" t="s">
        <v>175</v>
      </c>
      <c r="J835" s="136">
        <v>3</v>
      </c>
      <c r="K835" s="31"/>
      <c r="L835" s="132"/>
      <c r="M835" s="96"/>
      <c r="N835" s="96"/>
      <c r="O835" s="75"/>
      <c r="P835" s="75"/>
      <c r="Q835" s="96"/>
      <c r="R835" s="96"/>
      <c r="S835" s="286">
        <v>70</v>
      </c>
      <c r="T835" s="102">
        <f>SUM(Finance[[#This Row],[Samer]:[Margins]])</f>
        <v>70</v>
      </c>
      <c r="U835" s="103">
        <f>ABS(Finance[[#This Row],[Total (EGP)]])</f>
        <v>70</v>
      </c>
      <c r="V835" s="287"/>
    </row>
    <row r="836" spans="2:22" ht="18" customHeight="1" x14ac:dyDescent="0.3">
      <c r="B836" s="288">
        <v>45962</v>
      </c>
      <c r="C836" s="169">
        <f>YEAR(Finance[[#This Row],[Date]])</f>
        <v>2025</v>
      </c>
      <c r="D836" s="289">
        <f>MONTH(Finance[[#This Row],[Date]])</f>
        <v>11</v>
      </c>
      <c r="E836" s="39" t="s">
        <v>961</v>
      </c>
      <c r="F836" s="272" t="s">
        <v>30</v>
      </c>
      <c r="G836" s="272" t="s">
        <v>88</v>
      </c>
      <c r="H836" s="273" t="s">
        <v>102</v>
      </c>
      <c r="I836" s="274" t="s">
        <v>235</v>
      </c>
      <c r="J836" s="275">
        <v>2</v>
      </c>
      <c r="K836" s="276"/>
      <c r="L836" s="277">
        <f>(160*1100+40*1100)*0.85</f>
        <v>187000</v>
      </c>
      <c r="M836" s="296"/>
      <c r="N836" s="296"/>
      <c r="O836" s="297"/>
      <c r="P836" s="297"/>
      <c r="Q836" s="296"/>
      <c r="R836" s="296"/>
      <c r="S836" s="298"/>
      <c r="T836" s="102">
        <f>SUM(Finance[[#This Row],[Samer]:[Margins]])</f>
        <v>187000</v>
      </c>
      <c r="U836" s="103">
        <f>ABS(Finance[[#This Row],[Total (EGP)]])</f>
        <v>187000</v>
      </c>
      <c r="V836" s="299"/>
    </row>
    <row r="837" spans="2:22" ht="18" customHeight="1" x14ac:dyDescent="0.3">
      <c r="B837" s="7">
        <v>45962</v>
      </c>
      <c r="C837" s="169">
        <f>YEAR(Finance[[#This Row],[Date]])</f>
        <v>2025</v>
      </c>
      <c r="D837" s="285">
        <f>MONTH(Finance[[#This Row],[Date]])</f>
        <v>11</v>
      </c>
      <c r="E837" s="39" t="s">
        <v>849</v>
      </c>
      <c r="F837" s="39" t="s">
        <v>30</v>
      </c>
      <c r="G837" s="39" t="s">
        <v>127</v>
      </c>
      <c r="H837" s="130" t="s">
        <v>176</v>
      </c>
      <c r="I837" s="114" t="s">
        <v>177</v>
      </c>
      <c r="J837" s="131">
        <v>1</v>
      </c>
      <c r="K837" s="31"/>
      <c r="L837" s="132">
        <f>57*54.74*1.25</f>
        <v>3900.2250000000004</v>
      </c>
      <c r="M837" s="96"/>
      <c r="N837" s="96"/>
      <c r="O837" s="75"/>
      <c r="P837" s="75"/>
      <c r="Q837" s="96"/>
      <c r="R837" s="96"/>
      <c r="S837" s="286"/>
      <c r="T837" s="102">
        <f>SUM(Finance[[#This Row],[Samer]:[Margins]])</f>
        <v>3900.2250000000004</v>
      </c>
      <c r="U837" s="103">
        <f>ABS(Finance[[#This Row],[Total (EGP)]])</f>
        <v>3900.2250000000004</v>
      </c>
      <c r="V837" s="287"/>
    </row>
    <row r="838" spans="2:22" ht="18" customHeight="1" x14ac:dyDescent="0.3">
      <c r="B838" s="7">
        <v>45962</v>
      </c>
      <c r="C838" s="169">
        <f>YEAR(Finance[[#This Row],[Date]])</f>
        <v>2025</v>
      </c>
      <c r="D838" s="285">
        <f>MONTH(Finance[[#This Row],[Date]])</f>
        <v>11</v>
      </c>
      <c r="E838" s="39" t="s">
        <v>850</v>
      </c>
      <c r="F838" s="334" t="s">
        <v>30</v>
      </c>
      <c r="G838" s="334" t="s">
        <v>109</v>
      </c>
      <c r="H838" s="337" t="s">
        <v>176</v>
      </c>
      <c r="I838" s="114" t="s">
        <v>177</v>
      </c>
      <c r="J838" s="131">
        <v>1</v>
      </c>
      <c r="K838" s="175"/>
      <c r="L838" s="176">
        <f>17.66*2*47.3*1.05</f>
        <v>1754.1677999999999</v>
      </c>
      <c r="M838" s="96"/>
      <c r="N838" s="96"/>
      <c r="O838" s="75"/>
      <c r="P838" s="75"/>
      <c r="Q838" s="96"/>
      <c r="R838" s="96"/>
      <c r="S838" s="286"/>
      <c r="T838" s="102">
        <f>SUM(Finance[[#This Row],[Samer]:[Margins]])</f>
        <v>1754.1677999999999</v>
      </c>
      <c r="U838" s="103">
        <f>ABS(Finance[[#This Row],[Total (EGP)]])</f>
        <v>1754.1677999999999</v>
      </c>
      <c r="V838" s="287"/>
    </row>
    <row r="839" spans="2:22" ht="18" customHeight="1" x14ac:dyDescent="0.3">
      <c r="B839" s="7">
        <v>45962</v>
      </c>
      <c r="C839" s="169">
        <f>YEAR(Finance[[#This Row],[Date]])</f>
        <v>2025</v>
      </c>
      <c r="D839" s="285">
        <f>MONTH(Finance[[#This Row],[Date]])</f>
        <v>11</v>
      </c>
      <c r="E839" s="39" t="s">
        <v>851</v>
      </c>
      <c r="F839" s="39" t="s">
        <v>29</v>
      </c>
      <c r="G839" s="39" t="s">
        <v>108</v>
      </c>
      <c r="H839" s="130" t="s">
        <v>182</v>
      </c>
      <c r="I839" s="114" t="s">
        <v>175</v>
      </c>
      <c r="J839" s="131">
        <v>4</v>
      </c>
      <c r="K839" s="201"/>
      <c r="L839" s="202">
        <f>280*47.3*1.03</f>
        <v>13641.32</v>
      </c>
      <c r="M839" s="96"/>
      <c r="N839" s="96"/>
      <c r="O839" s="75"/>
      <c r="P839" s="75"/>
      <c r="Q839" s="96"/>
      <c r="R839" s="96"/>
      <c r="S839" s="286"/>
      <c r="T839" s="102">
        <f>SUM(Finance[[#This Row],[Samer]:[Margins]])</f>
        <v>13641.32</v>
      </c>
      <c r="U839" s="103">
        <f>ABS(Finance[[#This Row],[Total (EGP)]])</f>
        <v>13641.32</v>
      </c>
      <c r="V839" s="287"/>
    </row>
    <row r="840" spans="2:22" ht="18" customHeight="1" x14ac:dyDescent="0.3">
      <c r="B840" s="7">
        <v>45963</v>
      </c>
      <c r="C840" s="169">
        <f>YEAR(Finance[[#This Row],[Date]])</f>
        <v>2025</v>
      </c>
      <c r="D840" s="285">
        <f>MONTH(Finance[[#This Row],[Date]])</f>
        <v>11</v>
      </c>
      <c r="E840" s="6" t="s">
        <v>852</v>
      </c>
      <c r="F840" s="6" t="s">
        <v>34</v>
      </c>
      <c r="G840" s="6" t="s">
        <v>66</v>
      </c>
      <c r="H840" s="134" t="s">
        <v>212</v>
      </c>
      <c r="I840" s="135" t="s">
        <v>175</v>
      </c>
      <c r="J840" s="136">
        <v>4</v>
      </c>
      <c r="K840" s="31"/>
      <c r="L840" s="132">
        <v>5000</v>
      </c>
      <c r="M840" s="96"/>
      <c r="N840" s="96"/>
      <c r="O840" s="75"/>
      <c r="P840" s="75"/>
      <c r="Q840" s="96"/>
      <c r="R840" s="96"/>
      <c r="S840" s="286"/>
      <c r="T840" s="102">
        <f>SUM(Finance[[#This Row],[Samer]:[Margins]])</f>
        <v>5000</v>
      </c>
      <c r="U840" s="103">
        <f>ABS(Finance[[#This Row],[Total (EGP)]])</f>
        <v>5000</v>
      </c>
      <c r="V840" s="287"/>
    </row>
    <row r="841" spans="2:22" ht="18" customHeight="1" x14ac:dyDescent="0.3">
      <c r="B841" s="339">
        <v>45964</v>
      </c>
      <c r="C841" s="340">
        <f>YEAR(Finance[[#This Row],[Date]])</f>
        <v>2025</v>
      </c>
      <c r="D841" s="341">
        <f>MONTH(Finance[[#This Row],[Date]])</f>
        <v>11</v>
      </c>
      <c r="E841" s="6" t="s">
        <v>909</v>
      </c>
      <c r="F841" s="6" t="s">
        <v>29</v>
      </c>
      <c r="G841" s="6" t="s">
        <v>111</v>
      </c>
      <c r="H841" s="134" t="s">
        <v>259</v>
      </c>
      <c r="I841" s="135" t="s">
        <v>175</v>
      </c>
      <c r="J841" s="136">
        <v>3</v>
      </c>
      <c r="K841" s="342"/>
      <c r="L841" s="343"/>
      <c r="M841" s="344"/>
      <c r="N841" s="345"/>
      <c r="O841" s="346"/>
      <c r="P841" s="347"/>
      <c r="Q841" s="345"/>
      <c r="R841" s="344"/>
      <c r="S841" s="348">
        <v>20</v>
      </c>
      <c r="T841" s="102">
        <f>SUM(Finance[[#This Row],[Samer]:[Margins]])</f>
        <v>20</v>
      </c>
      <c r="U841" s="103">
        <f>ABS(Finance[[#This Row],[Total (EGP)]])</f>
        <v>20</v>
      </c>
      <c r="V841" s="349"/>
    </row>
    <row r="842" spans="2:22" ht="18" customHeight="1" x14ac:dyDescent="0.3">
      <c r="B842" s="7">
        <v>45965</v>
      </c>
      <c r="C842" s="169">
        <f>YEAR(Finance[[#This Row],[Date]])</f>
        <v>2025</v>
      </c>
      <c r="D842" s="285">
        <f>MONTH(Finance[[#This Row],[Date]])</f>
        <v>11</v>
      </c>
      <c r="E842" s="6" t="s">
        <v>262</v>
      </c>
      <c r="F842" s="6" t="s">
        <v>37</v>
      </c>
      <c r="G842" s="6" t="s">
        <v>36</v>
      </c>
      <c r="H842" s="134" t="s">
        <v>206</v>
      </c>
      <c r="I842" s="135" t="s">
        <v>175</v>
      </c>
      <c r="J842" s="136">
        <v>0</v>
      </c>
      <c r="K842" s="31"/>
      <c r="L842" s="132">
        <v>5000</v>
      </c>
      <c r="M842" s="96"/>
      <c r="N842" s="96"/>
      <c r="O842" s="75"/>
      <c r="P842" s="75"/>
      <c r="Q842" s="96"/>
      <c r="R842" s="96"/>
      <c r="S842" s="286">
        <v>-5000</v>
      </c>
      <c r="T842" s="102">
        <f>SUM(Finance[[#This Row],[Samer]:[Margins]])</f>
        <v>0</v>
      </c>
      <c r="U842" s="103">
        <f>ABS(Finance[[#This Row],[Total (EGP)]])</f>
        <v>0</v>
      </c>
      <c r="V842" s="287"/>
    </row>
    <row r="843" spans="2:22" ht="18" customHeight="1" x14ac:dyDescent="0.3">
      <c r="B843" s="317">
        <v>45969</v>
      </c>
      <c r="C843" s="169">
        <f>YEAR(Finance[[#This Row],[Date]])</f>
        <v>2025</v>
      </c>
      <c r="D843" s="318">
        <f>MONTH(Finance[[#This Row],[Date]])</f>
        <v>11</v>
      </c>
      <c r="E843" s="6" t="s">
        <v>866</v>
      </c>
      <c r="F843" s="39" t="s">
        <v>29</v>
      </c>
      <c r="G843" s="39" t="s">
        <v>108</v>
      </c>
      <c r="H843" s="130" t="s">
        <v>182</v>
      </c>
      <c r="I843" s="114" t="s">
        <v>175</v>
      </c>
      <c r="J843" s="131">
        <v>4</v>
      </c>
      <c r="K843" s="323"/>
      <c r="L843" s="324">
        <v>1000</v>
      </c>
      <c r="M843" s="325"/>
      <c r="N843" s="325"/>
      <c r="O843" s="326"/>
      <c r="P843" s="326"/>
      <c r="Q843" s="325"/>
      <c r="R843" s="325"/>
      <c r="S843" s="327"/>
      <c r="T843" s="102">
        <f>SUM(Finance[[#This Row],[Samer]:[Margins]])</f>
        <v>1000</v>
      </c>
      <c r="U843" s="103">
        <f>ABS(Finance[[#This Row],[Total (EGP)]])</f>
        <v>1000</v>
      </c>
      <c r="V843" s="328"/>
    </row>
    <row r="844" spans="2:22" ht="18" customHeight="1" x14ac:dyDescent="0.3">
      <c r="B844" s="288">
        <v>45969</v>
      </c>
      <c r="C844" s="169">
        <f>YEAR(Finance[[#This Row],[Date]])</f>
        <v>2025</v>
      </c>
      <c r="D844" s="289">
        <f>MONTH(Finance[[#This Row],[Date]])</f>
        <v>11</v>
      </c>
      <c r="E844" s="6" t="s">
        <v>853</v>
      </c>
      <c r="F844" s="6" t="s">
        <v>29</v>
      </c>
      <c r="G844" s="6" t="s">
        <v>108</v>
      </c>
      <c r="H844" s="134" t="s">
        <v>182</v>
      </c>
      <c r="I844" s="135" t="s">
        <v>175</v>
      </c>
      <c r="J844" s="136">
        <v>1</v>
      </c>
      <c r="K844" s="31"/>
      <c r="L844" s="132">
        <v>599</v>
      </c>
      <c r="M844" s="96"/>
      <c r="N844" s="96"/>
      <c r="O844" s="75"/>
      <c r="P844" s="75"/>
      <c r="Q844" s="96"/>
      <c r="R844" s="96"/>
      <c r="S844" s="286"/>
      <c r="T844" s="102">
        <f>SUM(Finance[[#This Row],[Samer]:[Margins]])</f>
        <v>599</v>
      </c>
      <c r="U844" s="103">
        <f>ABS(Finance[[#This Row],[Total (EGP)]])</f>
        <v>599</v>
      </c>
      <c r="V844" s="287"/>
    </row>
    <row r="845" spans="2:22" ht="18" customHeight="1" x14ac:dyDescent="0.3">
      <c r="B845" s="288">
        <v>45970</v>
      </c>
      <c r="C845" s="169">
        <f>YEAR(Finance[[#This Row],[Date]])</f>
        <v>2025</v>
      </c>
      <c r="D845" s="289">
        <f>MONTH(Finance[[#This Row],[Date]])</f>
        <v>11</v>
      </c>
      <c r="E845" s="6" t="s">
        <v>854</v>
      </c>
      <c r="F845" s="39" t="s">
        <v>29</v>
      </c>
      <c r="G845" s="6" t="s">
        <v>108</v>
      </c>
      <c r="H845" s="48" t="s">
        <v>182</v>
      </c>
      <c r="I845" s="135" t="s">
        <v>175</v>
      </c>
      <c r="J845" s="136">
        <v>1</v>
      </c>
      <c r="K845" s="31"/>
      <c r="L845" s="132">
        <f>37.45*47.38*1.05</f>
        <v>1863.1000500000005</v>
      </c>
      <c r="M845" s="325"/>
      <c r="N845" s="325"/>
      <c r="O845" s="326"/>
      <c r="P845" s="326"/>
      <c r="Q845" s="325"/>
      <c r="R845" s="325"/>
      <c r="S845" s="327"/>
      <c r="T845" s="102">
        <f>SUM(Finance[[#This Row],[Samer]:[Margins]])</f>
        <v>1863.1000500000005</v>
      </c>
      <c r="U845" s="103">
        <f>ABS(Finance[[#This Row],[Total (EGP)]])</f>
        <v>1863.1000500000005</v>
      </c>
      <c r="V845" s="328"/>
    </row>
    <row r="846" spans="2:22" ht="18" customHeight="1" x14ac:dyDescent="0.3">
      <c r="B846" s="288">
        <v>45970</v>
      </c>
      <c r="C846" s="169">
        <f>YEAR(Finance[[#This Row],[Date]])</f>
        <v>2025</v>
      </c>
      <c r="D846" s="289">
        <f>MONTH(Finance[[#This Row],[Date]])</f>
        <v>11</v>
      </c>
      <c r="E846" s="39" t="s">
        <v>674</v>
      </c>
      <c r="F846" s="39" t="s">
        <v>29</v>
      </c>
      <c r="G846" s="39" t="s">
        <v>108</v>
      </c>
      <c r="H846" s="48" t="s">
        <v>182</v>
      </c>
      <c r="I846" s="114" t="s">
        <v>175</v>
      </c>
      <c r="J846" s="250">
        <v>3</v>
      </c>
      <c r="K846" s="251"/>
      <c r="L846" s="138">
        <f>20*47.38*1.1</f>
        <v>1042.3600000000001</v>
      </c>
      <c r="M846" s="325"/>
      <c r="N846" s="325"/>
      <c r="O846" s="326"/>
      <c r="P846" s="326"/>
      <c r="Q846" s="325"/>
      <c r="R846" s="325"/>
      <c r="S846" s="327"/>
      <c r="T846" s="102">
        <f>SUM(Finance[[#This Row],[Samer]:[Margins]])</f>
        <v>1042.3600000000001</v>
      </c>
      <c r="U846" s="103">
        <f>ABS(Finance[[#This Row],[Total (EGP)]])</f>
        <v>1042.3600000000001</v>
      </c>
      <c r="V846" s="328"/>
    </row>
    <row r="847" spans="2:22" ht="18" customHeight="1" x14ac:dyDescent="0.3">
      <c r="B847" s="7">
        <v>45971</v>
      </c>
      <c r="C847" s="169">
        <f>YEAR(Finance[[#This Row],[Date]])</f>
        <v>2025</v>
      </c>
      <c r="D847" s="289">
        <f>MONTH(Finance[[#This Row],[Date]])</f>
        <v>11</v>
      </c>
      <c r="E847" s="39" t="s">
        <v>855</v>
      </c>
      <c r="F847" s="39" t="s">
        <v>30</v>
      </c>
      <c r="G847" s="6" t="s">
        <v>127</v>
      </c>
      <c r="H847" s="48" t="s">
        <v>176</v>
      </c>
      <c r="I847" s="135" t="s">
        <v>184</v>
      </c>
      <c r="J847" s="136">
        <v>4</v>
      </c>
      <c r="K847" s="136"/>
      <c r="L847" s="132">
        <f>78.28*47.28*1.25</f>
        <v>4626.348</v>
      </c>
      <c r="M847" s="325"/>
      <c r="N847" s="325"/>
      <c r="O847" s="326"/>
      <c r="P847" s="326"/>
      <c r="Q847" s="325"/>
      <c r="R847" s="325"/>
      <c r="S847" s="327"/>
      <c r="T847" s="102">
        <f>SUM(Finance[[#This Row],[Samer]:[Margins]])</f>
        <v>4626.348</v>
      </c>
      <c r="U847" s="103">
        <f>ABS(Finance[[#This Row],[Total (EGP)]])</f>
        <v>4626.348</v>
      </c>
      <c r="V847" s="328"/>
    </row>
    <row r="848" spans="2:22" ht="18" customHeight="1" x14ac:dyDescent="0.3">
      <c r="B848" s="288">
        <v>45971</v>
      </c>
      <c r="C848" s="169">
        <f>YEAR(Finance[[#This Row],[Date]])</f>
        <v>2025</v>
      </c>
      <c r="D848" s="289">
        <f>MONTH(Finance[[#This Row],[Date]])</f>
        <v>11</v>
      </c>
      <c r="E848" s="6" t="s">
        <v>856</v>
      </c>
      <c r="F848" s="39" t="s">
        <v>30</v>
      </c>
      <c r="G848" s="39" t="s">
        <v>127</v>
      </c>
      <c r="H848" s="48" t="s">
        <v>176</v>
      </c>
      <c r="I848" s="135" t="s">
        <v>185</v>
      </c>
      <c r="J848" s="136">
        <v>4</v>
      </c>
      <c r="K848" s="31"/>
      <c r="L848" s="132">
        <f>153*47.28*1.25</f>
        <v>9042.2999999999993</v>
      </c>
      <c r="M848" s="325"/>
      <c r="N848" s="325"/>
      <c r="O848" s="326"/>
      <c r="P848" s="326"/>
      <c r="Q848" s="325"/>
      <c r="R848" s="325"/>
      <c r="S848" s="327"/>
      <c r="T848" s="102">
        <f>SUM(Finance[[#This Row],[Samer]:[Margins]])</f>
        <v>9042.2999999999993</v>
      </c>
      <c r="U848" s="103">
        <f>ABS(Finance[[#This Row],[Total (EGP)]])</f>
        <v>9042.2999999999993</v>
      </c>
      <c r="V848" s="328"/>
    </row>
    <row r="849" spans="2:22" ht="18" customHeight="1" x14ac:dyDescent="0.3">
      <c r="B849" s="317">
        <v>45971</v>
      </c>
      <c r="C849" s="169">
        <f>YEAR(Finance[[#This Row],[Date]])</f>
        <v>2025</v>
      </c>
      <c r="D849" s="318">
        <f>MONTH(Finance[[#This Row],[Date]])</f>
        <v>11</v>
      </c>
      <c r="E849" s="39" t="s">
        <v>867</v>
      </c>
      <c r="F849" s="39" t="s">
        <v>29</v>
      </c>
      <c r="G849" s="39" t="s">
        <v>108</v>
      </c>
      <c r="H849" s="48" t="s">
        <v>190</v>
      </c>
      <c r="I849" s="114" t="s">
        <v>175</v>
      </c>
      <c r="J849" s="322"/>
      <c r="K849" s="323"/>
      <c r="L849" s="324">
        <f>240*47.28*1.05</f>
        <v>11914.560000000001</v>
      </c>
      <c r="M849" s="325"/>
      <c r="N849" s="325"/>
      <c r="O849" s="326"/>
      <c r="P849" s="326"/>
      <c r="Q849" s="325"/>
      <c r="R849" s="325"/>
      <c r="S849" s="327"/>
      <c r="T849" s="102">
        <f>SUM(Finance[[#This Row],[Samer]:[Margins]])</f>
        <v>11914.560000000001</v>
      </c>
      <c r="U849" s="103">
        <f>ABS(Finance[[#This Row],[Total (EGP)]])</f>
        <v>11914.560000000001</v>
      </c>
      <c r="V849" s="328"/>
    </row>
    <row r="850" spans="2:22" ht="18" customHeight="1" x14ac:dyDescent="0.3">
      <c r="B850" s="317">
        <v>45971</v>
      </c>
      <c r="C850" s="169">
        <f>YEAR(Finance[[#This Row],[Date]])</f>
        <v>2025</v>
      </c>
      <c r="D850" s="318">
        <f>MONTH(Finance[[#This Row],[Date]])</f>
        <v>11</v>
      </c>
      <c r="E850" s="319" t="s">
        <v>868</v>
      </c>
      <c r="F850" s="39" t="s">
        <v>29</v>
      </c>
      <c r="G850" s="39" t="s">
        <v>108</v>
      </c>
      <c r="H850" s="48" t="s">
        <v>182</v>
      </c>
      <c r="I850" s="114" t="s">
        <v>175</v>
      </c>
      <c r="J850" s="258">
        <v>4</v>
      </c>
      <c r="K850" s="323"/>
      <c r="L850" s="324">
        <f>67.9*47.28*1.05</f>
        <v>3370.8276000000005</v>
      </c>
      <c r="M850" s="325"/>
      <c r="N850" s="325"/>
      <c r="O850" s="326"/>
      <c r="P850" s="326"/>
      <c r="Q850" s="325"/>
      <c r="R850" s="325"/>
      <c r="S850" s="327"/>
      <c r="T850" s="102">
        <f>SUM(Finance[[#This Row],[Samer]:[Margins]])</f>
        <v>3370.8276000000005</v>
      </c>
      <c r="U850" s="103">
        <f>ABS(Finance[[#This Row],[Total (EGP)]])</f>
        <v>3370.8276000000005</v>
      </c>
      <c r="V850" s="328"/>
    </row>
    <row r="851" spans="2:22" ht="18" customHeight="1" x14ac:dyDescent="0.3">
      <c r="B851" s="317">
        <v>45971</v>
      </c>
      <c r="C851" s="169">
        <f>YEAR(Finance[[#This Row],[Date]])</f>
        <v>2025</v>
      </c>
      <c r="D851" s="318">
        <f>MONTH(Finance[[#This Row],[Date]])</f>
        <v>11</v>
      </c>
      <c r="E851" s="39" t="s">
        <v>242</v>
      </c>
      <c r="F851" s="39" t="s">
        <v>29</v>
      </c>
      <c r="G851" s="39" t="s">
        <v>112</v>
      </c>
      <c r="H851" s="48" t="s">
        <v>618</v>
      </c>
      <c r="I851" s="114" t="s">
        <v>175</v>
      </c>
      <c r="J851" s="225">
        <v>3</v>
      </c>
      <c r="K851" s="323"/>
      <c r="L851" s="324"/>
      <c r="M851" s="325"/>
      <c r="N851" s="325"/>
      <c r="O851" s="326"/>
      <c r="P851" s="326"/>
      <c r="Q851" s="325"/>
      <c r="R851" s="325">
        <v>1402.2</v>
      </c>
      <c r="S851" s="327"/>
      <c r="T851" s="102">
        <f>SUM(Finance[[#This Row],[Samer]:[Margins]])</f>
        <v>1402.2</v>
      </c>
      <c r="U851" s="103">
        <f>ABS(Finance[[#This Row],[Total (EGP)]])</f>
        <v>1402.2</v>
      </c>
      <c r="V851" s="328"/>
    </row>
    <row r="852" spans="2:22" ht="18" customHeight="1" x14ac:dyDescent="0.3">
      <c r="B852" s="288">
        <v>45972</v>
      </c>
      <c r="C852" s="169">
        <f>YEAR(Finance[[#This Row],[Date]])</f>
        <v>2025</v>
      </c>
      <c r="D852" s="289">
        <f>MONTH(Finance[[#This Row],[Date]])</f>
        <v>11</v>
      </c>
      <c r="E852" s="19" t="s">
        <v>857</v>
      </c>
      <c r="F852" s="6" t="s">
        <v>29</v>
      </c>
      <c r="G852" s="6" t="s">
        <v>108</v>
      </c>
      <c r="H852" s="134" t="s">
        <v>182</v>
      </c>
      <c r="I852" s="114" t="s">
        <v>175</v>
      </c>
      <c r="J852" s="136">
        <v>1</v>
      </c>
      <c r="K852" s="31"/>
      <c r="L852" s="132">
        <f>108.53*47.28*1.05</f>
        <v>5387.8633200000013</v>
      </c>
      <c r="M852" s="325"/>
      <c r="N852" s="325"/>
      <c r="O852" s="326"/>
      <c r="P852" s="326"/>
      <c r="Q852" s="325"/>
      <c r="R852" s="325"/>
      <c r="S852" s="327"/>
      <c r="T852" s="102">
        <f>SUM(Finance[[#This Row],[Samer]:[Margins]])</f>
        <v>5387.8633200000013</v>
      </c>
      <c r="U852" s="103">
        <f>ABS(Finance[[#This Row],[Total (EGP)]])</f>
        <v>5387.8633200000013</v>
      </c>
      <c r="V852" s="328"/>
    </row>
    <row r="853" spans="2:22" ht="18" customHeight="1" x14ac:dyDescent="0.3">
      <c r="B853" s="288">
        <v>45972</v>
      </c>
      <c r="C853" s="169">
        <f>YEAR(Finance[[#This Row],[Date]])</f>
        <v>2025</v>
      </c>
      <c r="D853" s="289">
        <f>MONTH(Finance[[#This Row],[Date]])</f>
        <v>11</v>
      </c>
      <c r="E853" s="39" t="s">
        <v>858</v>
      </c>
      <c r="F853" s="39" t="s">
        <v>29</v>
      </c>
      <c r="G853" s="39" t="s">
        <v>108</v>
      </c>
      <c r="H853" s="48" t="s">
        <v>182</v>
      </c>
      <c r="I853" s="114" t="s">
        <v>175</v>
      </c>
      <c r="J853" s="261">
        <v>4</v>
      </c>
      <c r="K853" s="262"/>
      <c r="L853" s="263">
        <v>699.99</v>
      </c>
      <c r="M853" s="325"/>
      <c r="N853" s="325"/>
      <c r="O853" s="326"/>
      <c r="P853" s="326"/>
      <c r="Q853" s="325"/>
      <c r="R853" s="325"/>
      <c r="S853" s="327"/>
      <c r="T853" s="102">
        <f>SUM(Finance[[#This Row],[Samer]:[Margins]])</f>
        <v>699.99</v>
      </c>
      <c r="U853" s="103">
        <f>ABS(Finance[[#This Row],[Total (EGP)]])</f>
        <v>699.99</v>
      </c>
      <c r="V853" s="328"/>
    </row>
    <row r="854" spans="2:22" ht="18" customHeight="1" x14ac:dyDescent="0.3">
      <c r="B854" s="288">
        <v>45972</v>
      </c>
      <c r="C854" s="169">
        <f>YEAR(Finance[[#This Row],[Date]])</f>
        <v>2025</v>
      </c>
      <c r="D854" s="289">
        <f>MONTH(Finance[[#This Row],[Date]])</f>
        <v>11</v>
      </c>
      <c r="E854" s="334" t="s">
        <v>859</v>
      </c>
      <c r="F854" s="329" t="s">
        <v>30</v>
      </c>
      <c r="G854" s="329" t="s">
        <v>88</v>
      </c>
      <c r="H854" s="330" t="s">
        <v>210</v>
      </c>
      <c r="I854" s="135" t="s">
        <v>177</v>
      </c>
      <c r="J854" s="136">
        <v>4</v>
      </c>
      <c r="K854" s="262"/>
      <c r="L854" s="263">
        <f>5*975</f>
        <v>4875</v>
      </c>
      <c r="M854" s="325"/>
      <c r="N854" s="325"/>
      <c r="O854" s="326"/>
      <c r="P854" s="326"/>
      <c r="Q854" s="325"/>
      <c r="R854" s="325"/>
      <c r="S854" s="327"/>
      <c r="T854" s="102">
        <f>SUM(Finance[[#This Row],[Samer]:[Margins]])</f>
        <v>4875</v>
      </c>
      <c r="U854" s="103">
        <f>ABS(Finance[[#This Row],[Total (EGP)]])</f>
        <v>4875</v>
      </c>
      <c r="V854" s="328"/>
    </row>
    <row r="855" spans="2:22" ht="18" customHeight="1" x14ac:dyDescent="0.3">
      <c r="B855" s="288">
        <v>45972</v>
      </c>
      <c r="C855" s="169">
        <f>YEAR(Finance[[#This Row],[Date]])</f>
        <v>2025</v>
      </c>
      <c r="D855" s="289">
        <f>MONTH(Finance[[#This Row],[Date]])</f>
        <v>11</v>
      </c>
      <c r="E855" s="334" t="s">
        <v>860</v>
      </c>
      <c r="F855" s="334" t="s">
        <v>29</v>
      </c>
      <c r="G855" s="334" t="s">
        <v>108</v>
      </c>
      <c r="H855" s="336" t="s">
        <v>182</v>
      </c>
      <c r="I855" s="114" t="s">
        <v>175</v>
      </c>
      <c r="J855" s="258">
        <v>4</v>
      </c>
      <c r="K855" s="264"/>
      <c r="L855" s="265">
        <f>72*47.28*1.05</f>
        <v>3574.3679999999999</v>
      </c>
      <c r="M855" s="325"/>
      <c r="N855" s="325"/>
      <c r="O855" s="326"/>
      <c r="P855" s="326"/>
      <c r="Q855" s="325"/>
      <c r="R855" s="325"/>
      <c r="S855" s="327"/>
      <c r="T855" s="102">
        <f>SUM(Finance[[#This Row],[Samer]:[Margins]])</f>
        <v>3574.3679999999999</v>
      </c>
      <c r="U855" s="103">
        <f>ABS(Finance[[#This Row],[Total (EGP)]])</f>
        <v>3574.3679999999999</v>
      </c>
      <c r="V855" s="328"/>
    </row>
    <row r="856" spans="2:22" ht="18" customHeight="1" x14ac:dyDescent="0.3">
      <c r="B856" s="288">
        <v>45972</v>
      </c>
      <c r="C856" s="169">
        <f>YEAR(Finance[[#This Row],[Date]])</f>
        <v>2025</v>
      </c>
      <c r="D856" s="289">
        <f>MONTH(Finance[[#This Row],[Date]])</f>
        <v>11</v>
      </c>
      <c r="E856" s="19" t="s">
        <v>861</v>
      </c>
      <c r="F856" s="6" t="s">
        <v>29</v>
      </c>
      <c r="G856" s="6" t="s">
        <v>108</v>
      </c>
      <c r="H856" s="134" t="s">
        <v>182</v>
      </c>
      <c r="I856" s="114" t="s">
        <v>175</v>
      </c>
      <c r="J856" s="136">
        <v>1</v>
      </c>
      <c r="K856" s="31"/>
      <c r="L856" s="132">
        <f>342.9*47.28*1.05</f>
        <v>17022.927599999999</v>
      </c>
      <c r="M856" s="325"/>
      <c r="N856" s="325"/>
      <c r="O856" s="326"/>
      <c r="P856" s="326"/>
      <c r="Q856" s="325"/>
      <c r="R856" s="325"/>
      <c r="S856" s="327"/>
      <c r="T856" s="102">
        <f>SUM(Finance[[#This Row],[Samer]:[Margins]])</f>
        <v>17022.927599999999</v>
      </c>
      <c r="U856" s="103">
        <f>ABS(Finance[[#This Row],[Total (EGP)]])</f>
        <v>17022.927599999999</v>
      </c>
      <c r="V856" s="328"/>
    </row>
    <row r="857" spans="2:22" ht="18" customHeight="1" x14ac:dyDescent="0.3">
      <c r="B857" s="317">
        <v>45972</v>
      </c>
      <c r="C857" s="169">
        <f>YEAR(Finance[[#This Row],[Date]])</f>
        <v>2025</v>
      </c>
      <c r="D857" s="318">
        <f>MONTH(Finance[[#This Row],[Date]])</f>
        <v>11</v>
      </c>
      <c r="E857" s="6" t="s">
        <v>962</v>
      </c>
      <c r="F857" s="319" t="s">
        <v>37</v>
      </c>
      <c r="G857" s="319" t="s">
        <v>36</v>
      </c>
      <c r="H857" s="320" t="s">
        <v>181</v>
      </c>
      <c r="I857" s="321" t="s">
        <v>175</v>
      </c>
      <c r="J857" s="322">
        <v>0</v>
      </c>
      <c r="K857" s="323"/>
      <c r="L857" s="324">
        <v>5000</v>
      </c>
      <c r="M857" s="325"/>
      <c r="N857" s="325"/>
      <c r="O857" s="326"/>
      <c r="P857" s="326"/>
      <c r="Q857" s="325"/>
      <c r="R857" s="325">
        <v>-5000</v>
      </c>
      <c r="S857" s="327"/>
      <c r="T857" s="102">
        <f>SUM(Finance[[#This Row],[Samer]:[Margins]])</f>
        <v>0</v>
      </c>
      <c r="U857" s="103">
        <f>ABS(Finance[[#This Row],[Total (EGP)]])</f>
        <v>0</v>
      </c>
      <c r="V857" s="328"/>
    </row>
    <row r="858" spans="2:22" ht="18" customHeight="1" x14ac:dyDescent="0.3">
      <c r="B858" s="317">
        <v>45972</v>
      </c>
      <c r="C858" s="169">
        <f>YEAR(Finance[[#This Row],[Date]])</f>
        <v>2025</v>
      </c>
      <c r="D858" s="318">
        <f>MONTH(Finance[[#This Row],[Date]])</f>
        <v>11</v>
      </c>
      <c r="E858" s="290" t="s">
        <v>732</v>
      </c>
      <c r="F858" s="290" t="s">
        <v>27</v>
      </c>
      <c r="G858" s="290" t="s">
        <v>50</v>
      </c>
      <c r="H858" s="291" t="s">
        <v>733</v>
      </c>
      <c r="I858" s="292" t="s">
        <v>175</v>
      </c>
      <c r="J858" s="293">
        <v>3</v>
      </c>
      <c r="K858" s="323"/>
      <c r="L858" s="324">
        <v>39500</v>
      </c>
      <c r="M858" s="325"/>
      <c r="N858" s="325"/>
      <c r="O858" s="326"/>
      <c r="P858" s="326"/>
      <c r="Q858" s="325"/>
      <c r="R858" s="325"/>
      <c r="S858" s="327"/>
      <c r="T858" s="102">
        <f>SUM(Finance[[#This Row],[Samer]:[Margins]])</f>
        <v>39500</v>
      </c>
      <c r="U858" s="103">
        <f>ABS(Finance[[#This Row],[Total (EGP)]])</f>
        <v>39500</v>
      </c>
      <c r="V858" s="338"/>
    </row>
    <row r="859" spans="2:22" ht="18" customHeight="1" x14ac:dyDescent="0.3">
      <c r="B859" s="317">
        <v>45972</v>
      </c>
      <c r="C859" s="169">
        <f>YEAR(Finance[[#This Row],[Date]])</f>
        <v>2025</v>
      </c>
      <c r="D859" s="318">
        <f>MONTH(Finance[[#This Row],[Date]])</f>
        <v>11</v>
      </c>
      <c r="E859" s="329" t="s">
        <v>836</v>
      </c>
      <c r="F859" s="329" t="s">
        <v>73</v>
      </c>
      <c r="G859" s="329" t="s">
        <v>75</v>
      </c>
      <c r="H859" s="330" t="s">
        <v>234</v>
      </c>
      <c r="I859" s="135" t="s">
        <v>177</v>
      </c>
      <c r="J859" s="136">
        <v>4</v>
      </c>
      <c r="K859" s="323"/>
      <c r="L859" s="324"/>
      <c r="M859" s="325"/>
      <c r="N859" s="325"/>
      <c r="O859" s="326"/>
      <c r="P859" s="326"/>
      <c r="Q859" s="325"/>
      <c r="R859" s="325">
        <v>-14.18</v>
      </c>
      <c r="S859" s="327"/>
      <c r="T859" s="102">
        <f>SUM(Finance[[#This Row],[Samer]:[Margins]])</f>
        <v>-14.18</v>
      </c>
      <c r="U859" s="103">
        <f>ABS(Finance[[#This Row],[Total (EGP)]])</f>
        <v>14.18</v>
      </c>
      <c r="V859" s="325"/>
    </row>
    <row r="860" spans="2:22" ht="18" customHeight="1" x14ac:dyDescent="0.3">
      <c r="B860" s="317">
        <v>45972</v>
      </c>
      <c r="C860" s="169">
        <f>YEAR(Finance[[#This Row],[Date]])</f>
        <v>2025</v>
      </c>
      <c r="D860" s="318">
        <f>MONTH(Finance[[#This Row],[Date]])</f>
        <v>11</v>
      </c>
      <c r="E860" s="329" t="s">
        <v>882</v>
      </c>
      <c r="F860" s="329" t="s">
        <v>73</v>
      </c>
      <c r="G860" s="329" t="s">
        <v>233</v>
      </c>
      <c r="H860" s="330" t="s">
        <v>234</v>
      </c>
      <c r="I860" s="135" t="s">
        <v>235</v>
      </c>
      <c r="J860" s="136">
        <v>1</v>
      </c>
      <c r="K860" s="323"/>
      <c r="L860" s="324"/>
      <c r="M860" s="325"/>
      <c r="N860" s="325"/>
      <c r="O860" s="326"/>
      <c r="P860" s="326"/>
      <c r="Q860" s="325"/>
      <c r="R860" s="325">
        <v>-199985.82</v>
      </c>
      <c r="S860" s="327"/>
      <c r="T860" s="102">
        <f>SUM(Finance[[#This Row],[Samer]:[Margins]])</f>
        <v>-199985.82</v>
      </c>
      <c r="U860" s="103">
        <f>ABS(Finance[[#This Row],[Total (EGP)]])</f>
        <v>199985.82</v>
      </c>
      <c r="V860" s="325"/>
    </row>
    <row r="861" spans="2:22" ht="18" customHeight="1" x14ac:dyDescent="0.3">
      <c r="B861" s="317">
        <v>45972</v>
      </c>
      <c r="C861" s="169">
        <f>YEAR(Finance[[#This Row],[Date]])</f>
        <v>2025</v>
      </c>
      <c r="D861" s="318">
        <f>MONTH(Finance[[#This Row],[Date]])</f>
        <v>11</v>
      </c>
      <c r="E861" s="6" t="s">
        <v>757</v>
      </c>
      <c r="F861" s="6" t="s">
        <v>29</v>
      </c>
      <c r="G861" s="6" t="s">
        <v>95</v>
      </c>
      <c r="H861" s="134" t="s">
        <v>194</v>
      </c>
      <c r="I861" s="114" t="s">
        <v>235</v>
      </c>
      <c r="J861" s="136">
        <v>3</v>
      </c>
      <c r="K861" s="323"/>
      <c r="L861" s="324"/>
      <c r="M861" s="325"/>
      <c r="N861" s="325"/>
      <c r="O861" s="326"/>
      <c r="P861" s="326"/>
      <c r="Q861" s="325"/>
      <c r="R861" s="325">
        <v>25</v>
      </c>
      <c r="S861" s="327"/>
      <c r="T861" s="102">
        <f>SUM(Finance[[#This Row],[Samer]:[Margins]])</f>
        <v>25</v>
      </c>
      <c r="U861" s="103">
        <f>ABS(Finance[[#This Row],[Total (EGP)]])</f>
        <v>25</v>
      </c>
      <c r="V861" s="338"/>
    </row>
    <row r="862" spans="2:22" ht="18" customHeight="1" x14ac:dyDescent="0.3">
      <c r="B862" s="317">
        <v>45973</v>
      </c>
      <c r="C862" s="169">
        <f>YEAR(Finance[[#This Row],[Date]])</f>
        <v>2025</v>
      </c>
      <c r="D862" s="318">
        <f>MONTH(Finance[[#This Row],[Date]])</f>
        <v>11</v>
      </c>
      <c r="E862" s="6" t="s">
        <v>924</v>
      </c>
      <c r="F862" s="39" t="s">
        <v>84</v>
      </c>
      <c r="G862" s="39" t="s">
        <v>144</v>
      </c>
      <c r="H862" s="48" t="s">
        <v>144</v>
      </c>
      <c r="I862" s="114" t="s">
        <v>175</v>
      </c>
      <c r="J862" s="131">
        <v>3</v>
      </c>
      <c r="K862" s="294"/>
      <c r="L862" s="295"/>
      <c r="M862" s="296"/>
      <c r="N862" s="296"/>
      <c r="O862" s="297"/>
      <c r="P862" s="297"/>
      <c r="Q862" s="296"/>
      <c r="R862" s="296">
        <v>100000</v>
      </c>
      <c r="S862" s="327"/>
      <c r="T862" s="102">
        <f>SUM(Finance[[#This Row],[Samer]:[Margins]])</f>
        <v>100000</v>
      </c>
      <c r="U862" s="103">
        <f>ABS(Finance[[#This Row],[Total (EGP)]])</f>
        <v>100000</v>
      </c>
      <c r="V862" s="328"/>
    </row>
    <row r="863" spans="2:22" ht="18" customHeight="1" x14ac:dyDescent="0.3">
      <c r="B863" s="317">
        <v>45973</v>
      </c>
      <c r="C863" s="169">
        <f>YEAR(Finance[[#This Row],[Date]])</f>
        <v>2025</v>
      </c>
      <c r="D863" s="318">
        <f>MONTH(Finance[[#This Row],[Date]])</f>
        <v>11</v>
      </c>
      <c r="E863" s="6" t="s">
        <v>746</v>
      </c>
      <c r="F863" s="39" t="s">
        <v>29</v>
      </c>
      <c r="G863" s="48" t="s">
        <v>95</v>
      </c>
      <c r="H863" s="48" t="s">
        <v>194</v>
      </c>
      <c r="I863" s="114" t="s">
        <v>175</v>
      </c>
      <c r="J863" s="131">
        <v>3</v>
      </c>
      <c r="K863" s="294"/>
      <c r="L863" s="295"/>
      <c r="M863" s="296"/>
      <c r="N863" s="296"/>
      <c r="O863" s="297"/>
      <c r="P863" s="297"/>
      <c r="Q863" s="296"/>
      <c r="R863" s="296">
        <f>100000*0.00371</f>
        <v>371</v>
      </c>
      <c r="S863" s="327"/>
      <c r="T863" s="102">
        <f>SUM(Finance[[#This Row],[Samer]:[Margins]])</f>
        <v>371</v>
      </c>
      <c r="U863" s="103">
        <f>ABS(Finance[[#This Row],[Total (EGP)]])</f>
        <v>371</v>
      </c>
      <c r="V863" s="328"/>
    </row>
    <row r="864" spans="2:22" ht="18" customHeight="1" x14ac:dyDescent="0.3">
      <c r="B864" s="317">
        <v>45973</v>
      </c>
      <c r="C864" s="169">
        <f>YEAR(Finance[[#This Row],[Date]])</f>
        <v>2025</v>
      </c>
      <c r="D864" s="318">
        <f>MONTH(Finance[[#This Row],[Date]])</f>
        <v>11</v>
      </c>
      <c r="E864" s="6" t="s">
        <v>193</v>
      </c>
      <c r="F864" s="6" t="s">
        <v>29</v>
      </c>
      <c r="G864" s="6" t="s">
        <v>95</v>
      </c>
      <c r="H864" s="134" t="s">
        <v>194</v>
      </c>
      <c r="I864" s="135" t="s">
        <v>175</v>
      </c>
      <c r="J864" s="136">
        <v>3</v>
      </c>
      <c r="K864" s="323"/>
      <c r="L864" s="324"/>
      <c r="M864" s="325"/>
      <c r="N864" s="325"/>
      <c r="O864" s="326"/>
      <c r="P864" s="326"/>
      <c r="Q864" s="325"/>
      <c r="R864" s="325">
        <v>150</v>
      </c>
      <c r="S864" s="327"/>
      <c r="T864" s="102">
        <f>SUM(Finance[[#This Row],[Samer]:[Margins]])</f>
        <v>150</v>
      </c>
      <c r="U864" s="103">
        <f>ABS(Finance[[#This Row],[Total (EGP)]])</f>
        <v>150</v>
      </c>
      <c r="V864" s="338"/>
    </row>
    <row r="865" spans="2:24" ht="18" customHeight="1" x14ac:dyDescent="0.3">
      <c r="B865" s="288">
        <v>45974</v>
      </c>
      <c r="C865" s="169">
        <f>YEAR(Finance[[#This Row],[Date]])</f>
        <v>2025</v>
      </c>
      <c r="D865" s="289">
        <f>MONTH(Finance[[#This Row],[Date]])</f>
        <v>11</v>
      </c>
      <c r="E865" s="6" t="s">
        <v>862</v>
      </c>
      <c r="F865" s="6" t="s">
        <v>30</v>
      </c>
      <c r="G865" s="6" t="s">
        <v>127</v>
      </c>
      <c r="H865" s="134" t="s">
        <v>190</v>
      </c>
      <c r="I865" s="135" t="s">
        <v>175</v>
      </c>
      <c r="J865" s="131">
        <v>4</v>
      </c>
      <c r="K865" s="31"/>
      <c r="L865" s="132">
        <f>18.4*54.92*1.25</f>
        <v>1263.1599999999999</v>
      </c>
      <c r="M865" s="325"/>
      <c r="N865" s="325"/>
      <c r="O865" s="326"/>
      <c r="P865" s="326"/>
      <c r="Q865" s="325"/>
      <c r="R865" s="325"/>
      <c r="S865" s="327"/>
      <c r="T865" s="102">
        <f>SUM(Finance[[#This Row],[Samer]:[Margins]])</f>
        <v>1263.1599999999999</v>
      </c>
      <c r="U865" s="103">
        <f>ABS(Finance[[#This Row],[Total (EGP)]])</f>
        <v>1263.1599999999999</v>
      </c>
      <c r="V865" s="338"/>
    </row>
    <row r="866" spans="2:24" ht="18" customHeight="1" x14ac:dyDescent="0.3">
      <c r="B866" s="317">
        <v>45974</v>
      </c>
      <c r="C866" s="169">
        <f>YEAR(Finance[[#This Row],[Date]])</f>
        <v>2025</v>
      </c>
      <c r="D866" s="318">
        <f>MONTH(Finance[[#This Row],[Date]])</f>
        <v>11</v>
      </c>
      <c r="E866" s="39" t="s">
        <v>242</v>
      </c>
      <c r="F866" s="39" t="s">
        <v>29</v>
      </c>
      <c r="G866" s="39" t="s">
        <v>112</v>
      </c>
      <c r="H866" s="48" t="s">
        <v>618</v>
      </c>
      <c r="I866" s="114" t="s">
        <v>175</v>
      </c>
      <c r="J866" s="225">
        <v>3</v>
      </c>
      <c r="K866" s="323"/>
      <c r="L866" s="324"/>
      <c r="M866" s="325"/>
      <c r="N866" s="325"/>
      <c r="O866" s="326"/>
      <c r="P866" s="326"/>
      <c r="Q866" s="325"/>
      <c r="R866" s="325">
        <v>684</v>
      </c>
      <c r="S866" s="327"/>
      <c r="T866" s="102">
        <f>SUM(Finance[[#This Row],[Samer]:[Margins]])</f>
        <v>684</v>
      </c>
      <c r="U866" s="103">
        <f>ABS(Finance[[#This Row],[Total (EGP)]])</f>
        <v>684</v>
      </c>
      <c r="V866" s="328"/>
    </row>
    <row r="867" spans="2:24" ht="18" customHeight="1" x14ac:dyDescent="0.3">
      <c r="B867" s="317">
        <v>45974</v>
      </c>
      <c r="C867" s="169">
        <f>YEAR(Finance[[#This Row],[Date]])</f>
        <v>2025</v>
      </c>
      <c r="D867" s="318">
        <f>MONTH(Finance[[#This Row],[Date]])</f>
        <v>11</v>
      </c>
      <c r="E867" s="290" t="s">
        <v>295</v>
      </c>
      <c r="F867" s="6" t="s">
        <v>29</v>
      </c>
      <c r="G867" s="6" t="s">
        <v>111</v>
      </c>
      <c r="H867" s="134" t="s">
        <v>296</v>
      </c>
      <c r="I867" s="114" t="s">
        <v>175</v>
      </c>
      <c r="J867" s="136">
        <v>3</v>
      </c>
      <c r="K867" s="323"/>
      <c r="L867" s="324"/>
      <c r="M867" s="325"/>
      <c r="N867" s="325"/>
      <c r="O867" s="326"/>
      <c r="P867" s="326"/>
      <c r="Q867" s="325"/>
      <c r="R867" s="325">
        <v>1030.78</v>
      </c>
      <c r="S867" s="327"/>
      <c r="T867" s="102">
        <f>SUM(Finance[[#This Row],[Samer]:[Margins]])</f>
        <v>1030.78</v>
      </c>
      <c r="U867" s="103">
        <f>ABS(Finance[[#This Row],[Total (EGP)]])</f>
        <v>1030.78</v>
      </c>
      <c r="V867" s="328"/>
    </row>
    <row r="868" spans="2:24" ht="18" customHeight="1" x14ac:dyDescent="0.3">
      <c r="B868" s="317">
        <v>45974</v>
      </c>
      <c r="C868" s="169">
        <f>YEAR(Finance[[#This Row],[Date]])</f>
        <v>2025</v>
      </c>
      <c r="D868" s="318">
        <f>MONTH(Finance[[#This Row],[Date]])</f>
        <v>11</v>
      </c>
      <c r="E868" s="319" t="s">
        <v>179</v>
      </c>
      <c r="F868" s="319" t="s">
        <v>37</v>
      </c>
      <c r="G868" s="319" t="s">
        <v>36</v>
      </c>
      <c r="H868" s="320" t="s">
        <v>181</v>
      </c>
      <c r="I868" s="321" t="s">
        <v>175</v>
      </c>
      <c r="J868" s="322">
        <v>0</v>
      </c>
      <c r="K868" s="323"/>
      <c r="L868" s="324">
        <v>-160000</v>
      </c>
      <c r="M868" s="325"/>
      <c r="N868" s="325"/>
      <c r="O868" s="326"/>
      <c r="P868" s="326"/>
      <c r="Q868" s="325"/>
      <c r="R868" s="325">
        <v>160000</v>
      </c>
      <c r="S868" s="327"/>
      <c r="T868" s="102">
        <f>SUM(Finance[[#This Row],[Samer]:[Margins]])</f>
        <v>0</v>
      </c>
      <c r="U868" s="103">
        <f>ABS(Finance[[#This Row],[Total (EGP)]])</f>
        <v>0</v>
      </c>
      <c r="V868" s="328"/>
    </row>
    <row r="869" spans="2:24" ht="18" customHeight="1" x14ac:dyDescent="0.3">
      <c r="B869" s="317">
        <v>45974</v>
      </c>
      <c r="C869" s="169">
        <f>YEAR(Finance[[#This Row],[Date]])</f>
        <v>2025</v>
      </c>
      <c r="D869" s="318">
        <f>MONTH(Finance[[#This Row],[Date]])</f>
        <v>11</v>
      </c>
      <c r="E869" s="319" t="s">
        <v>262</v>
      </c>
      <c r="F869" s="319" t="s">
        <v>37</v>
      </c>
      <c r="G869" s="319" t="s">
        <v>36</v>
      </c>
      <c r="H869" s="320" t="s">
        <v>206</v>
      </c>
      <c r="I869" s="321" t="s">
        <v>175</v>
      </c>
      <c r="J869" s="322">
        <v>0</v>
      </c>
      <c r="K869" s="323"/>
      <c r="L869" s="324">
        <v>4000</v>
      </c>
      <c r="M869" s="325"/>
      <c r="N869" s="325"/>
      <c r="O869" s="326"/>
      <c r="P869" s="326"/>
      <c r="Q869" s="325"/>
      <c r="R869" s="325"/>
      <c r="S869" s="327">
        <v>-4000</v>
      </c>
      <c r="T869" s="102">
        <f>SUM(Finance[[#This Row],[Samer]:[Margins]])</f>
        <v>0</v>
      </c>
      <c r="U869" s="103">
        <f>ABS(Finance[[#This Row],[Total (EGP)]])</f>
        <v>0</v>
      </c>
      <c r="V869" s="328"/>
    </row>
    <row r="870" spans="2:24" ht="18" customHeight="1" x14ac:dyDescent="0.3">
      <c r="B870" s="339">
        <v>45974</v>
      </c>
      <c r="C870" s="340">
        <f>YEAR(Finance[[#This Row],[Date]])</f>
        <v>2025</v>
      </c>
      <c r="D870" s="341">
        <f>MONTH(Finance[[#This Row],[Date]])</f>
        <v>11</v>
      </c>
      <c r="E870" s="6" t="s">
        <v>873</v>
      </c>
      <c r="F870" s="39" t="s">
        <v>29</v>
      </c>
      <c r="G870" s="6" t="s">
        <v>56</v>
      </c>
      <c r="H870" s="48" t="s">
        <v>142</v>
      </c>
      <c r="I870" s="135" t="s">
        <v>175</v>
      </c>
      <c r="J870" s="131">
        <v>3</v>
      </c>
      <c r="K870" s="342"/>
      <c r="L870" s="343"/>
      <c r="M870" s="344"/>
      <c r="N870" s="345"/>
      <c r="O870" s="346"/>
      <c r="P870" s="347"/>
      <c r="Q870" s="345"/>
      <c r="R870" s="344"/>
      <c r="S870" s="348">
        <v>350</v>
      </c>
      <c r="T870" s="102">
        <f>SUM(Finance[[#This Row],[Samer]:[Margins]])</f>
        <v>350</v>
      </c>
      <c r="U870" s="103">
        <f>ABS(Finance[[#This Row],[Total (EGP)]])</f>
        <v>350</v>
      </c>
      <c r="V870" s="349"/>
    </row>
    <row r="871" spans="2:24" ht="18" customHeight="1" x14ac:dyDescent="0.3">
      <c r="B871" s="339">
        <v>45975</v>
      </c>
      <c r="C871" s="340">
        <f>YEAR(Finance[[#This Row],[Date]])</f>
        <v>2025</v>
      </c>
      <c r="D871" s="341">
        <f>MONTH(Finance[[#This Row],[Date]])</f>
        <v>11</v>
      </c>
      <c r="E871" s="39" t="s">
        <v>942</v>
      </c>
      <c r="F871" s="39" t="s">
        <v>30</v>
      </c>
      <c r="G871" s="39" t="s">
        <v>127</v>
      </c>
      <c r="H871" s="130" t="s">
        <v>176</v>
      </c>
      <c r="I871" s="114" t="s">
        <v>177</v>
      </c>
      <c r="J871" s="131">
        <v>1</v>
      </c>
      <c r="K871" s="31"/>
      <c r="L871" s="132">
        <f>94.06*54.92*1.25</f>
        <v>6457.2190000000001</v>
      </c>
      <c r="M871" s="344"/>
      <c r="N871" s="345"/>
      <c r="O871" s="346"/>
      <c r="P871" s="347"/>
      <c r="Q871" s="345"/>
      <c r="R871" s="344"/>
      <c r="S871" s="348"/>
      <c r="T871" s="102">
        <f>SUM(Finance[[#This Row],[Samer]:[Margins]])</f>
        <v>6457.2190000000001</v>
      </c>
      <c r="U871" s="103">
        <f>ABS(Finance[[#This Row],[Total (EGP)]])</f>
        <v>6457.2190000000001</v>
      </c>
      <c r="V871" s="349"/>
    </row>
    <row r="872" spans="2:24" ht="18" customHeight="1" x14ac:dyDescent="0.3">
      <c r="B872" s="317">
        <v>45977</v>
      </c>
      <c r="C872" s="169">
        <f>YEAR(Finance[[#This Row],[Date]])</f>
        <v>2025</v>
      </c>
      <c r="D872" s="318">
        <f>MONTH(Finance[[#This Row],[Date]])</f>
        <v>11</v>
      </c>
      <c r="E872" s="6" t="s">
        <v>870</v>
      </c>
      <c r="F872" s="39" t="s">
        <v>84</v>
      </c>
      <c r="G872" s="6" t="s">
        <v>85</v>
      </c>
      <c r="H872" s="48" t="s">
        <v>222</v>
      </c>
      <c r="I872" s="135" t="s">
        <v>175</v>
      </c>
      <c r="J872" s="136">
        <v>3</v>
      </c>
      <c r="K872" s="264"/>
      <c r="L872" s="138"/>
      <c r="M872" s="66"/>
      <c r="N872" s="66"/>
      <c r="O872" s="266"/>
      <c r="P872" s="266"/>
      <c r="Q872" s="66"/>
      <c r="R872" s="66">
        <v>9850.4699999999993</v>
      </c>
      <c r="S872" s="298"/>
      <c r="T872" s="102">
        <f>SUM(Finance[[#This Row],[Samer]:[Margins]])</f>
        <v>9850.4699999999993</v>
      </c>
      <c r="U872" s="103">
        <f>ABS(Finance[[#This Row],[Total (EGP)]])</f>
        <v>9850.4699999999993</v>
      </c>
      <c r="V872" s="331">
        <v>9851</v>
      </c>
    </row>
    <row r="873" spans="2:24" ht="18" customHeight="1" x14ac:dyDescent="0.3">
      <c r="B873" s="317">
        <v>45977</v>
      </c>
      <c r="C873" s="169">
        <f>YEAR(Finance[[#This Row],[Date]])</f>
        <v>2025</v>
      </c>
      <c r="D873" s="318">
        <f>MONTH(Finance[[#This Row],[Date]])</f>
        <v>11</v>
      </c>
      <c r="E873" s="6" t="s">
        <v>223</v>
      </c>
      <c r="F873" s="39" t="s">
        <v>29</v>
      </c>
      <c r="G873" s="6" t="s">
        <v>95</v>
      </c>
      <c r="H873" s="48" t="s">
        <v>194</v>
      </c>
      <c r="I873" s="135" t="s">
        <v>175</v>
      </c>
      <c r="J873" s="136">
        <v>3</v>
      </c>
      <c r="K873" s="264"/>
      <c r="L873" s="138"/>
      <c r="M873" s="66"/>
      <c r="N873" s="66"/>
      <c r="O873" s="266"/>
      <c r="P873" s="266"/>
      <c r="Q873" s="66"/>
      <c r="R873" s="66">
        <f>9850.47*0.001709563</f>
        <v>16.83999904461</v>
      </c>
      <c r="S873" s="298"/>
      <c r="T873" s="102">
        <f>SUM(Finance[[#This Row],[Samer]:[Margins]])</f>
        <v>16.83999904461</v>
      </c>
      <c r="U873" s="103">
        <f>ABS(Finance[[#This Row],[Total (EGP)]])</f>
        <v>16.83999904461</v>
      </c>
      <c r="V873" s="331">
        <f>+V872*0.0116465</f>
        <v>114.72967150000001</v>
      </c>
    </row>
    <row r="874" spans="2:24" ht="18" customHeight="1" x14ac:dyDescent="0.3">
      <c r="B874" s="317">
        <v>45977</v>
      </c>
      <c r="C874" s="169">
        <f>YEAR(Finance[[#This Row],[Date]])</f>
        <v>2025</v>
      </c>
      <c r="D874" s="318">
        <f>MONTH(Finance[[#This Row],[Date]])</f>
        <v>11</v>
      </c>
      <c r="E874" s="6" t="s">
        <v>874</v>
      </c>
      <c r="F874" s="39" t="s">
        <v>84</v>
      </c>
      <c r="G874" s="6" t="s">
        <v>85</v>
      </c>
      <c r="H874" s="48" t="s">
        <v>222</v>
      </c>
      <c r="I874" s="135" t="s">
        <v>175</v>
      </c>
      <c r="J874" s="136">
        <v>3</v>
      </c>
      <c r="K874" s="323"/>
      <c r="L874" s="324"/>
      <c r="M874" s="325"/>
      <c r="N874" s="325"/>
      <c r="O874" s="326"/>
      <c r="P874" s="326"/>
      <c r="Q874" s="325"/>
      <c r="R874" s="66">
        <v>9850.4699999999993</v>
      </c>
      <c r="S874" s="327"/>
      <c r="T874" s="102">
        <f>SUM(Finance[[#This Row],[Samer]:[Margins]])</f>
        <v>9850.4699999999993</v>
      </c>
      <c r="U874" s="103">
        <f>ABS(Finance[[#This Row],[Total (EGP)]])</f>
        <v>9850.4699999999993</v>
      </c>
      <c r="V874" s="328"/>
    </row>
    <row r="875" spans="2:24" ht="18" customHeight="1" x14ac:dyDescent="0.3">
      <c r="B875" s="317">
        <v>45977</v>
      </c>
      <c r="C875" s="169">
        <f>YEAR(Finance[[#This Row],[Date]])</f>
        <v>2025</v>
      </c>
      <c r="D875" s="318">
        <f>MONTH(Finance[[#This Row],[Date]])</f>
        <v>11</v>
      </c>
      <c r="E875" s="6" t="s">
        <v>223</v>
      </c>
      <c r="F875" s="39" t="s">
        <v>29</v>
      </c>
      <c r="G875" s="6" t="s">
        <v>95</v>
      </c>
      <c r="H875" s="48" t="s">
        <v>194</v>
      </c>
      <c r="I875" s="135" t="s">
        <v>175</v>
      </c>
      <c r="J875" s="136">
        <v>3</v>
      </c>
      <c r="K875" s="323"/>
      <c r="L875" s="324"/>
      <c r="M875" s="325"/>
      <c r="N875" s="325"/>
      <c r="O875" s="326"/>
      <c r="P875" s="326"/>
      <c r="Q875" s="325"/>
      <c r="R875" s="66">
        <f>9850.47*0.001709563</f>
        <v>16.83999904461</v>
      </c>
      <c r="S875" s="327"/>
      <c r="T875" s="102">
        <f>SUM(Finance[[#This Row],[Samer]:[Margins]])</f>
        <v>16.83999904461</v>
      </c>
      <c r="U875" s="103">
        <f>ABS(Finance[[#This Row],[Total (EGP)]])</f>
        <v>16.83999904461</v>
      </c>
      <c r="V875" s="328"/>
    </row>
    <row r="876" spans="2:24" ht="18" customHeight="1" x14ac:dyDescent="0.3">
      <c r="B876" s="317">
        <v>45977</v>
      </c>
      <c r="C876" s="169">
        <f>YEAR(Finance[[#This Row],[Date]])</f>
        <v>2025</v>
      </c>
      <c r="D876" s="318">
        <f>MONTH(Finance[[#This Row],[Date]])</f>
        <v>11</v>
      </c>
      <c r="E876" s="329" t="s">
        <v>876</v>
      </c>
      <c r="F876" s="334" t="s">
        <v>73</v>
      </c>
      <c r="G876" s="334" t="s">
        <v>93</v>
      </c>
      <c r="H876" s="336" t="s">
        <v>199</v>
      </c>
      <c r="I876" s="114" t="s">
        <v>794</v>
      </c>
      <c r="J876" s="136">
        <v>4</v>
      </c>
      <c r="K876" s="323"/>
      <c r="L876" s="324"/>
      <c r="M876" s="325"/>
      <c r="N876" s="325"/>
      <c r="O876" s="326"/>
      <c r="P876" s="326"/>
      <c r="Q876" s="325"/>
      <c r="R876" s="325">
        <v>-36000</v>
      </c>
      <c r="S876" s="327"/>
      <c r="T876" s="102">
        <f>SUM(Finance[[#This Row],[Samer]:[Margins]])</f>
        <v>-36000</v>
      </c>
      <c r="U876" s="103">
        <f>ABS(Finance[[#This Row],[Total (EGP)]])</f>
        <v>36000</v>
      </c>
      <c r="V876" s="328"/>
    </row>
    <row r="877" spans="2:24" ht="18" customHeight="1" x14ac:dyDescent="0.3">
      <c r="B877" s="317">
        <v>45977</v>
      </c>
      <c r="C877" s="169">
        <f>YEAR(Finance[[#This Row],[Date]])</f>
        <v>2025</v>
      </c>
      <c r="D877" s="318">
        <f>MONTH(Finance[[#This Row],[Date]])</f>
        <v>11</v>
      </c>
      <c r="E877" s="6" t="s">
        <v>875</v>
      </c>
      <c r="F877" s="6" t="s">
        <v>73</v>
      </c>
      <c r="G877" s="6" t="s">
        <v>93</v>
      </c>
      <c r="H877" s="134" t="s">
        <v>90</v>
      </c>
      <c r="I877" s="114" t="s">
        <v>794</v>
      </c>
      <c r="J877" s="136">
        <v>4</v>
      </c>
      <c r="K877" s="323"/>
      <c r="L877" s="324"/>
      <c r="M877" s="325"/>
      <c r="N877" s="325"/>
      <c r="O877" s="326"/>
      <c r="P877" s="326"/>
      <c r="Q877" s="325"/>
      <c r="R877" s="325">
        <f>-36000*0.14</f>
        <v>-5040.0000000000009</v>
      </c>
      <c r="S877" s="327"/>
      <c r="T877" s="102">
        <f>SUM(Finance[[#This Row],[Samer]:[Margins]])</f>
        <v>-5040.0000000000009</v>
      </c>
      <c r="U877" s="103">
        <f>ABS(Finance[[#This Row],[Total (EGP)]])</f>
        <v>5040.0000000000009</v>
      </c>
      <c r="V877" s="328"/>
    </row>
    <row r="878" spans="2:24" ht="18" customHeight="1" x14ac:dyDescent="0.3">
      <c r="B878" s="207">
        <v>45981</v>
      </c>
      <c r="C878" s="169">
        <f>YEAR(Finance[[#This Row],[Date]])</f>
        <v>2025</v>
      </c>
      <c r="D878" s="208">
        <f>MONTH(Finance[[#This Row],[Date]])</f>
        <v>11</v>
      </c>
      <c r="E878" s="282" t="s">
        <v>877</v>
      </c>
      <c r="F878" s="208" t="s">
        <v>73</v>
      </c>
      <c r="G878" s="208" t="s">
        <v>93</v>
      </c>
      <c r="H878" s="210" t="s">
        <v>199</v>
      </c>
      <c r="I878" s="211" t="s">
        <v>459</v>
      </c>
      <c r="J878" s="212">
        <v>4</v>
      </c>
      <c r="K878" s="213"/>
      <c r="L878" s="214"/>
      <c r="M878" s="215"/>
      <c r="N878" s="215"/>
      <c r="O878" s="216"/>
      <c r="P878" s="216"/>
      <c r="Q878" s="215"/>
      <c r="R878" s="215"/>
      <c r="S878" s="217">
        <f>-39500*0.3*47.67</f>
        <v>-564889.5</v>
      </c>
      <c r="T878" s="102">
        <f>SUM(Finance[[#This Row],[Samer]:[Margins]])</f>
        <v>-564889.5</v>
      </c>
      <c r="U878" s="103">
        <f>ABS(Finance[[#This Row],[Total (EGP)]])</f>
        <v>564889.5</v>
      </c>
      <c r="V878" s="226" t="s">
        <v>878</v>
      </c>
      <c r="W878" s="17" t="s">
        <v>588</v>
      </c>
      <c r="X878" s="17"/>
    </row>
    <row r="879" spans="2:24" ht="18" customHeight="1" x14ac:dyDescent="0.3">
      <c r="B879" s="317">
        <v>45981</v>
      </c>
      <c r="C879" s="169">
        <f>YEAR(Finance[[#This Row],[Date]])</f>
        <v>2025</v>
      </c>
      <c r="D879" s="318">
        <f>MONTH(Finance[[#This Row],[Date]])</f>
        <v>11</v>
      </c>
      <c r="E879" s="153" t="s">
        <v>95</v>
      </c>
      <c r="F879" s="39" t="s">
        <v>29</v>
      </c>
      <c r="G879" s="6" t="s">
        <v>95</v>
      </c>
      <c r="H879" s="48" t="s">
        <v>194</v>
      </c>
      <c r="I879" s="135" t="s">
        <v>175</v>
      </c>
      <c r="J879" s="136">
        <v>3</v>
      </c>
      <c r="K879" s="276"/>
      <c r="L879" s="277"/>
      <c r="M879" s="325"/>
      <c r="N879" s="325"/>
      <c r="O879" s="326"/>
      <c r="P879" s="326"/>
      <c r="Q879" s="325"/>
      <c r="R879" s="325"/>
      <c r="S879" s="327">
        <v>550</v>
      </c>
      <c r="T879" s="102">
        <f>SUM(Finance[[#This Row],[Samer]:[Margins]])</f>
        <v>550</v>
      </c>
      <c r="U879" s="103">
        <f>ABS(Finance[[#This Row],[Total (EGP)]])</f>
        <v>550</v>
      </c>
      <c r="V879" s="328"/>
    </row>
    <row r="880" spans="2:24" ht="18" customHeight="1" x14ac:dyDescent="0.3">
      <c r="B880" s="317">
        <v>45984</v>
      </c>
      <c r="C880" s="169">
        <f>YEAR(Finance[[#This Row],[Date]])</f>
        <v>2025</v>
      </c>
      <c r="D880" s="318">
        <f>MONTH(Finance[[#This Row],[Date]])</f>
        <v>11</v>
      </c>
      <c r="E880" s="19" t="s">
        <v>881</v>
      </c>
      <c r="F880" s="6" t="s">
        <v>29</v>
      </c>
      <c r="G880" s="6" t="s">
        <v>108</v>
      </c>
      <c r="H880" s="134" t="s">
        <v>182</v>
      </c>
      <c r="I880" s="135" t="s">
        <v>175</v>
      </c>
      <c r="J880" s="136">
        <v>3</v>
      </c>
      <c r="K880" s="31"/>
      <c r="L880" s="132">
        <f>15.99*47.72*1.05</f>
        <v>801.19493999999997</v>
      </c>
      <c r="M880" s="325"/>
      <c r="N880" s="325"/>
      <c r="O880" s="326"/>
      <c r="P880" s="326"/>
      <c r="Q880" s="325"/>
      <c r="R880" s="325"/>
      <c r="S880" s="327"/>
      <c r="T880" s="102">
        <f>SUM(Finance[[#This Row],[Samer]:[Margins]])</f>
        <v>801.19493999999997</v>
      </c>
      <c r="U880" s="103">
        <f>ABS(Finance[[#This Row],[Total (EGP)]])</f>
        <v>801.19493999999997</v>
      </c>
      <c r="V880" s="328"/>
    </row>
    <row r="881" spans="2:23" ht="18" customHeight="1" x14ac:dyDescent="0.3">
      <c r="B881" s="317">
        <v>45985</v>
      </c>
      <c r="C881" s="169">
        <f>YEAR(Finance[[#This Row],[Date]])</f>
        <v>2025</v>
      </c>
      <c r="D881" s="318">
        <f>MONTH(Finance[[#This Row],[Date]])</f>
        <v>11</v>
      </c>
      <c r="E881" s="25" t="s">
        <v>556</v>
      </c>
      <c r="F881" s="25" t="s">
        <v>37</v>
      </c>
      <c r="G881" s="25" t="s">
        <v>36</v>
      </c>
      <c r="H881" s="228" t="s">
        <v>181</v>
      </c>
      <c r="I881" s="229" t="s">
        <v>175</v>
      </c>
      <c r="J881" s="230">
        <v>0</v>
      </c>
      <c r="K881" s="323"/>
      <c r="L881" s="324"/>
      <c r="M881" s="325"/>
      <c r="N881" s="325"/>
      <c r="O881" s="326"/>
      <c r="P881" s="326"/>
      <c r="Q881" s="325"/>
      <c r="R881" s="325">
        <f>-11000*47.62</f>
        <v>-523820</v>
      </c>
      <c r="S881" s="327">
        <f>11000*47.62</f>
        <v>523820</v>
      </c>
      <c r="T881" s="102">
        <f>SUM(Finance[[#This Row],[Samer]:[Margins]])</f>
        <v>0</v>
      </c>
      <c r="U881" s="103">
        <f>ABS(Finance[[#This Row],[Total (EGP)]])</f>
        <v>0</v>
      </c>
      <c r="V881" s="328" t="s">
        <v>879</v>
      </c>
      <c r="W881" s="2" t="s">
        <v>880</v>
      </c>
    </row>
    <row r="882" spans="2:23" ht="18" customHeight="1" x14ac:dyDescent="0.3">
      <c r="B882" s="317">
        <v>45985</v>
      </c>
      <c r="C882" s="169">
        <f>YEAR(Finance[[#This Row],[Date]])</f>
        <v>2025</v>
      </c>
      <c r="D882" s="318">
        <f>MONTH(Finance[[#This Row],[Date]])</f>
        <v>11</v>
      </c>
      <c r="E882" s="6" t="s">
        <v>883</v>
      </c>
      <c r="F882" s="6" t="s">
        <v>73</v>
      </c>
      <c r="G882" s="6" t="s">
        <v>233</v>
      </c>
      <c r="H882" s="134" t="s">
        <v>62</v>
      </c>
      <c r="I882" s="135" t="s">
        <v>235</v>
      </c>
      <c r="J882" s="136">
        <v>1</v>
      </c>
      <c r="K882" s="323"/>
      <c r="L882" s="324"/>
      <c r="M882" s="325"/>
      <c r="N882" s="325"/>
      <c r="O882" s="326"/>
      <c r="P882" s="326"/>
      <c r="Q882" s="325">
        <v>-8894.18</v>
      </c>
      <c r="R882" s="325"/>
      <c r="S882" s="327"/>
      <c r="T882" s="102">
        <f>SUM(Finance[[#This Row],[Samer]:[Margins]])</f>
        <v>-8894.18</v>
      </c>
      <c r="U882" s="103">
        <f>ABS(Finance[[#This Row],[Total (EGP)]])</f>
        <v>8894.18</v>
      </c>
      <c r="V882" s="328">
        <f>S878+S879+S881</f>
        <v>-40519.5</v>
      </c>
      <c r="W882" s="2" t="s">
        <v>916</v>
      </c>
    </row>
    <row r="883" spans="2:23" ht="18" customHeight="1" x14ac:dyDescent="0.3">
      <c r="B883" s="317">
        <v>45985</v>
      </c>
      <c r="C883" s="169">
        <f>YEAR(Finance[[#This Row],[Date]])</f>
        <v>2025</v>
      </c>
      <c r="D883" s="318">
        <f>MONTH(Finance[[#This Row],[Date]])</f>
        <v>11</v>
      </c>
      <c r="E883" s="6" t="s">
        <v>340</v>
      </c>
      <c r="F883" s="39" t="s">
        <v>29</v>
      </c>
      <c r="G883" s="39" t="s">
        <v>213</v>
      </c>
      <c r="H883" s="48" t="s">
        <v>214</v>
      </c>
      <c r="I883" s="114" t="s">
        <v>175</v>
      </c>
      <c r="J883" s="131">
        <v>3</v>
      </c>
      <c r="K883" s="276"/>
      <c r="L883" s="277"/>
      <c r="M883" s="278"/>
      <c r="N883" s="278"/>
      <c r="O883" s="279"/>
      <c r="P883" s="279"/>
      <c r="Q883" s="278">
        <v>8894.18</v>
      </c>
      <c r="R883" s="325"/>
      <c r="S883" s="327"/>
      <c r="T883" s="102">
        <f>SUM(Finance[[#This Row],[Samer]:[Margins]])</f>
        <v>8894.18</v>
      </c>
      <c r="U883" s="103">
        <f>ABS(Finance[[#This Row],[Total (EGP)]])</f>
        <v>8894.18</v>
      </c>
      <c r="V883" s="328"/>
    </row>
    <row r="884" spans="2:23" ht="18" customHeight="1" x14ac:dyDescent="0.3">
      <c r="B884" s="339">
        <v>45985</v>
      </c>
      <c r="C884" s="340">
        <f>YEAR(Finance[[#This Row],[Date]])</f>
        <v>2025</v>
      </c>
      <c r="D884" s="341">
        <f>MONTH(Finance[[#This Row],[Date]])</f>
        <v>11</v>
      </c>
      <c r="E884" s="6" t="s">
        <v>167</v>
      </c>
      <c r="F884" s="6" t="s">
        <v>29</v>
      </c>
      <c r="G884" s="6" t="s">
        <v>55</v>
      </c>
      <c r="H884" s="134" t="s">
        <v>258</v>
      </c>
      <c r="I884" s="135" t="s">
        <v>175</v>
      </c>
      <c r="J884" s="136">
        <v>3</v>
      </c>
      <c r="K884" s="342"/>
      <c r="L884" s="343"/>
      <c r="M884" s="344"/>
      <c r="N884" s="345"/>
      <c r="O884" s="346"/>
      <c r="P884" s="347"/>
      <c r="Q884" s="345"/>
      <c r="R884" s="344"/>
      <c r="S884" s="348">
        <v>115</v>
      </c>
      <c r="T884" s="102">
        <f>SUM(Finance[[#This Row],[Samer]:[Margins]])</f>
        <v>115</v>
      </c>
      <c r="U884" s="103">
        <f>ABS(Finance[[#This Row],[Total (EGP)]])</f>
        <v>115</v>
      </c>
      <c r="V884" s="349"/>
    </row>
    <row r="885" spans="2:23" ht="18" customHeight="1" x14ac:dyDescent="0.3">
      <c r="B885" s="317">
        <v>45986</v>
      </c>
      <c r="C885" s="169">
        <f>YEAR(Finance[[#This Row],[Date]])</f>
        <v>2025</v>
      </c>
      <c r="D885" s="318">
        <f>MONTH(Finance[[#This Row],[Date]])</f>
        <v>11</v>
      </c>
      <c r="E885" s="319" t="s">
        <v>179</v>
      </c>
      <c r="F885" s="319" t="s">
        <v>37</v>
      </c>
      <c r="G885" s="319" t="s">
        <v>36</v>
      </c>
      <c r="H885" s="320" t="s">
        <v>181</v>
      </c>
      <c r="I885" s="321" t="s">
        <v>175</v>
      </c>
      <c r="J885" s="322">
        <v>0</v>
      </c>
      <c r="K885" s="323"/>
      <c r="L885" s="324">
        <v>-170000</v>
      </c>
      <c r="M885" s="325"/>
      <c r="N885" s="325"/>
      <c r="O885" s="326"/>
      <c r="P885" s="326"/>
      <c r="Q885" s="325"/>
      <c r="R885" s="325">
        <v>170000</v>
      </c>
      <c r="S885" s="327"/>
      <c r="T885" s="102">
        <f>SUM(Finance[[#This Row],[Samer]:[Margins]])</f>
        <v>0</v>
      </c>
      <c r="U885" s="103">
        <f>ABS(Finance[[#This Row],[Total (EGP)]])</f>
        <v>0</v>
      </c>
      <c r="V885" s="328"/>
    </row>
    <row r="886" spans="2:23" ht="18" customHeight="1" x14ac:dyDescent="0.3">
      <c r="B886" s="317">
        <v>45987</v>
      </c>
      <c r="C886" s="169">
        <f>YEAR(Finance[[#This Row],[Date]])</f>
        <v>2025</v>
      </c>
      <c r="D886" s="318">
        <f>MONTH(Finance[[#This Row],[Date]])</f>
        <v>11</v>
      </c>
      <c r="E886" s="334" t="s">
        <v>781</v>
      </c>
      <c r="F886" s="369" t="s">
        <v>34</v>
      </c>
      <c r="G886" s="329" t="s">
        <v>66</v>
      </c>
      <c r="H886" s="330" t="s">
        <v>210</v>
      </c>
      <c r="I886" s="114" t="s">
        <v>175</v>
      </c>
      <c r="J886" s="136">
        <v>3</v>
      </c>
      <c r="K886" s="323"/>
      <c r="L886" s="324">
        <v>25000</v>
      </c>
      <c r="M886" s="325"/>
      <c r="N886" s="325"/>
      <c r="O886" s="326"/>
      <c r="P886" s="326"/>
      <c r="Q886" s="325"/>
      <c r="R886" s="96"/>
      <c r="S886" s="327"/>
      <c r="T886" s="102">
        <f>SUM(Finance[[#This Row],[Samer]:[Margins]])</f>
        <v>25000</v>
      </c>
      <c r="U886" s="103">
        <f>ABS(Finance[[#This Row],[Total (EGP)]])</f>
        <v>25000</v>
      </c>
      <c r="V886" s="328"/>
    </row>
    <row r="887" spans="2:23" ht="18" customHeight="1" x14ac:dyDescent="0.3">
      <c r="B887" s="317">
        <v>45988</v>
      </c>
      <c r="C887" s="169">
        <f>YEAR(Finance[[#This Row],[Date]])</f>
        <v>2025</v>
      </c>
      <c r="D887" s="318">
        <f>MONTH(Finance[[#This Row],[Date]])</f>
        <v>11</v>
      </c>
      <c r="E887" s="153" t="s">
        <v>475</v>
      </c>
      <c r="F887" s="39" t="s">
        <v>30</v>
      </c>
      <c r="G887" s="172" t="s">
        <v>88</v>
      </c>
      <c r="H887" s="173" t="s">
        <v>272</v>
      </c>
      <c r="I887" s="114" t="s">
        <v>459</v>
      </c>
      <c r="J887" s="174">
        <v>5</v>
      </c>
      <c r="K887" s="276"/>
      <c r="L887" s="277"/>
      <c r="M887" s="325"/>
      <c r="N887" s="325"/>
      <c r="O887" s="326"/>
      <c r="P887" s="326"/>
      <c r="Q887" s="325"/>
      <c r="R887" s="96">
        <f>1263*47.625-0.38</f>
        <v>60149.995000000003</v>
      </c>
      <c r="S887" s="327"/>
      <c r="T887" s="102">
        <f>SUM(Finance[[#This Row],[Samer]:[Margins]])</f>
        <v>60149.995000000003</v>
      </c>
      <c r="U887" s="103">
        <f>ABS(Finance[[#This Row],[Total (EGP)]])</f>
        <v>60149.995000000003</v>
      </c>
      <c r="V887" s="328"/>
    </row>
    <row r="888" spans="2:23" ht="18" customHeight="1" x14ac:dyDescent="0.3">
      <c r="B888" s="339">
        <v>45988</v>
      </c>
      <c r="C888" s="340">
        <f>YEAR(Finance[[#This Row],[Date]])</f>
        <v>2025</v>
      </c>
      <c r="D888" s="341">
        <f>MONTH(Finance[[#This Row],[Date]])</f>
        <v>11</v>
      </c>
      <c r="E888" s="357" t="s">
        <v>95</v>
      </c>
      <c r="F888" s="351" t="s">
        <v>29</v>
      </c>
      <c r="G888" s="350" t="s">
        <v>95</v>
      </c>
      <c r="H888" s="352" t="s">
        <v>194</v>
      </c>
      <c r="I888" s="353" t="s">
        <v>459</v>
      </c>
      <c r="J888" s="354">
        <v>5</v>
      </c>
      <c r="K888" s="342"/>
      <c r="L888" s="343"/>
      <c r="M888" s="344"/>
      <c r="N888" s="345"/>
      <c r="O888" s="346"/>
      <c r="P888" s="347"/>
      <c r="Q888" s="345"/>
      <c r="R888" s="344">
        <f>60150*0.002</f>
        <v>120.3</v>
      </c>
      <c r="S888" s="348"/>
      <c r="T888" s="102">
        <f>SUM(Finance[[#This Row],[Samer]:[Margins]])</f>
        <v>120.3</v>
      </c>
      <c r="U888" s="103">
        <f>ABS(Finance[[#This Row],[Total (EGP)]])</f>
        <v>120.3</v>
      </c>
      <c r="V888" s="349"/>
    </row>
    <row r="889" spans="2:23" ht="18" customHeight="1" x14ac:dyDescent="0.3">
      <c r="B889" s="317">
        <v>45988</v>
      </c>
      <c r="C889" s="169">
        <f>YEAR(Finance[[#This Row],[Date]])</f>
        <v>2025</v>
      </c>
      <c r="D889" s="318">
        <f>MONTH(Finance[[#This Row],[Date]])</f>
        <v>11</v>
      </c>
      <c r="E889" s="39" t="s">
        <v>781</v>
      </c>
      <c r="F889" s="158" t="s">
        <v>34</v>
      </c>
      <c r="G889" s="6" t="s">
        <v>66</v>
      </c>
      <c r="H889" s="134" t="s">
        <v>210</v>
      </c>
      <c r="I889" s="114" t="s">
        <v>175</v>
      </c>
      <c r="J889" s="136">
        <v>3</v>
      </c>
      <c r="K889" s="323"/>
      <c r="L889" s="324">
        <v>9000</v>
      </c>
      <c r="M889" s="325"/>
      <c r="N889" s="325"/>
      <c r="O889" s="326"/>
      <c r="P889" s="326"/>
      <c r="Q889" s="325"/>
      <c r="R889" s="325"/>
      <c r="S889" s="327"/>
      <c r="T889" s="102">
        <f>SUM(Finance[[#This Row],[Samer]:[Margins]])</f>
        <v>9000</v>
      </c>
      <c r="U889" s="103">
        <f>ABS(Finance[[#This Row],[Total (EGP)]])</f>
        <v>9000</v>
      </c>
      <c r="V889" s="328"/>
    </row>
    <row r="890" spans="2:23" ht="18" customHeight="1" x14ac:dyDescent="0.3">
      <c r="B890" s="317">
        <v>45988</v>
      </c>
      <c r="C890" s="169">
        <f>YEAR(Finance[[#This Row],[Date]])</f>
        <v>2025</v>
      </c>
      <c r="D890" s="318">
        <f>MONTH(Finance[[#This Row],[Date]])</f>
        <v>11</v>
      </c>
      <c r="E890" s="6" t="s">
        <v>901</v>
      </c>
      <c r="F890" s="6" t="s">
        <v>73</v>
      </c>
      <c r="G890" s="6" t="s">
        <v>233</v>
      </c>
      <c r="H890" s="134" t="s">
        <v>234</v>
      </c>
      <c r="I890" s="135" t="s">
        <v>235</v>
      </c>
      <c r="J890" s="136">
        <v>1</v>
      </c>
      <c r="K890" s="323"/>
      <c r="L890" s="324"/>
      <c r="M890" s="325"/>
      <c r="N890" s="325"/>
      <c r="O890" s="326"/>
      <c r="P890" s="326"/>
      <c r="Q890" s="325"/>
      <c r="R890" s="325">
        <v>-300000</v>
      </c>
      <c r="S890" s="327"/>
      <c r="T890" s="102">
        <f>SUM(Finance[[#This Row],[Samer]:[Margins]])</f>
        <v>-300000</v>
      </c>
      <c r="U890" s="103">
        <f>ABS(Finance[[#This Row],[Total (EGP)]])</f>
        <v>300000</v>
      </c>
      <c r="V890" s="328"/>
    </row>
    <row r="891" spans="2:23" ht="18" customHeight="1" x14ac:dyDescent="0.3">
      <c r="B891" s="339">
        <v>45988</v>
      </c>
      <c r="C891" s="340">
        <f>YEAR(Finance[[#This Row],[Date]])</f>
        <v>2025</v>
      </c>
      <c r="D891" s="341">
        <f>MONTH(Finance[[#This Row],[Date]])</f>
        <v>11</v>
      </c>
      <c r="E891" s="6" t="s">
        <v>757</v>
      </c>
      <c r="F891" s="6" t="s">
        <v>29</v>
      </c>
      <c r="G891" s="6" t="s">
        <v>95</v>
      </c>
      <c r="H891" s="134" t="s">
        <v>194</v>
      </c>
      <c r="I891" s="114" t="s">
        <v>235</v>
      </c>
      <c r="J891" s="136">
        <v>3</v>
      </c>
      <c r="K891" s="342"/>
      <c r="L891" s="343"/>
      <c r="M891" s="344"/>
      <c r="N891" s="345"/>
      <c r="O891" s="346"/>
      <c r="P891" s="347"/>
      <c r="Q891" s="345"/>
      <c r="R891" s="344">
        <v>25</v>
      </c>
      <c r="S891" s="348"/>
      <c r="T891" s="102">
        <f>SUM(Finance[[#This Row],[Samer]:[Margins]])</f>
        <v>25</v>
      </c>
      <c r="U891" s="103">
        <f>ABS(Finance[[#This Row],[Total (EGP)]])</f>
        <v>25</v>
      </c>
      <c r="V891" s="349"/>
    </row>
    <row r="892" spans="2:23" ht="18" customHeight="1" x14ac:dyDescent="0.3">
      <c r="B892" s="317">
        <v>45988</v>
      </c>
      <c r="C892" s="169">
        <f>YEAR(Finance[[#This Row],[Date]])</f>
        <v>2025</v>
      </c>
      <c r="D892" s="318">
        <f>MONTH(Finance[[#This Row],[Date]])</f>
        <v>11</v>
      </c>
      <c r="E892" s="6" t="s">
        <v>895</v>
      </c>
      <c r="F892" s="6" t="s">
        <v>73</v>
      </c>
      <c r="G892" s="6" t="s">
        <v>272</v>
      </c>
      <c r="H892" s="134" t="s">
        <v>62</v>
      </c>
      <c r="I892" s="135" t="s">
        <v>612</v>
      </c>
      <c r="J892" s="322">
        <v>5</v>
      </c>
      <c r="K892" s="323"/>
      <c r="L892" s="324">
        <v>-200000</v>
      </c>
      <c r="M892" s="325"/>
      <c r="N892" s="325"/>
      <c r="O892" s="326"/>
      <c r="P892" s="326"/>
      <c r="Q892" s="325"/>
      <c r="R892" s="325"/>
      <c r="S892" s="327"/>
      <c r="T892" s="102">
        <f>SUM(Finance[[#This Row],[Samer]:[Margins]])</f>
        <v>-200000</v>
      </c>
      <c r="U892" s="103">
        <f>ABS(Finance[[#This Row],[Total (EGP)]])</f>
        <v>200000</v>
      </c>
      <c r="V892" s="328"/>
    </row>
    <row r="893" spans="2:23" ht="18" customHeight="1" x14ac:dyDescent="0.3">
      <c r="B893" s="317">
        <v>45988</v>
      </c>
      <c r="C893" s="169">
        <f>YEAR(Finance[[#This Row],[Date]])</f>
        <v>2025</v>
      </c>
      <c r="D893" s="318">
        <f>MONTH(Finance[[#This Row],[Date]])</f>
        <v>11</v>
      </c>
      <c r="E893" s="6" t="s">
        <v>896</v>
      </c>
      <c r="F893" s="6" t="s">
        <v>73</v>
      </c>
      <c r="G893" s="6" t="s">
        <v>233</v>
      </c>
      <c r="H893" s="134" t="s">
        <v>62</v>
      </c>
      <c r="I893" s="135" t="s">
        <v>612</v>
      </c>
      <c r="J893" s="322">
        <v>1</v>
      </c>
      <c r="K893" s="323"/>
      <c r="L893" s="324">
        <v>-25000</v>
      </c>
      <c r="M893" s="325"/>
      <c r="N893" s="325"/>
      <c r="O893" s="326"/>
      <c r="P893" s="326"/>
      <c r="Q893" s="325"/>
      <c r="R893" s="325"/>
      <c r="S893" s="327"/>
      <c r="T893" s="102">
        <f>SUM(Finance[[#This Row],[Samer]:[Margins]])</f>
        <v>-25000</v>
      </c>
      <c r="U893" s="103">
        <f>ABS(Finance[[#This Row],[Total (EGP)]])</f>
        <v>25000</v>
      </c>
      <c r="V893" s="328"/>
    </row>
    <row r="894" spans="2:23" ht="18" customHeight="1" x14ac:dyDescent="0.3">
      <c r="B894" s="317">
        <v>45988</v>
      </c>
      <c r="C894" s="169">
        <f>YEAR(Finance[[#This Row],[Date]])</f>
        <v>2025</v>
      </c>
      <c r="D894" s="318">
        <f>MONTH(Finance[[#This Row],[Date]])</f>
        <v>11</v>
      </c>
      <c r="E894" s="6" t="s">
        <v>897</v>
      </c>
      <c r="F894" s="6" t="s">
        <v>73</v>
      </c>
      <c r="G894" s="6" t="s">
        <v>75</v>
      </c>
      <c r="H894" s="134" t="s">
        <v>62</v>
      </c>
      <c r="I894" s="135" t="s">
        <v>184</v>
      </c>
      <c r="J894" s="322">
        <v>4</v>
      </c>
      <c r="K894" s="323"/>
      <c r="L894" s="324">
        <v>-25000</v>
      </c>
      <c r="M894" s="325"/>
      <c r="N894" s="325"/>
      <c r="O894" s="326"/>
      <c r="P894" s="326"/>
      <c r="Q894" s="325"/>
      <c r="R894" s="325"/>
      <c r="S894" s="327"/>
      <c r="T894" s="102">
        <f>SUM(Finance[[#This Row],[Samer]:[Margins]])</f>
        <v>-25000</v>
      </c>
      <c r="U894" s="103">
        <f>ABS(Finance[[#This Row],[Total (EGP)]])</f>
        <v>25000</v>
      </c>
      <c r="V894" s="328"/>
    </row>
    <row r="895" spans="2:23" ht="18" customHeight="1" x14ac:dyDescent="0.3">
      <c r="B895" s="317">
        <v>45988</v>
      </c>
      <c r="C895" s="169">
        <f>YEAR(Finance[[#This Row],[Date]])</f>
        <v>2025</v>
      </c>
      <c r="D895" s="318">
        <f>MONTH(Finance[[#This Row],[Date]])</f>
        <v>11</v>
      </c>
      <c r="E895" s="6" t="s">
        <v>612</v>
      </c>
      <c r="F895" s="329" t="s">
        <v>30</v>
      </c>
      <c r="G895" s="329" t="s">
        <v>88</v>
      </c>
      <c r="H895" s="356"/>
      <c r="I895" s="135" t="s">
        <v>612</v>
      </c>
      <c r="J895" s="322">
        <v>5</v>
      </c>
      <c r="K895" s="323"/>
      <c r="L895" s="324">
        <f>500*50</f>
        <v>25000</v>
      </c>
      <c r="M895" s="325"/>
      <c r="N895" s="325"/>
      <c r="O895" s="326"/>
      <c r="P895" s="326"/>
      <c r="Q895" s="325"/>
      <c r="R895" s="325"/>
      <c r="S895" s="327"/>
      <c r="T895" s="102">
        <f>SUM(Finance[[#This Row],[Samer]:[Margins]])</f>
        <v>25000</v>
      </c>
      <c r="U895" s="103">
        <f>ABS(Finance[[#This Row],[Total (EGP)]])</f>
        <v>25000</v>
      </c>
      <c r="V895" s="328"/>
    </row>
    <row r="896" spans="2:23" ht="18" customHeight="1" x14ac:dyDescent="0.3">
      <c r="B896" s="317">
        <v>45988</v>
      </c>
      <c r="C896" s="169">
        <f>YEAR(Finance[[#This Row],[Date]])</f>
        <v>2025</v>
      </c>
      <c r="D896" s="318">
        <f>MONTH(Finance[[#This Row],[Date]])</f>
        <v>11</v>
      </c>
      <c r="E896" s="6" t="s">
        <v>612</v>
      </c>
      <c r="F896" s="6" t="s">
        <v>30</v>
      </c>
      <c r="G896" s="6" t="s">
        <v>88</v>
      </c>
      <c r="H896" s="320"/>
      <c r="I896" s="135" t="s">
        <v>612</v>
      </c>
      <c r="J896" s="322">
        <v>5</v>
      </c>
      <c r="K896" s="323"/>
      <c r="L896" s="324">
        <f>600*47.66667</f>
        <v>28600.002</v>
      </c>
      <c r="M896" s="325"/>
      <c r="N896" s="325"/>
      <c r="O896" s="326"/>
      <c r="P896" s="326"/>
      <c r="Q896" s="325"/>
      <c r="R896" s="325"/>
      <c r="S896" s="327"/>
      <c r="T896" s="102">
        <f>SUM(Finance[[#This Row],[Samer]:[Margins]])</f>
        <v>28600.002</v>
      </c>
      <c r="U896" s="103">
        <f>ABS(Finance[[#This Row],[Total (EGP)]])</f>
        <v>28600.002</v>
      </c>
      <c r="V896" s="328"/>
    </row>
    <row r="897" spans="2:22" ht="18" customHeight="1" x14ac:dyDescent="0.3">
      <c r="B897" s="317">
        <v>45988</v>
      </c>
      <c r="C897" s="169">
        <f>YEAR(Finance[[#This Row],[Date]])</f>
        <v>2025</v>
      </c>
      <c r="D897" s="318">
        <f>MONTH(Finance[[#This Row],[Date]])</f>
        <v>11</v>
      </c>
      <c r="E897" s="39" t="s">
        <v>960</v>
      </c>
      <c r="F897" s="272" t="s">
        <v>30</v>
      </c>
      <c r="G897" s="272" t="s">
        <v>88</v>
      </c>
      <c r="H897" s="273" t="s">
        <v>102</v>
      </c>
      <c r="I897" s="274" t="s">
        <v>235</v>
      </c>
      <c r="J897" s="275">
        <v>2</v>
      </c>
      <c r="K897" s="276"/>
      <c r="L897" s="277">
        <f>(240*1100)*0.85</f>
        <v>224400</v>
      </c>
      <c r="M897" s="325"/>
      <c r="N897" s="325"/>
      <c r="O897" s="326"/>
      <c r="P897" s="326"/>
      <c r="Q897" s="325"/>
      <c r="R897" s="325"/>
      <c r="S897" s="327"/>
      <c r="T897" s="102">
        <f>SUM(Finance[[#This Row],[Samer]:[Margins]])</f>
        <v>224400</v>
      </c>
      <c r="U897" s="103">
        <f>ABS(Finance[[#This Row],[Total (EGP)]])</f>
        <v>224400</v>
      </c>
      <c r="V897" s="328"/>
    </row>
    <row r="898" spans="2:22" ht="18" customHeight="1" x14ac:dyDescent="0.3">
      <c r="B898" s="339">
        <v>45991</v>
      </c>
      <c r="C898" s="340">
        <f>YEAR(Finance[[#This Row],[Date]])</f>
        <v>2025</v>
      </c>
      <c r="D898" s="341">
        <f>MONTH(Finance[[#This Row],[Date]])</f>
        <v>11</v>
      </c>
      <c r="E898" s="350" t="s">
        <v>179</v>
      </c>
      <c r="F898" s="351" t="s">
        <v>37</v>
      </c>
      <c r="G898" s="6" t="s">
        <v>36</v>
      </c>
      <c r="H898" s="361" t="s">
        <v>181</v>
      </c>
      <c r="I898" s="362" t="s">
        <v>175</v>
      </c>
      <c r="J898" s="354">
        <v>0</v>
      </c>
      <c r="K898" s="342"/>
      <c r="L898" s="343">
        <v>-89585.55</v>
      </c>
      <c r="M898" s="344"/>
      <c r="N898" s="345"/>
      <c r="O898" s="346"/>
      <c r="P898" s="347"/>
      <c r="Q898" s="345"/>
      <c r="R898" s="344">
        <v>89585.55</v>
      </c>
      <c r="S898" s="348"/>
      <c r="T898" s="102">
        <f>SUM(Finance[[#This Row],[Samer]:[Margins]])</f>
        <v>0</v>
      </c>
      <c r="U898" s="103">
        <f>ABS(Finance[[#This Row],[Total (EGP)]])</f>
        <v>0</v>
      </c>
      <c r="V898" s="349"/>
    </row>
    <row r="899" spans="2:22" ht="18" customHeight="1" x14ac:dyDescent="0.3">
      <c r="B899" s="317">
        <v>45991</v>
      </c>
      <c r="C899" s="169">
        <f>YEAR(Finance[[#This Row],[Date]])</f>
        <v>2025</v>
      </c>
      <c r="D899" s="318">
        <f>MONTH(Finance[[#This Row],[Date]])</f>
        <v>11</v>
      </c>
      <c r="E899" s="39" t="s">
        <v>894</v>
      </c>
      <c r="F899" s="6" t="s">
        <v>34</v>
      </c>
      <c r="G899" s="6" t="s">
        <v>66</v>
      </c>
      <c r="H899" s="134" t="s">
        <v>210</v>
      </c>
      <c r="I899" s="135" t="s">
        <v>175</v>
      </c>
      <c r="J899" s="136">
        <v>1</v>
      </c>
      <c r="K899" s="31"/>
      <c r="L899" s="132">
        <f>90000*0.25</f>
        <v>22500</v>
      </c>
      <c r="M899" s="325"/>
      <c r="N899" s="325"/>
      <c r="O899" s="326"/>
      <c r="P899" s="326"/>
      <c r="Q899" s="325"/>
      <c r="R899" s="325">
        <f>38000+30000*0.5+9500+23250+15000</f>
        <v>100750</v>
      </c>
      <c r="S899" s="327"/>
      <c r="T899" s="102">
        <f>SUM(Finance[[#This Row],[Samer]:[Margins]])</f>
        <v>123250</v>
      </c>
      <c r="U899" s="103">
        <f>ABS(Finance[[#This Row],[Total (EGP)]])</f>
        <v>123250</v>
      </c>
      <c r="V899" s="328"/>
    </row>
    <row r="900" spans="2:22" ht="18" customHeight="1" x14ac:dyDescent="0.3">
      <c r="B900" s="317">
        <v>45991</v>
      </c>
      <c r="C900" s="169">
        <f>YEAR(Finance[[#This Row],[Date]])</f>
        <v>2025</v>
      </c>
      <c r="D900" s="318">
        <f>MONTH(Finance[[#This Row],[Date]])</f>
        <v>11</v>
      </c>
      <c r="E900" s="39" t="s">
        <v>893</v>
      </c>
      <c r="F900" s="6" t="s">
        <v>34</v>
      </c>
      <c r="G900" s="6" t="s">
        <v>66</v>
      </c>
      <c r="H900" s="134" t="s">
        <v>211</v>
      </c>
      <c r="I900" s="135" t="s">
        <v>175</v>
      </c>
      <c r="J900" s="136">
        <v>3</v>
      </c>
      <c r="K900" s="31"/>
      <c r="L900" s="132">
        <f>90000*0.3</f>
        <v>27000</v>
      </c>
      <c r="M900" s="325"/>
      <c r="N900" s="325"/>
      <c r="O900" s="326"/>
      <c r="P900" s="326"/>
      <c r="Q900" s="325"/>
      <c r="R900" s="325">
        <f>19500+12500+17093.45</f>
        <v>49093.45</v>
      </c>
      <c r="S900" s="327"/>
      <c r="T900" s="102">
        <f>SUM(Finance[[#This Row],[Samer]:[Margins]])</f>
        <v>76093.45</v>
      </c>
      <c r="U900" s="103">
        <f>ABS(Finance[[#This Row],[Total (EGP)]])</f>
        <v>76093.45</v>
      </c>
      <c r="V900" s="328"/>
    </row>
    <row r="901" spans="2:22" ht="18" customHeight="1" x14ac:dyDescent="0.3">
      <c r="B901" s="317">
        <v>45991</v>
      </c>
      <c r="C901" s="169">
        <f>YEAR(Finance[[#This Row],[Date]])</f>
        <v>2025</v>
      </c>
      <c r="D901" s="318">
        <f>MONTH(Finance[[#This Row],[Date]])</f>
        <v>11</v>
      </c>
      <c r="E901" s="39" t="s">
        <v>892</v>
      </c>
      <c r="F901" s="6" t="s">
        <v>34</v>
      </c>
      <c r="G901" s="6" t="s">
        <v>66</v>
      </c>
      <c r="H901" s="134" t="s">
        <v>212</v>
      </c>
      <c r="I901" s="135" t="s">
        <v>175</v>
      </c>
      <c r="J901" s="136">
        <v>4</v>
      </c>
      <c r="K901" s="31"/>
      <c r="L901" s="132">
        <f>90000*0.2</f>
        <v>18000</v>
      </c>
      <c r="M901" s="325"/>
      <c r="N901" s="325"/>
      <c r="O901" s="326"/>
      <c r="P901" s="326"/>
      <c r="Q901" s="325"/>
      <c r="R901" s="325">
        <f>21654.5+30000*0.5+20000</f>
        <v>56654.5</v>
      </c>
      <c r="S901" s="327"/>
      <c r="T901" s="102">
        <f>SUM(Finance[[#This Row],[Samer]:[Margins]])</f>
        <v>74654.5</v>
      </c>
      <c r="U901" s="103">
        <f>ABS(Finance[[#This Row],[Total (EGP)]])</f>
        <v>74654.5</v>
      </c>
      <c r="V901" s="328"/>
    </row>
    <row r="902" spans="2:22" ht="18" customHeight="1" x14ac:dyDescent="0.3">
      <c r="B902" s="317">
        <v>45991</v>
      </c>
      <c r="C902" s="169">
        <f>YEAR(Finance[[#This Row],[Date]])</f>
        <v>2025</v>
      </c>
      <c r="D902" s="318">
        <f>MONTH(Finance[[#This Row],[Date]])</f>
        <v>11</v>
      </c>
      <c r="E902" s="39" t="s">
        <v>891</v>
      </c>
      <c r="F902" s="6" t="s">
        <v>34</v>
      </c>
      <c r="G902" s="6" t="s">
        <v>66</v>
      </c>
      <c r="H902" s="134" t="s">
        <v>209</v>
      </c>
      <c r="I902" s="135" t="s">
        <v>175</v>
      </c>
      <c r="J902" s="136">
        <v>2</v>
      </c>
      <c r="K902" s="31"/>
      <c r="L902" s="132">
        <f>90000*0.25</f>
        <v>22500</v>
      </c>
      <c r="M902" s="325"/>
      <c r="N902" s="325"/>
      <c r="O902" s="326"/>
      <c r="P902" s="326"/>
      <c r="Q902" s="325"/>
      <c r="R902" s="325">
        <f>38000+17000+17000+13000+14000</f>
        <v>99000</v>
      </c>
      <c r="S902" s="327"/>
      <c r="T902" s="102">
        <f>SUM(Finance[[#This Row],[Samer]:[Margins]])</f>
        <v>121500</v>
      </c>
      <c r="U902" s="103">
        <f>ABS(Finance[[#This Row],[Total (EGP)]])</f>
        <v>121500</v>
      </c>
      <c r="V902" s="328"/>
    </row>
    <row r="903" spans="2:22" ht="18" customHeight="1" x14ac:dyDescent="0.3">
      <c r="B903" s="339">
        <v>45991</v>
      </c>
      <c r="C903" s="340">
        <f>YEAR(Finance[[#This Row],[Date]])</f>
        <v>2025</v>
      </c>
      <c r="D903" s="341">
        <f>MONTH(Finance[[#This Row],[Date]])</f>
        <v>11</v>
      </c>
      <c r="E903" s="6" t="s">
        <v>910</v>
      </c>
      <c r="F903" s="39" t="s">
        <v>29</v>
      </c>
      <c r="G903" s="39" t="s">
        <v>108</v>
      </c>
      <c r="H903" s="130" t="s">
        <v>182</v>
      </c>
      <c r="I903" s="114" t="s">
        <v>175</v>
      </c>
      <c r="J903" s="131">
        <v>4</v>
      </c>
      <c r="K903" s="342"/>
      <c r="L903" s="343"/>
      <c r="M903" s="344"/>
      <c r="N903" s="345"/>
      <c r="O903" s="346"/>
      <c r="P903" s="347"/>
      <c r="Q903" s="345"/>
      <c r="R903" s="344">
        <f>100*47.5*1.03-70.44+100*48*1.03+20*48*1.03+20*48*1.03-83.49+80*47.21*1.03+20*47.63*1.03</f>
        <v>16531.452000000001</v>
      </c>
      <c r="S903" s="348"/>
      <c r="T903" s="102">
        <f>SUM(Finance[[#This Row],[Samer]:[Margins]])</f>
        <v>16531.452000000001</v>
      </c>
      <c r="U903" s="103">
        <f>ABS(Finance[[#This Row],[Total (EGP)]])</f>
        <v>16531.452000000001</v>
      </c>
      <c r="V903" s="349"/>
    </row>
    <row r="904" spans="2:22" ht="18" customHeight="1" x14ac:dyDescent="0.3">
      <c r="B904" s="317">
        <v>45991</v>
      </c>
      <c r="C904" s="169">
        <f>YEAR(Finance[[#This Row],[Date]])</f>
        <v>2025</v>
      </c>
      <c r="D904" s="318">
        <f>MONTH(Finance[[#This Row],[Date]])</f>
        <v>11</v>
      </c>
      <c r="E904" s="39" t="s">
        <v>917</v>
      </c>
      <c r="F904" s="39" t="s">
        <v>29</v>
      </c>
      <c r="G904" s="39" t="s">
        <v>213</v>
      </c>
      <c r="H904" s="48" t="s">
        <v>214</v>
      </c>
      <c r="I904" s="114" t="s">
        <v>175</v>
      </c>
      <c r="J904" s="131">
        <v>3</v>
      </c>
      <c r="K904" s="31"/>
      <c r="L904" s="132">
        <f>-373.28-41.17</f>
        <v>-414.45</v>
      </c>
      <c r="M904" s="325"/>
      <c r="N904" s="325"/>
      <c r="O904" s="326"/>
      <c r="P904" s="326"/>
      <c r="Q904" s="325"/>
      <c r="R904" s="325">
        <f>-829.5*0.45*10-829.5*3-41.18*10</f>
        <v>-6633.05</v>
      </c>
      <c r="S904" s="327"/>
      <c r="T904" s="102">
        <f>SUM(Finance[[#This Row],[Samer]:[Margins]])</f>
        <v>-7047.5</v>
      </c>
      <c r="U904" s="103">
        <f>ABS(Finance[[#This Row],[Total (EGP)]])</f>
        <v>7047.5</v>
      </c>
      <c r="V904" s="328"/>
    </row>
    <row r="905" spans="2:22" ht="18" customHeight="1" x14ac:dyDescent="0.3">
      <c r="B905" s="317">
        <v>45991</v>
      </c>
      <c r="C905" s="169">
        <f>YEAR(Finance[[#This Row],[Date]])</f>
        <v>2025</v>
      </c>
      <c r="D905" s="318">
        <f>MONTH(Finance[[#This Row],[Date]])</f>
        <v>11</v>
      </c>
      <c r="E905" s="19" t="s">
        <v>898</v>
      </c>
      <c r="F905" s="6" t="s">
        <v>73</v>
      </c>
      <c r="G905" s="6" t="s">
        <v>75</v>
      </c>
      <c r="H905" s="134" t="s">
        <v>234</v>
      </c>
      <c r="I905" s="135" t="s">
        <v>185</v>
      </c>
      <c r="J905" s="136">
        <v>4</v>
      </c>
      <c r="K905" s="323"/>
      <c r="L905" s="324"/>
      <c r="M905" s="325"/>
      <c r="N905" s="325"/>
      <c r="O905" s="326"/>
      <c r="P905" s="326"/>
      <c r="Q905" s="325"/>
      <c r="R905" s="325">
        <v>-23499.4</v>
      </c>
      <c r="S905" s="327"/>
      <c r="T905" s="102">
        <f>SUM(Finance[[#This Row],[Samer]:[Margins]])</f>
        <v>-23499.4</v>
      </c>
      <c r="U905" s="103">
        <f>ABS(Finance[[#This Row],[Total (EGP)]])</f>
        <v>23499.4</v>
      </c>
      <c r="V905" s="328"/>
    </row>
    <row r="906" spans="2:22" ht="18" customHeight="1" x14ac:dyDescent="0.3">
      <c r="B906" s="317">
        <v>45991</v>
      </c>
      <c r="C906" s="169">
        <f>YEAR(Finance[[#This Row],[Date]])</f>
        <v>2025</v>
      </c>
      <c r="D906" s="318">
        <f>MONTH(Finance[[#This Row],[Date]])</f>
        <v>11</v>
      </c>
      <c r="E906" s="19" t="s">
        <v>270</v>
      </c>
      <c r="F906" s="6" t="s">
        <v>73</v>
      </c>
      <c r="G906" s="6" t="s">
        <v>75</v>
      </c>
      <c r="H906" s="134" t="s">
        <v>90</v>
      </c>
      <c r="I906" s="135" t="s">
        <v>185</v>
      </c>
      <c r="J906" s="136">
        <v>4</v>
      </c>
      <c r="K906" s="323"/>
      <c r="L906" s="324"/>
      <c r="M906" s="325"/>
      <c r="N906" s="325"/>
      <c r="O906" s="326"/>
      <c r="P906" s="326"/>
      <c r="Q906" s="325"/>
      <c r="R906" s="325">
        <f>-23499.4*0.14</f>
        <v>-3289.9160000000006</v>
      </c>
      <c r="S906" s="327"/>
      <c r="T906" s="102">
        <f>SUM(Finance[[#This Row],[Samer]:[Margins]])</f>
        <v>-3289.9160000000006</v>
      </c>
      <c r="U906" s="103">
        <f>ABS(Finance[[#This Row],[Total (EGP)]])</f>
        <v>3289.9160000000006</v>
      </c>
      <c r="V906" s="328"/>
    </row>
    <row r="907" spans="2:22" ht="18" customHeight="1" x14ac:dyDescent="0.3">
      <c r="B907" s="317">
        <v>45991</v>
      </c>
      <c r="C907" s="169">
        <f>YEAR(Finance[[#This Row],[Date]])</f>
        <v>2025</v>
      </c>
      <c r="D907" s="318">
        <f>MONTH(Finance[[#This Row],[Date]])</f>
        <v>11</v>
      </c>
      <c r="E907" s="19" t="s">
        <v>899</v>
      </c>
      <c r="F907" s="6" t="s">
        <v>73</v>
      </c>
      <c r="G907" s="6" t="s">
        <v>272</v>
      </c>
      <c r="H907" s="134" t="s">
        <v>234</v>
      </c>
      <c r="I907" s="135" t="s">
        <v>185</v>
      </c>
      <c r="J907" s="136">
        <v>5</v>
      </c>
      <c r="K907" s="323"/>
      <c r="L907" s="324"/>
      <c r="M907" s="325"/>
      <c r="N907" s="325"/>
      <c r="O907" s="326"/>
      <c r="P907" s="326"/>
      <c r="Q907" s="325"/>
      <c r="R907" s="325">
        <v>-4875</v>
      </c>
      <c r="S907" s="327"/>
      <c r="T907" s="102">
        <f>SUM(Finance[[#This Row],[Samer]:[Margins]])</f>
        <v>-4875</v>
      </c>
      <c r="U907" s="103">
        <f>ABS(Finance[[#This Row],[Total (EGP)]])</f>
        <v>4875</v>
      </c>
      <c r="V907" s="328"/>
    </row>
    <row r="908" spans="2:22" ht="18" customHeight="1" x14ac:dyDescent="0.3">
      <c r="B908" s="317">
        <v>45991</v>
      </c>
      <c r="C908" s="169">
        <f>YEAR(Finance[[#This Row],[Date]])</f>
        <v>2025</v>
      </c>
      <c r="D908" s="318">
        <f>MONTH(Finance[[#This Row],[Date]])</f>
        <v>11</v>
      </c>
      <c r="E908" s="19" t="s">
        <v>273</v>
      </c>
      <c r="F908" s="6" t="s">
        <v>73</v>
      </c>
      <c r="G908" s="6" t="s">
        <v>272</v>
      </c>
      <c r="H908" s="134" t="s">
        <v>90</v>
      </c>
      <c r="I908" s="135" t="s">
        <v>185</v>
      </c>
      <c r="J908" s="136">
        <v>5</v>
      </c>
      <c r="K908" s="323"/>
      <c r="L908" s="324"/>
      <c r="M908" s="325"/>
      <c r="N908" s="325"/>
      <c r="O908" s="326"/>
      <c r="P908" s="326"/>
      <c r="Q908" s="325"/>
      <c r="R908" s="325">
        <f>-4875*0.14</f>
        <v>-682.50000000000011</v>
      </c>
      <c r="S908" s="327"/>
      <c r="T908" s="102">
        <f>SUM(Finance[[#This Row],[Samer]:[Margins]])</f>
        <v>-682.50000000000011</v>
      </c>
      <c r="U908" s="103">
        <f>ABS(Finance[[#This Row],[Total (EGP)]])</f>
        <v>682.50000000000011</v>
      </c>
      <c r="V908" s="328"/>
    </row>
    <row r="909" spans="2:22" ht="18" customHeight="1" x14ac:dyDescent="0.3">
      <c r="B909" s="317">
        <v>45991</v>
      </c>
      <c r="C909" s="169">
        <f>YEAR(Finance[[#This Row],[Date]])</f>
        <v>2025</v>
      </c>
      <c r="D909" s="318">
        <f>MONTH(Finance[[#This Row],[Date]])</f>
        <v>11</v>
      </c>
      <c r="E909" s="335" t="s">
        <v>951</v>
      </c>
      <c r="F909" s="329" t="s">
        <v>73</v>
      </c>
      <c r="G909" s="329" t="s">
        <v>75</v>
      </c>
      <c r="H909" s="330" t="s">
        <v>234</v>
      </c>
      <c r="I909" s="135" t="s">
        <v>185</v>
      </c>
      <c r="J909" s="136">
        <v>4</v>
      </c>
      <c r="K909" s="323"/>
      <c r="L909" s="324"/>
      <c r="M909" s="325"/>
      <c r="N909" s="325"/>
      <c r="O909" s="326"/>
      <c r="P909" s="326"/>
      <c r="Q909" s="325"/>
      <c r="R909" s="325">
        <v>-7882.5</v>
      </c>
      <c r="S909" s="327"/>
      <c r="T909" s="102">
        <f>SUM(Finance[[#This Row],[Samer]:[Margins]])</f>
        <v>-7882.5</v>
      </c>
      <c r="U909" s="103">
        <f>ABS(Finance[[#This Row],[Total (EGP)]])</f>
        <v>7882.5</v>
      </c>
      <c r="V909" s="328"/>
    </row>
    <row r="910" spans="2:22" ht="18" customHeight="1" x14ac:dyDescent="0.3">
      <c r="B910" s="317">
        <v>45991</v>
      </c>
      <c r="C910" s="169">
        <f>YEAR(Finance[[#This Row],[Date]])</f>
        <v>2025</v>
      </c>
      <c r="D910" s="318">
        <f>MONTH(Finance[[#This Row],[Date]])</f>
        <v>11</v>
      </c>
      <c r="E910" s="19" t="s">
        <v>900</v>
      </c>
      <c r="F910" s="6" t="s">
        <v>73</v>
      </c>
      <c r="G910" s="6" t="s">
        <v>75</v>
      </c>
      <c r="H910" s="134" t="s">
        <v>90</v>
      </c>
      <c r="I910" s="135" t="s">
        <v>185</v>
      </c>
      <c r="J910" s="136">
        <v>4</v>
      </c>
      <c r="K910" s="323"/>
      <c r="L910" s="324"/>
      <c r="M910" s="325"/>
      <c r="N910" s="325"/>
      <c r="O910" s="326"/>
      <c r="P910" s="326"/>
      <c r="Q910" s="325"/>
      <c r="R910" s="325">
        <f>-7882.5*0.14</f>
        <v>-1103.5500000000002</v>
      </c>
      <c r="S910" s="327"/>
      <c r="T910" s="102">
        <f>SUM(Finance[[#This Row],[Samer]:[Margins]])</f>
        <v>-1103.5500000000002</v>
      </c>
      <c r="U910" s="103">
        <f>ABS(Finance[[#This Row],[Total (EGP)]])</f>
        <v>1103.5500000000002</v>
      </c>
      <c r="V910" s="328"/>
    </row>
    <row r="911" spans="2:22" ht="18" customHeight="1" x14ac:dyDescent="0.3">
      <c r="B911" s="317">
        <v>45991</v>
      </c>
      <c r="C911" s="169">
        <f>YEAR(Finance[[#This Row],[Date]])</f>
        <v>2025</v>
      </c>
      <c r="D911" s="318">
        <f>MONTH(Finance[[#This Row],[Date]])</f>
        <v>11</v>
      </c>
      <c r="E911" s="6" t="s">
        <v>275</v>
      </c>
      <c r="F911" s="6" t="s">
        <v>29</v>
      </c>
      <c r="G911" s="6" t="s">
        <v>95</v>
      </c>
      <c r="H911" s="48" t="s">
        <v>276</v>
      </c>
      <c r="I911" s="135" t="s">
        <v>185</v>
      </c>
      <c r="J911" s="136">
        <v>3</v>
      </c>
      <c r="K911" s="323"/>
      <c r="L911" s="324"/>
      <c r="M911" s="325"/>
      <c r="N911" s="325"/>
      <c r="O911" s="326"/>
      <c r="P911" s="326"/>
      <c r="Q911" s="325"/>
      <c r="R911" s="325">
        <v>25</v>
      </c>
      <c r="S911" s="327"/>
      <c r="T911" s="102">
        <f>SUM(Finance[[#This Row],[Samer]:[Margins]])</f>
        <v>25</v>
      </c>
      <c r="U911" s="103">
        <f>ABS(Finance[[#This Row],[Total (EGP)]])</f>
        <v>25</v>
      </c>
      <c r="V911" s="328"/>
    </row>
    <row r="912" spans="2:22" ht="18" customHeight="1" x14ac:dyDescent="0.3">
      <c r="B912" s="339">
        <v>45991</v>
      </c>
      <c r="C912" s="340">
        <f>YEAR(Finance[[#This Row],[Date]])</f>
        <v>2025</v>
      </c>
      <c r="D912" s="341">
        <f>MONTH(Finance[[#This Row],[Date]])</f>
        <v>11</v>
      </c>
      <c r="E912" s="6" t="s">
        <v>254</v>
      </c>
      <c r="F912" s="355" t="s">
        <v>29</v>
      </c>
      <c r="G912" s="329" t="s">
        <v>55</v>
      </c>
      <c r="H912" s="330" t="s">
        <v>352</v>
      </c>
      <c r="I912" s="135" t="s">
        <v>175</v>
      </c>
      <c r="J912" s="136">
        <v>3</v>
      </c>
      <c r="K912" s="342"/>
      <c r="L912" s="343"/>
      <c r="M912" s="344"/>
      <c r="N912" s="345"/>
      <c r="O912" s="346"/>
      <c r="P912" s="347"/>
      <c r="Q912" s="345"/>
      <c r="R912" s="344"/>
      <c r="S912" s="348">
        <v>6953</v>
      </c>
      <c r="T912" s="102">
        <f>SUM(Finance[[#This Row],[Samer]:[Margins]])</f>
        <v>6953</v>
      </c>
      <c r="U912" s="103">
        <f>ABS(Finance[[#This Row],[Total (EGP)]])</f>
        <v>6953</v>
      </c>
      <c r="V912" s="349"/>
    </row>
    <row r="913" spans="2:22" ht="18" customHeight="1" x14ac:dyDescent="0.3">
      <c r="B913" s="339">
        <v>45991</v>
      </c>
      <c r="C913" s="340">
        <f>YEAR(Finance[[#This Row],[Date]])</f>
        <v>2025</v>
      </c>
      <c r="D913" s="341">
        <f>MONTH(Finance[[#This Row],[Date]])</f>
        <v>11</v>
      </c>
      <c r="E913" s="6" t="s">
        <v>101</v>
      </c>
      <c r="F913" s="39" t="s">
        <v>29</v>
      </c>
      <c r="G913" s="6" t="s">
        <v>101</v>
      </c>
      <c r="H913" s="134" t="s">
        <v>74</v>
      </c>
      <c r="I913" s="135" t="s">
        <v>175</v>
      </c>
      <c r="J913" s="136">
        <v>3</v>
      </c>
      <c r="K913" s="342"/>
      <c r="L913" s="343"/>
      <c r="M913" s="344"/>
      <c r="N913" s="345"/>
      <c r="O913" s="346"/>
      <c r="P913" s="347"/>
      <c r="Q913" s="345"/>
      <c r="R913" s="344"/>
      <c r="S913" s="348">
        <v>354</v>
      </c>
      <c r="T913" s="102">
        <f>SUM(Finance[[#This Row],[Samer]:[Margins]])</f>
        <v>354</v>
      </c>
      <c r="U913" s="103">
        <f>ABS(Finance[[#This Row],[Total (EGP)]])</f>
        <v>354</v>
      </c>
      <c r="V913" s="349"/>
    </row>
    <row r="914" spans="2:22" ht="18" customHeight="1" x14ac:dyDescent="0.3">
      <c r="B914" s="339">
        <v>45991</v>
      </c>
      <c r="C914" s="340">
        <f>YEAR(Finance[[#This Row],[Date]])</f>
        <v>2025</v>
      </c>
      <c r="D914" s="341">
        <f>MONTH(Finance[[#This Row],[Date]])</f>
        <v>11</v>
      </c>
      <c r="E914" s="39" t="s">
        <v>32</v>
      </c>
      <c r="F914" s="39" t="s">
        <v>29</v>
      </c>
      <c r="G914" s="6" t="s">
        <v>32</v>
      </c>
      <c r="H914" s="134" t="s">
        <v>142</v>
      </c>
      <c r="I914" s="135" t="s">
        <v>175</v>
      </c>
      <c r="J914" s="136">
        <v>3</v>
      </c>
      <c r="K914" s="342"/>
      <c r="L914" s="343"/>
      <c r="M914" s="344"/>
      <c r="N914" s="345"/>
      <c r="O914" s="346"/>
      <c r="P914" s="347"/>
      <c r="Q914" s="345"/>
      <c r="R914" s="344"/>
      <c r="S914" s="348">
        <v>85</v>
      </c>
      <c r="T914" s="102">
        <f>SUM(Finance[[#This Row],[Samer]:[Margins]])</f>
        <v>85</v>
      </c>
      <c r="U914" s="103">
        <f>ABS(Finance[[#This Row],[Total (EGP)]])</f>
        <v>85</v>
      </c>
      <c r="V914" s="349"/>
    </row>
    <row r="915" spans="2:22" ht="18" customHeight="1" x14ac:dyDescent="0.3">
      <c r="B915" s="317">
        <v>45992</v>
      </c>
      <c r="C915" s="169">
        <f>YEAR(Finance[[#This Row],[Date]])</f>
        <v>2025</v>
      </c>
      <c r="D915" s="318">
        <f>MONTH(Finance[[#This Row],[Date]])</f>
        <v>12</v>
      </c>
      <c r="E915" s="6" t="s">
        <v>902</v>
      </c>
      <c r="F915" s="6" t="s">
        <v>73</v>
      </c>
      <c r="G915" s="6" t="s">
        <v>233</v>
      </c>
      <c r="H915" s="134" t="s">
        <v>234</v>
      </c>
      <c r="I915" s="135" t="s">
        <v>235</v>
      </c>
      <c r="J915" s="136">
        <v>1</v>
      </c>
      <c r="K915" s="323"/>
      <c r="L915" s="324"/>
      <c r="M915" s="325"/>
      <c r="N915" s="325"/>
      <c r="O915" s="326"/>
      <c r="P915" s="326"/>
      <c r="Q915" s="325"/>
      <c r="R915" s="325">
        <v>-300000</v>
      </c>
      <c r="S915" s="327"/>
      <c r="T915" s="102">
        <f>SUM(Finance[[#This Row],[Samer]:[Margins]])</f>
        <v>-300000</v>
      </c>
      <c r="U915" s="103">
        <f>ABS(Finance[[#This Row],[Total (EGP)]])</f>
        <v>300000</v>
      </c>
      <c r="V915" s="328"/>
    </row>
    <row r="916" spans="2:22" ht="18" customHeight="1" x14ac:dyDescent="0.3">
      <c r="B916" s="317">
        <v>45992</v>
      </c>
      <c r="C916" s="169">
        <f>YEAR(Finance[[#This Row],[Date]])</f>
        <v>2025</v>
      </c>
      <c r="D916" s="318">
        <f>MONTH(Finance[[#This Row],[Date]])</f>
        <v>12</v>
      </c>
      <c r="E916" s="6" t="s">
        <v>757</v>
      </c>
      <c r="F916" s="6" t="s">
        <v>29</v>
      </c>
      <c r="G916" s="6" t="s">
        <v>95</v>
      </c>
      <c r="H916" s="134" t="s">
        <v>194</v>
      </c>
      <c r="I916" s="114" t="s">
        <v>235</v>
      </c>
      <c r="J916" s="136">
        <v>3</v>
      </c>
      <c r="K916" s="323"/>
      <c r="L916" s="324"/>
      <c r="M916" s="325"/>
      <c r="N916" s="325"/>
      <c r="O916" s="326"/>
      <c r="P916" s="326"/>
      <c r="Q916" s="325"/>
      <c r="R916" s="325">
        <v>25</v>
      </c>
      <c r="S916" s="327"/>
      <c r="T916" s="102">
        <f>SUM(Finance[[#This Row],[Samer]:[Margins]])</f>
        <v>25</v>
      </c>
      <c r="U916" s="103">
        <f>ABS(Finance[[#This Row],[Total (EGP)]])</f>
        <v>25</v>
      </c>
      <c r="V916" s="328"/>
    </row>
    <row r="917" spans="2:22" ht="18" customHeight="1" x14ac:dyDescent="0.3">
      <c r="B917" s="317">
        <v>45992</v>
      </c>
      <c r="C917" s="169">
        <f>YEAR(Finance[[#This Row],[Date]])</f>
        <v>2025</v>
      </c>
      <c r="D917" s="318">
        <f>MONTH(Finance[[#This Row],[Date]])</f>
        <v>12</v>
      </c>
      <c r="E917" s="6" t="s">
        <v>903</v>
      </c>
      <c r="F917" s="39" t="s">
        <v>30</v>
      </c>
      <c r="G917" s="6" t="s">
        <v>127</v>
      </c>
      <c r="H917" s="48" t="s">
        <v>176</v>
      </c>
      <c r="I917" s="114" t="s">
        <v>904</v>
      </c>
      <c r="J917" s="136">
        <v>4</v>
      </c>
      <c r="K917" s="31"/>
      <c r="L917" s="132">
        <f>107.88*47.5*1.05</f>
        <v>5380.5150000000003</v>
      </c>
      <c r="M917" s="325"/>
      <c r="N917" s="325"/>
      <c r="O917" s="326"/>
      <c r="P917" s="326"/>
      <c r="Q917" s="325"/>
      <c r="R917" s="325"/>
      <c r="S917" s="327"/>
      <c r="T917" s="102">
        <f>SUM(Finance[[#This Row],[Samer]:[Margins]])</f>
        <v>5380.5150000000003</v>
      </c>
      <c r="U917" s="103">
        <f>ABS(Finance[[#This Row],[Total (EGP)]])</f>
        <v>5380.5150000000003</v>
      </c>
      <c r="V917" s="328"/>
    </row>
    <row r="918" spans="2:22" ht="18" customHeight="1" x14ac:dyDescent="0.3">
      <c r="B918" s="317">
        <v>45992</v>
      </c>
      <c r="C918" s="169">
        <f>YEAR(Finance[[#This Row],[Date]])</f>
        <v>2025</v>
      </c>
      <c r="D918" s="318">
        <f>MONTH(Finance[[#This Row],[Date]])</f>
        <v>12</v>
      </c>
      <c r="E918" s="39" t="s">
        <v>905</v>
      </c>
      <c r="F918" s="39" t="s">
        <v>30</v>
      </c>
      <c r="G918" s="39" t="s">
        <v>127</v>
      </c>
      <c r="H918" s="130" t="s">
        <v>176</v>
      </c>
      <c r="I918" s="114" t="s">
        <v>177</v>
      </c>
      <c r="J918" s="131">
        <v>1</v>
      </c>
      <c r="K918" s="31"/>
      <c r="L918" s="132">
        <f>57*55.31*1.25</f>
        <v>3940.8375000000001</v>
      </c>
      <c r="M918" s="325"/>
      <c r="N918" s="325"/>
      <c r="O918" s="326"/>
      <c r="P918" s="326"/>
      <c r="Q918" s="325"/>
      <c r="R918" s="325"/>
      <c r="S918" s="327"/>
      <c r="T918" s="102">
        <f>SUM(Finance[[#This Row],[Samer]:[Margins]])</f>
        <v>3940.8375000000001</v>
      </c>
      <c r="U918" s="103">
        <f>ABS(Finance[[#This Row],[Total (EGP)]])</f>
        <v>3940.8375000000001</v>
      </c>
      <c r="V918" s="328"/>
    </row>
    <row r="919" spans="2:22" ht="18" customHeight="1" x14ac:dyDescent="0.3">
      <c r="B919" s="317">
        <v>45992</v>
      </c>
      <c r="C919" s="169">
        <f>YEAR(Finance[[#This Row],[Date]])</f>
        <v>2025</v>
      </c>
      <c r="D919" s="318">
        <f>MONTH(Finance[[#This Row],[Date]])</f>
        <v>12</v>
      </c>
      <c r="E919" s="39" t="s">
        <v>906</v>
      </c>
      <c r="F919" s="39" t="s">
        <v>30</v>
      </c>
      <c r="G919" s="39" t="s">
        <v>109</v>
      </c>
      <c r="H919" s="130" t="s">
        <v>176</v>
      </c>
      <c r="I919" s="114" t="s">
        <v>177</v>
      </c>
      <c r="J919" s="131">
        <v>1</v>
      </c>
      <c r="K919" s="175"/>
      <c r="L919" s="176">
        <f>17.66*2*47.57*1.05</f>
        <v>1764.18102</v>
      </c>
      <c r="M919" s="325"/>
      <c r="N919" s="325"/>
      <c r="O919" s="326"/>
      <c r="P919" s="326"/>
      <c r="Q919" s="325"/>
      <c r="R919" s="325"/>
      <c r="S919" s="327"/>
      <c r="T919" s="102">
        <f>SUM(Finance[[#This Row],[Samer]:[Margins]])</f>
        <v>1764.18102</v>
      </c>
      <c r="U919" s="103">
        <f>ABS(Finance[[#This Row],[Total (EGP)]])</f>
        <v>1764.18102</v>
      </c>
      <c r="V919" s="328"/>
    </row>
    <row r="920" spans="2:22" ht="18" customHeight="1" x14ac:dyDescent="0.3">
      <c r="B920" s="317">
        <v>45992</v>
      </c>
      <c r="C920" s="169">
        <f>YEAR(Finance[[#This Row],[Date]])</f>
        <v>2025</v>
      </c>
      <c r="D920" s="285">
        <f>MONTH(Finance[[#This Row],[Date]])</f>
        <v>12</v>
      </c>
      <c r="E920" s="334" t="s">
        <v>907</v>
      </c>
      <c r="F920" s="334" t="s">
        <v>29</v>
      </c>
      <c r="G920" s="334" t="s">
        <v>108</v>
      </c>
      <c r="H920" s="337" t="s">
        <v>182</v>
      </c>
      <c r="I920" s="114" t="s">
        <v>175</v>
      </c>
      <c r="J920" s="131">
        <v>4</v>
      </c>
      <c r="K920" s="201"/>
      <c r="L920" s="202">
        <f>280*47.57*1.03</f>
        <v>13719.188</v>
      </c>
      <c r="M920" s="96"/>
      <c r="N920" s="96"/>
      <c r="O920" s="75"/>
      <c r="P920" s="75"/>
      <c r="Q920" s="96"/>
      <c r="R920" s="96"/>
      <c r="S920" s="286"/>
      <c r="T920" s="102">
        <f>SUM(Finance[[#This Row],[Samer]:[Margins]])</f>
        <v>13719.188</v>
      </c>
      <c r="U920" s="103">
        <f>ABS(Finance[[#This Row],[Total (EGP)]])</f>
        <v>13719.188</v>
      </c>
      <c r="V920" s="287"/>
    </row>
    <row r="921" spans="2:22" ht="18" customHeight="1" x14ac:dyDescent="0.3">
      <c r="B921" s="339">
        <v>45993</v>
      </c>
      <c r="C921" s="340">
        <f>YEAR(Finance[[#This Row],[Date]])</f>
        <v>2025</v>
      </c>
      <c r="D921" s="341">
        <f>MONTH(Finance[[#This Row],[Date]])</f>
        <v>12</v>
      </c>
      <c r="E921" s="334" t="s">
        <v>911</v>
      </c>
      <c r="F921" s="334" t="s">
        <v>73</v>
      </c>
      <c r="G921" s="334" t="s">
        <v>75</v>
      </c>
      <c r="H921" s="336" t="s">
        <v>62</v>
      </c>
      <c r="I921" s="114" t="s">
        <v>378</v>
      </c>
      <c r="J921" s="131">
        <v>4</v>
      </c>
      <c r="K921" s="342"/>
      <c r="L921" s="343"/>
      <c r="M921" s="344"/>
      <c r="N921" s="345"/>
      <c r="O921" s="346"/>
      <c r="P921" s="347"/>
      <c r="Q921" s="345"/>
      <c r="R921" s="344">
        <f>-3*875</f>
        <v>-2625</v>
      </c>
      <c r="S921" s="348"/>
      <c r="T921" s="102">
        <f>SUM(Finance[[#This Row],[Samer]:[Margins]])</f>
        <v>-2625</v>
      </c>
      <c r="U921" s="103">
        <f>ABS(Finance[[#This Row],[Total (EGP)]])</f>
        <v>2625</v>
      </c>
      <c r="V921" s="349"/>
    </row>
    <row r="922" spans="2:22" ht="18" customHeight="1" x14ac:dyDescent="0.3">
      <c r="B922" s="339">
        <v>45993</v>
      </c>
      <c r="C922" s="340">
        <f>YEAR(Finance[[#This Row],[Date]])</f>
        <v>2025</v>
      </c>
      <c r="D922" s="341">
        <f>MONTH(Finance[[#This Row],[Date]])</f>
        <v>12</v>
      </c>
      <c r="E922" s="334" t="s">
        <v>835</v>
      </c>
      <c r="F922" s="334" t="s">
        <v>73</v>
      </c>
      <c r="G922" s="334" t="s">
        <v>75</v>
      </c>
      <c r="H922" s="336" t="s">
        <v>90</v>
      </c>
      <c r="I922" s="114" t="s">
        <v>378</v>
      </c>
      <c r="J922" s="131">
        <v>4</v>
      </c>
      <c r="K922" s="342"/>
      <c r="L922" s="343"/>
      <c r="M922" s="344"/>
      <c r="N922" s="345"/>
      <c r="O922" s="346"/>
      <c r="P922" s="347"/>
      <c r="Q922" s="345"/>
      <c r="R922" s="344">
        <f>-2625*0.14</f>
        <v>-367.50000000000006</v>
      </c>
      <c r="S922" s="348"/>
      <c r="T922" s="102">
        <f>SUM(Finance[[#This Row],[Samer]:[Margins]])</f>
        <v>-367.50000000000006</v>
      </c>
      <c r="U922" s="103">
        <f>ABS(Finance[[#This Row],[Total (EGP)]])</f>
        <v>367.50000000000006</v>
      </c>
      <c r="V922" s="349"/>
    </row>
    <row r="923" spans="2:22" ht="18" customHeight="1" x14ac:dyDescent="0.3">
      <c r="B923" s="339">
        <v>45993</v>
      </c>
      <c r="C923" s="340">
        <f>YEAR(Finance[[#This Row],[Date]])</f>
        <v>2025</v>
      </c>
      <c r="D923" s="341">
        <f>MONTH(Finance[[#This Row],[Date]])</f>
        <v>12</v>
      </c>
      <c r="E923" s="329" t="s">
        <v>379</v>
      </c>
      <c r="F923" s="329" t="s">
        <v>29</v>
      </c>
      <c r="G923" s="329" t="s">
        <v>95</v>
      </c>
      <c r="H923" s="330" t="s">
        <v>194</v>
      </c>
      <c r="I923" s="135" t="s">
        <v>378</v>
      </c>
      <c r="J923" s="136">
        <v>3</v>
      </c>
      <c r="K923" s="342"/>
      <c r="L923" s="343"/>
      <c r="M923" s="344"/>
      <c r="N923" s="345"/>
      <c r="O923" s="346"/>
      <c r="P923" s="347"/>
      <c r="Q923" s="345"/>
      <c r="R923" s="344">
        <v>10</v>
      </c>
      <c r="S923" s="348"/>
      <c r="T923" s="102">
        <f>SUM(Finance[[#This Row],[Samer]:[Margins]])</f>
        <v>10</v>
      </c>
      <c r="U923" s="103">
        <f>ABS(Finance[[#This Row],[Total (EGP)]])</f>
        <v>10</v>
      </c>
      <c r="V923" s="349"/>
    </row>
    <row r="924" spans="2:22" ht="18" customHeight="1" x14ac:dyDescent="0.3">
      <c r="B924" s="339">
        <v>45993</v>
      </c>
      <c r="C924" s="340">
        <f>YEAR(Finance[[#This Row],[Date]])</f>
        <v>2025</v>
      </c>
      <c r="D924" s="341">
        <f>MONTH(Finance[[#This Row],[Date]])</f>
        <v>12</v>
      </c>
      <c r="E924" s="334" t="s">
        <v>914</v>
      </c>
      <c r="F924" s="334" t="s">
        <v>73</v>
      </c>
      <c r="G924" s="334" t="s">
        <v>75</v>
      </c>
      <c r="H924" s="336" t="s">
        <v>62</v>
      </c>
      <c r="I924" s="114" t="s">
        <v>386</v>
      </c>
      <c r="J924" s="131">
        <v>4</v>
      </c>
      <c r="K924" s="342"/>
      <c r="L924" s="343"/>
      <c r="M924" s="344"/>
      <c r="N924" s="345"/>
      <c r="O924" s="346"/>
      <c r="P924" s="347"/>
      <c r="Q924" s="345"/>
      <c r="R924" s="344">
        <v>-7362.96</v>
      </c>
      <c r="S924" s="348"/>
      <c r="T924" s="102">
        <f>SUM(Finance[[#This Row],[Samer]:[Margins]])</f>
        <v>-7362.96</v>
      </c>
      <c r="U924" s="103">
        <f>ABS(Finance[[#This Row],[Total (EGP)]])</f>
        <v>7362.96</v>
      </c>
      <c r="V924" s="349"/>
    </row>
    <row r="925" spans="2:22" ht="18" customHeight="1" x14ac:dyDescent="0.3">
      <c r="B925" s="339">
        <v>45993</v>
      </c>
      <c r="C925" s="340">
        <f>YEAR(Finance[[#This Row],[Date]])</f>
        <v>2025</v>
      </c>
      <c r="D925" s="341">
        <f>MONTH(Finance[[#This Row],[Date]])</f>
        <v>12</v>
      </c>
      <c r="E925" s="39" t="s">
        <v>912</v>
      </c>
      <c r="F925" s="39" t="s">
        <v>73</v>
      </c>
      <c r="G925" s="39" t="s">
        <v>75</v>
      </c>
      <c r="H925" s="48" t="s">
        <v>90</v>
      </c>
      <c r="I925" s="114" t="s">
        <v>386</v>
      </c>
      <c r="J925" s="131">
        <v>4</v>
      </c>
      <c r="K925" s="342"/>
      <c r="L925" s="343"/>
      <c r="M925" s="344"/>
      <c r="N925" s="345"/>
      <c r="O925" s="346"/>
      <c r="P925" s="347"/>
      <c r="Q925" s="345"/>
      <c r="R925" s="344">
        <f>-7362.96*0.14</f>
        <v>-1030.8144000000002</v>
      </c>
      <c r="S925" s="348"/>
      <c r="T925" s="102">
        <f>SUM(Finance[[#This Row],[Samer]:[Margins]])</f>
        <v>-1030.8144000000002</v>
      </c>
      <c r="U925" s="103">
        <f>ABS(Finance[[#This Row],[Total (EGP)]])</f>
        <v>1030.8144000000002</v>
      </c>
      <c r="V925" s="349"/>
    </row>
    <row r="926" spans="2:22" ht="18" customHeight="1" x14ac:dyDescent="0.3">
      <c r="B926" s="7">
        <v>45993</v>
      </c>
      <c r="C926" s="358">
        <f>YEAR(Finance[[#This Row],[Date]])</f>
        <v>2025</v>
      </c>
      <c r="D926" s="359">
        <f>MONTH(Finance[[#This Row],[Date]])</f>
        <v>12</v>
      </c>
      <c r="E926" s="329" t="s">
        <v>915</v>
      </c>
      <c r="F926" s="329" t="s">
        <v>84</v>
      </c>
      <c r="G926" s="329" t="s">
        <v>86</v>
      </c>
      <c r="H926" s="330" t="s">
        <v>234</v>
      </c>
      <c r="I926" s="114" t="s">
        <v>386</v>
      </c>
      <c r="J926" s="129">
        <v>4</v>
      </c>
      <c r="K926" s="363"/>
      <c r="L926" s="364"/>
      <c r="M926" s="96"/>
      <c r="N926" s="365"/>
      <c r="O926" s="366"/>
      <c r="P926" s="75"/>
      <c r="Q926" s="365"/>
      <c r="R926" s="96">
        <f>7362.96*0.03</f>
        <v>220.8888</v>
      </c>
      <c r="S926" s="286"/>
      <c r="T926" s="102">
        <f>SUM(Finance[[#This Row],[Samer]:[Margins]])</f>
        <v>220.8888</v>
      </c>
      <c r="U926" s="103">
        <f>ABS(Finance[[#This Row],[Total (EGP)]])</f>
        <v>220.8888</v>
      </c>
      <c r="V926" s="367"/>
    </row>
    <row r="927" spans="2:22" ht="18" customHeight="1" x14ac:dyDescent="0.3">
      <c r="B927" s="339">
        <v>45993</v>
      </c>
      <c r="C927" s="340">
        <f>YEAR(Finance[[#This Row],[Date]])</f>
        <v>2025</v>
      </c>
      <c r="D927" s="341">
        <f>MONTH(Finance[[#This Row],[Date]])</f>
        <v>12</v>
      </c>
      <c r="E927" s="6" t="s">
        <v>913</v>
      </c>
      <c r="F927" s="6" t="s">
        <v>29</v>
      </c>
      <c r="G927" s="6" t="s">
        <v>95</v>
      </c>
      <c r="H927" s="134" t="s">
        <v>194</v>
      </c>
      <c r="I927" s="135" t="s">
        <v>386</v>
      </c>
      <c r="J927" s="136">
        <v>3</v>
      </c>
      <c r="K927" s="342"/>
      <c r="L927" s="343"/>
      <c r="M927" s="344"/>
      <c r="N927" s="345"/>
      <c r="O927" s="346"/>
      <c r="P927" s="347"/>
      <c r="Q927" s="345"/>
      <c r="R927" s="344">
        <v>10</v>
      </c>
      <c r="S927" s="348"/>
      <c r="T927" s="102">
        <f>SUM(Finance[[#This Row],[Samer]:[Margins]])</f>
        <v>10</v>
      </c>
      <c r="U927" s="103">
        <f>ABS(Finance[[#This Row],[Total (EGP)]])</f>
        <v>10</v>
      </c>
      <c r="V927" s="349"/>
    </row>
    <row r="928" spans="2:22" ht="18" customHeight="1" x14ac:dyDescent="0.3">
      <c r="B928" s="339">
        <v>45993</v>
      </c>
      <c r="C928" s="340">
        <f>YEAR(Finance[[#This Row],[Date]])</f>
        <v>2025</v>
      </c>
      <c r="D928" s="341">
        <f>MONTH(Finance[[#This Row],[Date]])</f>
        <v>12</v>
      </c>
      <c r="E928" s="368" t="s">
        <v>797</v>
      </c>
      <c r="F928" s="368" t="s">
        <v>29</v>
      </c>
      <c r="G928" s="368" t="s">
        <v>101</v>
      </c>
      <c r="H928" s="370" t="s">
        <v>800</v>
      </c>
      <c r="I928" s="292" t="s">
        <v>175</v>
      </c>
      <c r="J928" s="293">
        <v>3</v>
      </c>
      <c r="K928" s="342"/>
      <c r="L928" s="343"/>
      <c r="M928" s="344"/>
      <c r="N928" s="345"/>
      <c r="O928" s="346"/>
      <c r="P928" s="347"/>
      <c r="Q928" s="345"/>
      <c r="R928" s="344">
        <f>5*500</f>
        <v>2500</v>
      </c>
      <c r="S928" s="348"/>
      <c r="T928" s="102">
        <f>SUM(Finance[[#This Row],[Samer]:[Margins]])</f>
        <v>2500</v>
      </c>
      <c r="U928" s="103">
        <f>ABS(Finance[[#This Row],[Total (EGP)]])</f>
        <v>2500</v>
      </c>
      <c r="V928" s="349"/>
    </row>
    <row r="929" spans="2:22" ht="18" customHeight="1" x14ac:dyDescent="0.3">
      <c r="B929" s="339">
        <v>45993</v>
      </c>
      <c r="C929" s="340">
        <f>YEAR(Finance[[#This Row],[Date]])</f>
        <v>2025</v>
      </c>
      <c r="D929" s="341">
        <f>MONTH(Finance[[#This Row],[Date]])</f>
        <v>12</v>
      </c>
      <c r="E929" s="334" t="s">
        <v>918</v>
      </c>
      <c r="F929" s="334" t="s">
        <v>73</v>
      </c>
      <c r="G929" s="334" t="s">
        <v>93</v>
      </c>
      <c r="H929" s="336" t="s">
        <v>62</v>
      </c>
      <c r="I929" s="114" t="s">
        <v>386</v>
      </c>
      <c r="J929" s="131">
        <v>4</v>
      </c>
      <c r="K929" s="342"/>
      <c r="L929" s="343"/>
      <c r="M929" s="344"/>
      <c r="N929" s="345"/>
      <c r="O929" s="346"/>
      <c r="P929" s="347"/>
      <c r="Q929" s="345"/>
      <c r="R929" s="344">
        <v>-3712.5</v>
      </c>
      <c r="S929" s="348"/>
      <c r="T929" s="102">
        <f>SUM(Finance[[#This Row],[Samer]:[Margins]])</f>
        <v>-3712.5</v>
      </c>
      <c r="U929" s="103">
        <f>ABS(Finance[[#This Row],[Total (EGP)]])</f>
        <v>3712.5</v>
      </c>
      <c r="V929" s="349"/>
    </row>
    <row r="930" spans="2:22" ht="18" customHeight="1" x14ac:dyDescent="0.3">
      <c r="B930" s="7">
        <v>45993</v>
      </c>
      <c r="C930" s="358">
        <f>YEAR(Finance[[#This Row],[Date]])</f>
        <v>2025</v>
      </c>
      <c r="D930" s="359">
        <f>MONTH(Finance[[#This Row],[Date]])</f>
        <v>12</v>
      </c>
      <c r="E930" s="334" t="s">
        <v>912</v>
      </c>
      <c r="F930" s="334" t="s">
        <v>73</v>
      </c>
      <c r="G930" s="334" t="s">
        <v>93</v>
      </c>
      <c r="H930" s="336" t="s">
        <v>90</v>
      </c>
      <c r="I930" s="114" t="s">
        <v>386</v>
      </c>
      <c r="J930" s="131">
        <v>4</v>
      </c>
      <c r="K930" s="363"/>
      <c r="L930" s="364"/>
      <c r="M930" s="96"/>
      <c r="N930" s="365"/>
      <c r="O930" s="366"/>
      <c r="P930" s="75"/>
      <c r="Q930" s="365"/>
      <c r="R930" s="96">
        <f>-3712.5*0.14</f>
        <v>-519.75</v>
      </c>
      <c r="S930" s="286"/>
      <c r="T930" s="102">
        <f>SUM(Finance[[#This Row],[Samer]:[Margins]])</f>
        <v>-519.75</v>
      </c>
      <c r="U930" s="103">
        <f>ABS(Finance[[#This Row],[Total (EGP)]])</f>
        <v>519.75</v>
      </c>
      <c r="V930" s="367"/>
    </row>
    <row r="931" spans="2:22" ht="18" customHeight="1" x14ac:dyDescent="0.3">
      <c r="B931" s="7">
        <v>45993</v>
      </c>
      <c r="C931" s="358">
        <f>YEAR(Finance[[#This Row],[Date]])</f>
        <v>2025</v>
      </c>
      <c r="D931" s="359">
        <f>MONTH(Finance[[#This Row],[Date]])</f>
        <v>12</v>
      </c>
      <c r="E931" s="39" t="s">
        <v>919</v>
      </c>
      <c r="F931" s="6" t="s">
        <v>30</v>
      </c>
      <c r="G931" s="6" t="s">
        <v>88</v>
      </c>
      <c r="H931" s="134" t="s">
        <v>210</v>
      </c>
      <c r="I931" s="135" t="s">
        <v>177</v>
      </c>
      <c r="J931" s="136">
        <v>4</v>
      </c>
      <c r="K931" s="262"/>
      <c r="L931" s="263">
        <f>5*975</f>
        <v>4875</v>
      </c>
      <c r="M931" s="96"/>
      <c r="N931" s="365"/>
      <c r="O931" s="366"/>
      <c r="P931" s="75"/>
      <c r="Q931" s="365"/>
      <c r="R931" s="96"/>
      <c r="S931" s="286"/>
      <c r="T931" s="102">
        <f>SUM(Finance[[#This Row],[Samer]:[Margins]])</f>
        <v>4875</v>
      </c>
      <c r="U931" s="103">
        <f>ABS(Finance[[#This Row],[Total (EGP)]])</f>
        <v>4875</v>
      </c>
      <c r="V931" s="367"/>
    </row>
    <row r="932" spans="2:22" ht="18" customHeight="1" x14ac:dyDescent="0.3">
      <c r="B932" s="7">
        <v>45993</v>
      </c>
      <c r="C932" s="358">
        <f>YEAR(Finance[[#This Row],[Date]])</f>
        <v>2025</v>
      </c>
      <c r="D932" s="359">
        <f>MONTH(Finance[[#This Row],[Date]])</f>
        <v>12</v>
      </c>
      <c r="E932" s="6" t="s">
        <v>242</v>
      </c>
      <c r="F932" s="360" t="s">
        <v>29</v>
      </c>
      <c r="G932" s="6" t="s">
        <v>112</v>
      </c>
      <c r="H932" s="361" t="s">
        <v>243</v>
      </c>
      <c r="I932" s="362" t="s">
        <v>175</v>
      </c>
      <c r="J932" s="136">
        <v>3</v>
      </c>
      <c r="K932" s="363"/>
      <c r="L932" s="364"/>
      <c r="M932" s="96"/>
      <c r="N932" s="365"/>
      <c r="O932" s="366"/>
      <c r="P932" s="75"/>
      <c r="Q932" s="365"/>
      <c r="R932" s="96">
        <v>1402.2</v>
      </c>
      <c r="S932" s="286"/>
      <c r="T932" s="102">
        <f>SUM(Finance[[#This Row],[Samer]:[Margins]])</f>
        <v>1402.2</v>
      </c>
      <c r="U932" s="103">
        <f>ABS(Finance[[#This Row],[Total (EGP)]])</f>
        <v>1402.2</v>
      </c>
      <c r="V932" s="367"/>
    </row>
    <row r="933" spans="2:22" ht="18" customHeight="1" x14ac:dyDescent="0.3">
      <c r="B933" s="7">
        <v>45994</v>
      </c>
      <c r="C933" s="358">
        <f>YEAR(Finance[[#This Row],[Date]])</f>
        <v>2025</v>
      </c>
      <c r="D933" s="359">
        <f>MONTH(Finance[[#This Row],[Date]])</f>
        <v>12</v>
      </c>
      <c r="E933" s="6" t="s">
        <v>262</v>
      </c>
      <c r="F933" s="360" t="s">
        <v>37</v>
      </c>
      <c r="G933" s="6" t="s">
        <v>36</v>
      </c>
      <c r="H933" s="361" t="s">
        <v>206</v>
      </c>
      <c r="I933" s="362" t="s">
        <v>175</v>
      </c>
      <c r="J933" s="136">
        <v>0</v>
      </c>
      <c r="K933" s="363"/>
      <c r="L933" s="364">
        <v>4000</v>
      </c>
      <c r="M933" s="96"/>
      <c r="N933" s="365"/>
      <c r="O933" s="366"/>
      <c r="P933" s="75"/>
      <c r="Q933" s="365"/>
      <c r="R933" s="96"/>
      <c r="S933" s="286">
        <v>-4000</v>
      </c>
      <c r="T933" s="102">
        <f>SUM(Finance[[#This Row],[Samer]:[Margins]])</f>
        <v>0</v>
      </c>
      <c r="U933" s="103">
        <f>ABS(Finance[[#This Row],[Total (EGP)]])</f>
        <v>0</v>
      </c>
      <c r="V933" s="367"/>
    </row>
    <row r="934" spans="2:22" ht="18" customHeight="1" x14ac:dyDescent="0.3">
      <c r="B934" s="339">
        <v>45998</v>
      </c>
      <c r="C934" s="340">
        <f>YEAR(Finance[[#This Row],[Date]])</f>
        <v>2025</v>
      </c>
      <c r="D934" s="341">
        <f>MONTH(Finance[[#This Row],[Date]])</f>
        <v>12</v>
      </c>
      <c r="E934" s="6" t="s">
        <v>936</v>
      </c>
      <c r="F934" s="6" t="s">
        <v>73</v>
      </c>
      <c r="G934" s="6" t="s">
        <v>93</v>
      </c>
      <c r="H934" s="134" t="s">
        <v>199</v>
      </c>
      <c r="I934" s="114" t="s">
        <v>369</v>
      </c>
      <c r="J934" s="136">
        <v>4</v>
      </c>
      <c r="K934" s="342"/>
      <c r="L934" s="343"/>
      <c r="M934" s="344"/>
      <c r="N934" s="345"/>
      <c r="O934" s="346"/>
      <c r="P934" s="347"/>
      <c r="Q934" s="345"/>
      <c r="R934" s="344">
        <v>-6518.75</v>
      </c>
      <c r="S934" s="348"/>
      <c r="T934" s="102">
        <f>SUM(Finance[[#This Row],[Samer]:[Margins]])</f>
        <v>-6518.75</v>
      </c>
      <c r="U934" s="103">
        <f>ABS(Finance[[#This Row],[Total (EGP)]])</f>
        <v>6518.75</v>
      </c>
      <c r="V934" s="349"/>
    </row>
    <row r="935" spans="2:22" ht="18" customHeight="1" x14ac:dyDescent="0.3">
      <c r="B935" s="339">
        <v>45998</v>
      </c>
      <c r="C935" s="340">
        <f>YEAR(Finance[[#This Row],[Date]])</f>
        <v>2025</v>
      </c>
      <c r="D935" s="341">
        <f>MONTH(Finance[[#This Row],[Date]])</f>
        <v>12</v>
      </c>
      <c r="E935" s="6" t="s">
        <v>935</v>
      </c>
      <c r="F935" s="6" t="s">
        <v>73</v>
      </c>
      <c r="G935" s="6" t="s">
        <v>93</v>
      </c>
      <c r="H935" s="134" t="s">
        <v>90</v>
      </c>
      <c r="I935" s="114" t="s">
        <v>369</v>
      </c>
      <c r="J935" s="136">
        <v>4</v>
      </c>
      <c r="K935" s="342"/>
      <c r="L935" s="343"/>
      <c r="M935" s="344"/>
      <c r="N935" s="345"/>
      <c r="O935" s="346"/>
      <c r="P935" s="347"/>
      <c r="Q935" s="345"/>
      <c r="R935" s="344">
        <f>-6518.75*0.14</f>
        <v>-912.62500000000011</v>
      </c>
      <c r="S935" s="348"/>
      <c r="T935" s="102">
        <f>SUM(Finance[[#This Row],[Samer]:[Margins]])</f>
        <v>-912.62500000000011</v>
      </c>
      <c r="U935" s="103">
        <f>ABS(Finance[[#This Row],[Total (EGP)]])</f>
        <v>912.62500000000011</v>
      </c>
      <c r="V935" s="349"/>
    </row>
    <row r="936" spans="2:22" ht="18" customHeight="1" x14ac:dyDescent="0.3">
      <c r="B936" s="339">
        <v>45998</v>
      </c>
      <c r="C936" s="340">
        <f>YEAR(Finance[[#This Row],[Date]])</f>
        <v>2025</v>
      </c>
      <c r="D936" s="341">
        <f>MONTH(Finance[[#This Row],[Date]])</f>
        <v>12</v>
      </c>
      <c r="E936" s="6" t="s">
        <v>370</v>
      </c>
      <c r="F936" s="6" t="s">
        <v>29</v>
      </c>
      <c r="G936" s="6" t="s">
        <v>95</v>
      </c>
      <c r="H936" s="134" t="s">
        <v>194</v>
      </c>
      <c r="I936" s="114" t="s">
        <v>369</v>
      </c>
      <c r="J936" s="136">
        <v>3</v>
      </c>
      <c r="K936" s="342"/>
      <c r="L936" s="343"/>
      <c r="M936" s="344"/>
      <c r="N936" s="345"/>
      <c r="O936" s="346"/>
      <c r="P936" s="347"/>
      <c r="Q936" s="345"/>
      <c r="R936" s="344">
        <v>10</v>
      </c>
      <c r="S936" s="348"/>
      <c r="T936" s="102">
        <f>SUM(Finance[[#This Row],[Samer]:[Margins]])</f>
        <v>10</v>
      </c>
      <c r="U936" s="103">
        <f>ABS(Finance[[#This Row],[Total (EGP)]])</f>
        <v>10</v>
      </c>
      <c r="V936" s="349"/>
    </row>
    <row r="937" spans="2:22" ht="18" customHeight="1" x14ac:dyDescent="0.3">
      <c r="B937" s="7">
        <v>45999</v>
      </c>
      <c r="C937" s="358">
        <f>YEAR(Finance[[#This Row],[Date]])</f>
        <v>2025</v>
      </c>
      <c r="D937" s="359">
        <f>MONTH(Finance[[#This Row],[Date]])</f>
        <v>12</v>
      </c>
      <c r="E937" s="6" t="s">
        <v>925</v>
      </c>
      <c r="F937" s="39" t="s">
        <v>84</v>
      </c>
      <c r="G937" s="39" t="s">
        <v>144</v>
      </c>
      <c r="H937" s="48" t="s">
        <v>144</v>
      </c>
      <c r="I937" s="114" t="s">
        <v>175</v>
      </c>
      <c r="J937" s="131">
        <v>3</v>
      </c>
      <c r="K937" s="294"/>
      <c r="L937" s="295"/>
      <c r="M937" s="296"/>
      <c r="N937" s="296"/>
      <c r="O937" s="297"/>
      <c r="P937" s="297"/>
      <c r="Q937" s="296"/>
      <c r="R937" s="296">
        <v>100000</v>
      </c>
      <c r="S937" s="327"/>
      <c r="T937" s="102">
        <f>SUM(Finance[[#This Row],[Samer]:[Margins]])</f>
        <v>100000</v>
      </c>
      <c r="U937" s="103">
        <f>ABS(Finance[[#This Row],[Total (EGP)]])</f>
        <v>100000</v>
      </c>
      <c r="V937" s="367"/>
    </row>
    <row r="938" spans="2:22" ht="18" customHeight="1" x14ac:dyDescent="0.3">
      <c r="B938" s="7">
        <v>45999</v>
      </c>
      <c r="C938" s="358">
        <f>YEAR(Finance[[#This Row],[Date]])</f>
        <v>2025</v>
      </c>
      <c r="D938" s="359">
        <f>MONTH(Finance[[#This Row],[Date]])</f>
        <v>12</v>
      </c>
      <c r="E938" s="6" t="s">
        <v>746</v>
      </c>
      <c r="F938" s="39" t="s">
        <v>29</v>
      </c>
      <c r="G938" s="48" t="s">
        <v>95</v>
      </c>
      <c r="H938" s="48" t="s">
        <v>194</v>
      </c>
      <c r="I938" s="114" t="s">
        <v>175</v>
      </c>
      <c r="J938" s="131">
        <v>3</v>
      </c>
      <c r="K938" s="294"/>
      <c r="L938" s="295"/>
      <c r="M938" s="296"/>
      <c r="N938" s="296"/>
      <c r="O938" s="297"/>
      <c r="P938" s="297"/>
      <c r="Q938" s="296"/>
      <c r="R938" s="296">
        <f>100000*0.00371</f>
        <v>371</v>
      </c>
      <c r="S938" s="327"/>
      <c r="T938" s="102">
        <f>SUM(Finance[[#This Row],[Samer]:[Margins]])</f>
        <v>371</v>
      </c>
      <c r="U938" s="103">
        <f>ABS(Finance[[#This Row],[Total (EGP)]])</f>
        <v>371</v>
      </c>
      <c r="V938" s="367"/>
    </row>
    <row r="939" spans="2:22" ht="18" customHeight="1" x14ac:dyDescent="0.3">
      <c r="B939" s="339">
        <v>45999</v>
      </c>
      <c r="C939" s="340">
        <f>YEAR(Finance[[#This Row],[Date]])</f>
        <v>2025</v>
      </c>
      <c r="D939" s="341">
        <f>MONTH(Finance[[#This Row],[Date]])</f>
        <v>12</v>
      </c>
      <c r="E939" s="6" t="s">
        <v>930</v>
      </c>
      <c r="F939" s="39" t="s">
        <v>84</v>
      </c>
      <c r="G939" s="6" t="s">
        <v>85</v>
      </c>
      <c r="H939" s="48" t="s">
        <v>222</v>
      </c>
      <c r="I939" s="135" t="s">
        <v>175</v>
      </c>
      <c r="J939" s="136">
        <v>3</v>
      </c>
      <c r="K939" s="342"/>
      <c r="L939" s="343"/>
      <c r="M939" s="344"/>
      <c r="N939" s="345"/>
      <c r="O939" s="346"/>
      <c r="P939" s="347"/>
      <c r="Q939" s="345"/>
      <c r="R939" s="344">
        <f>56.12*3</f>
        <v>168.35999999999999</v>
      </c>
      <c r="S939" s="348"/>
      <c r="T939" s="102">
        <f>SUM(Finance[[#This Row],[Samer]:[Margins]])</f>
        <v>168.35999999999999</v>
      </c>
      <c r="U939" s="103">
        <f>ABS(Finance[[#This Row],[Total (EGP)]])</f>
        <v>168.35999999999999</v>
      </c>
      <c r="V939" s="349"/>
    </row>
    <row r="940" spans="2:22" ht="18" customHeight="1" x14ac:dyDescent="0.3">
      <c r="B940" s="339">
        <v>45999</v>
      </c>
      <c r="C940" s="340">
        <f>YEAR(Finance[[#This Row],[Date]])</f>
        <v>2025</v>
      </c>
      <c r="D940" s="341">
        <f>MONTH(Finance[[#This Row],[Date]])</f>
        <v>12</v>
      </c>
      <c r="E940" s="6" t="s">
        <v>223</v>
      </c>
      <c r="F940" s="39" t="s">
        <v>29</v>
      </c>
      <c r="G940" s="6" t="s">
        <v>95</v>
      </c>
      <c r="H940" s="48" t="s">
        <v>194</v>
      </c>
      <c r="I940" s="135" t="s">
        <v>175</v>
      </c>
      <c r="J940" s="136">
        <v>3</v>
      </c>
      <c r="K940" s="342"/>
      <c r="L940" s="343"/>
      <c r="M940" s="344"/>
      <c r="N940" s="345"/>
      <c r="O940" s="346"/>
      <c r="P940" s="347"/>
      <c r="Q940" s="345"/>
      <c r="R940" s="344">
        <f>11.4*3</f>
        <v>34.200000000000003</v>
      </c>
      <c r="S940" s="348"/>
      <c r="T940" s="102">
        <f>SUM(Finance[[#This Row],[Samer]:[Margins]])</f>
        <v>34.200000000000003</v>
      </c>
      <c r="U940" s="103">
        <f>ABS(Finance[[#This Row],[Total (EGP)]])</f>
        <v>34.200000000000003</v>
      </c>
      <c r="V940" s="349"/>
    </row>
    <row r="941" spans="2:22" ht="18" customHeight="1" x14ac:dyDescent="0.3">
      <c r="B941" s="7">
        <v>45999</v>
      </c>
      <c r="C941" s="358">
        <f>YEAR(Finance[[#This Row],[Date]])</f>
        <v>2025</v>
      </c>
      <c r="D941" s="359">
        <f>MONTH(Finance[[#This Row],[Date]])</f>
        <v>12</v>
      </c>
      <c r="E941" s="6" t="s">
        <v>926</v>
      </c>
      <c r="F941" s="6" t="s">
        <v>29</v>
      </c>
      <c r="G941" s="6" t="s">
        <v>108</v>
      </c>
      <c r="H941" s="134" t="s">
        <v>182</v>
      </c>
      <c r="I941" s="135" t="s">
        <v>175</v>
      </c>
      <c r="J941" s="136">
        <v>1</v>
      </c>
      <c r="K941" s="31"/>
      <c r="L941" s="132">
        <v>599</v>
      </c>
      <c r="M941" s="96"/>
      <c r="N941" s="365"/>
      <c r="O941" s="366"/>
      <c r="P941" s="75"/>
      <c r="Q941" s="365"/>
      <c r="R941" s="96"/>
      <c r="S941" s="286"/>
      <c r="T941" s="102">
        <f>SUM(Finance[[#This Row],[Samer]:[Margins]])</f>
        <v>599</v>
      </c>
      <c r="U941" s="103">
        <f>ABS(Finance[[#This Row],[Total (EGP)]])</f>
        <v>599</v>
      </c>
      <c r="V941" s="367"/>
    </row>
    <row r="942" spans="2:22" ht="18" customHeight="1" x14ac:dyDescent="0.3">
      <c r="B942" s="339">
        <v>46000</v>
      </c>
      <c r="C942" s="340">
        <f>YEAR(Finance[[#This Row],[Date]])</f>
        <v>2025</v>
      </c>
      <c r="D942" s="341">
        <f>MONTH(Finance[[#This Row],[Date]])</f>
        <v>12</v>
      </c>
      <c r="E942" s="6" t="s">
        <v>874</v>
      </c>
      <c r="F942" s="39" t="s">
        <v>84</v>
      </c>
      <c r="G942" s="6" t="s">
        <v>85</v>
      </c>
      <c r="H942" s="48" t="s">
        <v>222</v>
      </c>
      <c r="I942" s="135" t="s">
        <v>175</v>
      </c>
      <c r="J942" s="136">
        <v>3</v>
      </c>
      <c r="K942" s="342"/>
      <c r="L942" s="343"/>
      <c r="M942" s="344"/>
      <c r="N942" s="345"/>
      <c r="O942" s="346"/>
      <c r="P942" s="347"/>
      <c r="Q942" s="345"/>
      <c r="R942" s="66">
        <v>9850.56</v>
      </c>
      <c r="S942" s="348"/>
      <c r="T942" s="102">
        <f>SUM(Finance[[#This Row],[Samer]:[Margins]])</f>
        <v>9850.56</v>
      </c>
      <c r="U942" s="103">
        <f>ABS(Finance[[#This Row],[Total (EGP)]])</f>
        <v>9850.56</v>
      </c>
      <c r="V942" s="349"/>
    </row>
    <row r="943" spans="2:22" ht="18" customHeight="1" x14ac:dyDescent="0.3">
      <c r="B943" s="339">
        <v>46000</v>
      </c>
      <c r="C943" s="340">
        <f>YEAR(Finance[[#This Row],[Date]])</f>
        <v>2025</v>
      </c>
      <c r="D943" s="341">
        <f>MONTH(Finance[[#This Row],[Date]])</f>
        <v>12</v>
      </c>
      <c r="E943" s="6" t="s">
        <v>223</v>
      </c>
      <c r="F943" s="39" t="s">
        <v>29</v>
      </c>
      <c r="G943" s="6" t="s">
        <v>95</v>
      </c>
      <c r="H943" s="48" t="s">
        <v>194</v>
      </c>
      <c r="I943" s="135" t="s">
        <v>175</v>
      </c>
      <c r="J943" s="136">
        <v>3</v>
      </c>
      <c r="K943" s="342"/>
      <c r="L943" s="343"/>
      <c r="M943" s="344"/>
      <c r="N943" s="345"/>
      <c r="O943" s="346"/>
      <c r="P943" s="347"/>
      <c r="Q943" s="345"/>
      <c r="R943" s="66">
        <f>9850.47*0.001709563</f>
        <v>16.83999904461</v>
      </c>
      <c r="S943" s="348"/>
      <c r="T943" s="102">
        <f>SUM(Finance[[#This Row],[Samer]:[Margins]])</f>
        <v>16.83999904461</v>
      </c>
      <c r="U943" s="103">
        <f>ABS(Finance[[#This Row],[Total (EGP)]])</f>
        <v>16.83999904461</v>
      </c>
      <c r="V943" s="349"/>
    </row>
    <row r="944" spans="2:22" ht="18" customHeight="1" x14ac:dyDescent="0.3">
      <c r="B944" s="339">
        <v>46000</v>
      </c>
      <c r="C944" s="340">
        <f>YEAR(Finance[[#This Row],[Date]])</f>
        <v>2025</v>
      </c>
      <c r="D944" s="341">
        <f>MONTH(Finance[[#This Row],[Date]])</f>
        <v>12</v>
      </c>
      <c r="E944" s="6" t="s">
        <v>931</v>
      </c>
      <c r="F944" s="39" t="s">
        <v>84</v>
      </c>
      <c r="G944" s="6" t="s">
        <v>85</v>
      </c>
      <c r="H944" s="48" t="s">
        <v>222</v>
      </c>
      <c r="I944" s="135" t="s">
        <v>175</v>
      </c>
      <c r="J944" s="136">
        <v>3</v>
      </c>
      <c r="K944" s="342"/>
      <c r="L944" s="343"/>
      <c r="M944" s="344"/>
      <c r="N944" s="345"/>
      <c r="O944" s="346"/>
      <c r="P944" s="347"/>
      <c r="Q944" s="345"/>
      <c r="R944" s="344">
        <v>386</v>
      </c>
      <c r="S944" s="348"/>
      <c r="T944" s="102">
        <f>SUM(Finance[[#This Row],[Samer]:[Margins]])</f>
        <v>386</v>
      </c>
      <c r="U944" s="103">
        <f>ABS(Finance[[#This Row],[Total (EGP)]])</f>
        <v>386</v>
      </c>
      <c r="V944" s="349"/>
    </row>
    <row r="945" spans="2:22" ht="18" customHeight="1" x14ac:dyDescent="0.3">
      <c r="B945" s="339">
        <v>46000</v>
      </c>
      <c r="C945" s="340">
        <f>YEAR(Finance[[#This Row],[Date]])</f>
        <v>2025</v>
      </c>
      <c r="D945" s="341">
        <f>MONTH(Finance[[#This Row],[Date]])</f>
        <v>12</v>
      </c>
      <c r="E945" s="6" t="s">
        <v>223</v>
      </c>
      <c r="F945" s="39" t="s">
        <v>29</v>
      </c>
      <c r="G945" s="6" t="s">
        <v>95</v>
      </c>
      <c r="H945" s="48" t="s">
        <v>194</v>
      </c>
      <c r="I945" s="135" t="s">
        <v>175</v>
      </c>
      <c r="J945" s="136">
        <v>3</v>
      </c>
      <c r="K945" s="342"/>
      <c r="L945" s="343"/>
      <c r="M945" s="344"/>
      <c r="N945" s="345"/>
      <c r="O945" s="346"/>
      <c r="P945" s="347"/>
      <c r="Q945" s="345"/>
      <c r="R945" s="344">
        <v>11.4</v>
      </c>
      <c r="S945" s="348"/>
      <c r="T945" s="102">
        <f>SUM(Finance[[#This Row],[Samer]:[Margins]])</f>
        <v>11.4</v>
      </c>
      <c r="U945" s="103">
        <f>ABS(Finance[[#This Row],[Total (EGP)]])</f>
        <v>11.4</v>
      </c>
      <c r="V945" s="349"/>
    </row>
    <row r="946" spans="2:22" ht="18" customHeight="1" x14ac:dyDescent="0.3">
      <c r="B946" s="339">
        <v>46000</v>
      </c>
      <c r="C946" s="340">
        <f>YEAR(Finance[[#This Row],[Date]])</f>
        <v>2025</v>
      </c>
      <c r="D946" s="341">
        <f>MONTH(Finance[[#This Row],[Date]])</f>
        <v>12</v>
      </c>
      <c r="E946" s="6" t="s">
        <v>932</v>
      </c>
      <c r="F946" s="39" t="s">
        <v>84</v>
      </c>
      <c r="G946" s="6" t="s">
        <v>85</v>
      </c>
      <c r="H946" s="48" t="s">
        <v>222</v>
      </c>
      <c r="I946" s="135" t="s">
        <v>175</v>
      </c>
      <c r="J946" s="136">
        <v>3</v>
      </c>
      <c r="K946" s="342"/>
      <c r="L946" s="343"/>
      <c r="M946" s="344"/>
      <c r="N946" s="345"/>
      <c r="O946" s="346"/>
      <c r="P946" s="347"/>
      <c r="Q946" s="345"/>
      <c r="R946" s="344">
        <v>668</v>
      </c>
      <c r="S946" s="348"/>
      <c r="T946" s="102">
        <f>SUM(Finance[[#This Row],[Samer]:[Margins]])</f>
        <v>668</v>
      </c>
      <c r="U946" s="103">
        <f>ABS(Finance[[#This Row],[Total (EGP)]])</f>
        <v>668</v>
      </c>
      <c r="V946" s="349"/>
    </row>
    <row r="947" spans="2:22" ht="18" customHeight="1" x14ac:dyDescent="0.3">
      <c r="B947" s="339">
        <v>46000</v>
      </c>
      <c r="C947" s="340">
        <f>YEAR(Finance[[#This Row],[Date]])</f>
        <v>2025</v>
      </c>
      <c r="D947" s="341">
        <f>MONTH(Finance[[#This Row],[Date]])</f>
        <v>12</v>
      </c>
      <c r="E947" s="6" t="s">
        <v>223</v>
      </c>
      <c r="F947" s="39" t="s">
        <v>29</v>
      </c>
      <c r="G947" s="6" t="s">
        <v>95</v>
      </c>
      <c r="H947" s="48" t="s">
        <v>194</v>
      </c>
      <c r="I947" s="135" t="s">
        <v>175</v>
      </c>
      <c r="J947" s="136">
        <v>3</v>
      </c>
      <c r="K947" s="342"/>
      <c r="L947" s="343"/>
      <c r="M947" s="344"/>
      <c r="N947" s="345"/>
      <c r="O947" s="346"/>
      <c r="P947" s="347"/>
      <c r="Q947" s="345"/>
      <c r="R947" s="344">
        <v>11.4</v>
      </c>
      <c r="S947" s="348"/>
      <c r="T947" s="102">
        <f>SUM(Finance[[#This Row],[Samer]:[Margins]])</f>
        <v>11.4</v>
      </c>
      <c r="U947" s="103">
        <f>ABS(Finance[[#This Row],[Total (EGP)]])</f>
        <v>11.4</v>
      </c>
      <c r="V947" s="349"/>
    </row>
    <row r="948" spans="2:22" ht="18" customHeight="1" x14ac:dyDescent="0.3">
      <c r="B948" s="339">
        <v>46000</v>
      </c>
      <c r="C948" s="340">
        <f>YEAR(Finance[[#This Row],[Date]])</f>
        <v>2025</v>
      </c>
      <c r="D948" s="341">
        <f>MONTH(Finance[[#This Row],[Date]])</f>
        <v>12</v>
      </c>
      <c r="E948" s="6" t="s">
        <v>933</v>
      </c>
      <c r="F948" s="39" t="s">
        <v>84</v>
      </c>
      <c r="G948" s="6" t="s">
        <v>85</v>
      </c>
      <c r="H948" s="48" t="s">
        <v>222</v>
      </c>
      <c r="I948" s="135" t="s">
        <v>175</v>
      </c>
      <c r="J948" s="136">
        <v>3</v>
      </c>
      <c r="K948" s="342"/>
      <c r="L948" s="343"/>
      <c r="M948" s="344"/>
      <c r="N948" s="345"/>
      <c r="O948" s="346"/>
      <c r="P948" s="347"/>
      <c r="Q948" s="345"/>
      <c r="R948" s="344">
        <v>518</v>
      </c>
      <c r="S948" s="348"/>
      <c r="T948" s="102">
        <f>SUM(Finance[[#This Row],[Samer]:[Margins]])</f>
        <v>518</v>
      </c>
      <c r="U948" s="103">
        <f>ABS(Finance[[#This Row],[Total (EGP)]])</f>
        <v>518</v>
      </c>
      <c r="V948" s="349"/>
    </row>
    <row r="949" spans="2:22" ht="18" customHeight="1" x14ac:dyDescent="0.3">
      <c r="B949" s="339">
        <v>46000</v>
      </c>
      <c r="C949" s="340">
        <f>YEAR(Finance[[#This Row],[Date]])</f>
        <v>2025</v>
      </c>
      <c r="D949" s="341">
        <f>MONTH(Finance[[#This Row],[Date]])</f>
        <v>12</v>
      </c>
      <c r="E949" s="6" t="s">
        <v>223</v>
      </c>
      <c r="F949" s="39" t="s">
        <v>29</v>
      </c>
      <c r="G949" s="6" t="s">
        <v>95</v>
      </c>
      <c r="H949" s="48" t="s">
        <v>194</v>
      </c>
      <c r="I949" s="135" t="s">
        <v>175</v>
      </c>
      <c r="J949" s="136">
        <v>3</v>
      </c>
      <c r="K949" s="342"/>
      <c r="L949" s="343"/>
      <c r="M949" s="344"/>
      <c r="N949" s="345"/>
      <c r="O949" s="346"/>
      <c r="P949" s="347"/>
      <c r="Q949" s="345"/>
      <c r="R949" s="344">
        <v>11.4</v>
      </c>
      <c r="S949" s="348"/>
      <c r="T949" s="102">
        <f>SUM(Finance[[#This Row],[Samer]:[Margins]])</f>
        <v>11.4</v>
      </c>
      <c r="U949" s="103">
        <f>ABS(Finance[[#This Row],[Total (EGP)]])</f>
        <v>11.4</v>
      </c>
      <c r="V949" s="349"/>
    </row>
    <row r="950" spans="2:22" ht="18" customHeight="1" x14ac:dyDescent="0.3">
      <c r="B950" s="339">
        <v>46000</v>
      </c>
      <c r="C950" s="340">
        <f>YEAR(Finance[[#This Row],[Date]])</f>
        <v>2025</v>
      </c>
      <c r="D950" s="341">
        <f>MONTH(Finance[[#This Row],[Date]])</f>
        <v>12</v>
      </c>
      <c r="E950" s="6" t="s">
        <v>934</v>
      </c>
      <c r="F950" s="39" t="s">
        <v>84</v>
      </c>
      <c r="G950" s="6" t="s">
        <v>85</v>
      </c>
      <c r="H950" s="48" t="s">
        <v>222</v>
      </c>
      <c r="I950" s="135" t="s">
        <v>175</v>
      </c>
      <c r="J950" s="136">
        <v>3</v>
      </c>
      <c r="K950" s="342"/>
      <c r="L950" s="343"/>
      <c r="M950" s="344"/>
      <c r="N950" s="345"/>
      <c r="O950" s="346"/>
      <c r="P950" s="347"/>
      <c r="Q950" s="345"/>
      <c r="R950" s="344">
        <v>590</v>
      </c>
      <c r="S950" s="348"/>
      <c r="T950" s="102">
        <f>SUM(Finance[[#This Row],[Samer]:[Margins]])</f>
        <v>590</v>
      </c>
      <c r="U950" s="103">
        <f>ABS(Finance[[#This Row],[Total (EGP)]])</f>
        <v>590</v>
      </c>
      <c r="V950" s="349"/>
    </row>
    <row r="951" spans="2:22" ht="18" customHeight="1" x14ac:dyDescent="0.3">
      <c r="B951" s="339">
        <v>46000</v>
      </c>
      <c r="C951" s="340">
        <f>YEAR(Finance[[#This Row],[Date]])</f>
        <v>2025</v>
      </c>
      <c r="D951" s="341">
        <f>MONTH(Finance[[#This Row],[Date]])</f>
        <v>12</v>
      </c>
      <c r="E951" s="6" t="s">
        <v>223</v>
      </c>
      <c r="F951" s="39" t="s">
        <v>29</v>
      </c>
      <c r="G951" s="6" t="s">
        <v>95</v>
      </c>
      <c r="H951" s="48" t="s">
        <v>194</v>
      </c>
      <c r="I951" s="135" t="s">
        <v>175</v>
      </c>
      <c r="J951" s="136">
        <v>3</v>
      </c>
      <c r="K951" s="342"/>
      <c r="L951" s="343"/>
      <c r="M951" s="344"/>
      <c r="N951" s="345"/>
      <c r="O951" s="346"/>
      <c r="P951" s="347"/>
      <c r="Q951" s="345"/>
      <c r="R951" s="344">
        <v>11.4</v>
      </c>
      <c r="S951" s="348"/>
      <c r="T951" s="102">
        <f>SUM(Finance[[#This Row],[Samer]:[Margins]])</f>
        <v>11.4</v>
      </c>
      <c r="U951" s="103">
        <f>ABS(Finance[[#This Row],[Total (EGP)]])</f>
        <v>11.4</v>
      </c>
      <c r="V951" s="349"/>
    </row>
    <row r="952" spans="2:22" ht="18" customHeight="1" x14ac:dyDescent="0.3">
      <c r="B952" s="7">
        <v>46000</v>
      </c>
      <c r="C952" s="358">
        <f>YEAR(Finance[[#This Row],[Date]])</f>
        <v>2025</v>
      </c>
      <c r="D952" s="359">
        <f>MONTH(Finance[[#This Row],[Date]])</f>
        <v>12</v>
      </c>
      <c r="E952" s="6" t="s">
        <v>927</v>
      </c>
      <c r="F952" s="39" t="s">
        <v>29</v>
      </c>
      <c r="G952" s="6" t="s">
        <v>108</v>
      </c>
      <c r="H952" s="48" t="s">
        <v>182</v>
      </c>
      <c r="I952" s="135" t="s">
        <v>175</v>
      </c>
      <c r="J952" s="136">
        <v>1</v>
      </c>
      <c r="K952" s="31"/>
      <c r="L952" s="132">
        <f>37.45*47.57*1.05</f>
        <v>1870.5713250000003</v>
      </c>
      <c r="M952" s="96"/>
      <c r="N952" s="365"/>
      <c r="O952" s="366"/>
      <c r="P952" s="75"/>
      <c r="Q952" s="365"/>
      <c r="R952" s="96"/>
      <c r="S952" s="286"/>
      <c r="T952" s="102">
        <f>SUM(Finance[[#This Row],[Samer]:[Margins]])</f>
        <v>1870.5713250000003</v>
      </c>
      <c r="U952" s="103">
        <f>ABS(Finance[[#This Row],[Total (EGP)]])</f>
        <v>1870.5713250000003</v>
      </c>
      <c r="V952" s="367"/>
    </row>
    <row r="953" spans="2:22" ht="18" customHeight="1" x14ac:dyDescent="0.3">
      <c r="B953" s="7">
        <v>46000</v>
      </c>
      <c r="C953" s="358">
        <f>YEAR(Finance[[#This Row],[Date]])</f>
        <v>2025</v>
      </c>
      <c r="D953" s="359">
        <f>MONTH(Finance[[#This Row],[Date]])</f>
        <v>12</v>
      </c>
      <c r="E953" s="39" t="s">
        <v>674</v>
      </c>
      <c r="F953" s="39" t="s">
        <v>29</v>
      </c>
      <c r="G953" s="39" t="s">
        <v>108</v>
      </c>
      <c r="H953" s="48" t="s">
        <v>182</v>
      </c>
      <c r="I953" s="114" t="s">
        <v>175</v>
      </c>
      <c r="J953" s="250">
        <v>3</v>
      </c>
      <c r="K953" s="251"/>
      <c r="L953" s="138">
        <f>20*47.57*1.1</f>
        <v>1046.54</v>
      </c>
      <c r="M953" s="96"/>
      <c r="N953" s="365"/>
      <c r="O953" s="366"/>
      <c r="P953" s="75"/>
      <c r="Q953" s="365"/>
      <c r="R953" s="96"/>
      <c r="S953" s="286"/>
      <c r="T953" s="102">
        <f>SUM(Finance[[#This Row],[Samer]:[Margins]])</f>
        <v>1046.54</v>
      </c>
      <c r="U953" s="103">
        <f>ABS(Finance[[#This Row],[Total (EGP)]])</f>
        <v>1046.54</v>
      </c>
      <c r="V953" s="367"/>
    </row>
    <row r="954" spans="2:22" ht="18" customHeight="1" x14ac:dyDescent="0.3">
      <c r="B954" s="339">
        <v>46000</v>
      </c>
      <c r="C954" s="340">
        <f>YEAR(Finance[[#This Row],[Date]])</f>
        <v>2025</v>
      </c>
      <c r="D954" s="341">
        <f>MONTH(Finance[[#This Row],[Date]])</f>
        <v>12</v>
      </c>
      <c r="E954" s="350" t="s">
        <v>937</v>
      </c>
      <c r="F954" s="351" t="s">
        <v>73</v>
      </c>
      <c r="G954" s="6" t="s">
        <v>75</v>
      </c>
      <c r="H954" s="134" t="s">
        <v>199</v>
      </c>
      <c r="I954" s="353" t="s">
        <v>939</v>
      </c>
      <c r="J954" s="354">
        <v>4</v>
      </c>
      <c r="K954" s="342"/>
      <c r="L954" s="343"/>
      <c r="M954" s="344"/>
      <c r="N954" s="345"/>
      <c r="O954" s="346"/>
      <c r="P954" s="347"/>
      <c r="Q954" s="345"/>
      <c r="R954" s="344">
        <v>-7155</v>
      </c>
      <c r="S954" s="348"/>
      <c r="T954" s="102">
        <f>SUM(Finance[[#This Row],[Samer]:[Margins]])</f>
        <v>-7155</v>
      </c>
      <c r="U954" s="103">
        <f>ABS(Finance[[#This Row],[Total (EGP)]])</f>
        <v>7155</v>
      </c>
      <c r="V954" s="349"/>
    </row>
    <row r="955" spans="2:22" ht="18" customHeight="1" x14ac:dyDescent="0.3">
      <c r="B955" s="339">
        <v>46000</v>
      </c>
      <c r="C955" s="340">
        <f>YEAR(Finance[[#This Row],[Date]])</f>
        <v>2025</v>
      </c>
      <c r="D955" s="341">
        <f>MONTH(Finance[[#This Row],[Date]])</f>
        <v>12</v>
      </c>
      <c r="E955" s="350" t="s">
        <v>938</v>
      </c>
      <c r="F955" s="351" t="s">
        <v>73</v>
      </c>
      <c r="G955" s="6" t="s">
        <v>75</v>
      </c>
      <c r="H955" s="134" t="s">
        <v>90</v>
      </c>
      <c r="I955" s="353" t="s">
        <v>939</v>
      </c>
      <c r="J955" s="354">
        <v>4</v>
      </c>
      <c r="K955" s="342"/>
      <c r="L955" s="343"/>
      <c r="M955" s="344"/>
      <c r="N955" s="345"/>
      <c r="O955" s="346"/>
      <c r="P955" s="347"/>
      <c r="Q955" s="345"/>
      <c r="R955" s="344">
        <f>-7155*0.14</f>
        <v>-1001.7</v>
      </c>
      <c r="S955" s="348"/>
      <c r="T955" s="102">
        <f>SUM(Finance[[#This Row],[Samer]:[Margins]])</f>
        <v>-1001.7</v>
      </c>
      <c r="U955" s="103">
        <f>ABS(Finance[[#This Row],[Total (EGP)]])</f>
        <v>1001.7</v>
      </c>
      <c r="V955" s="349"/>
    </row>
    <row r="956" spans="2:22" ht="18" customHeight="1" x14ac:dyDescent="0.3">
      <c r="B956" s="7">
        <v>46001</v>
      </c>
      <c r="C956" s="358">
        <f>YEAR(Finance[[#This Row],[Date]])</f>
        <v>2025</v>
      </c>
      <c r="D956" s="359">
        <f>MONTH(Finance[[#This Row],[Date]])</f>
        <v>12</v>
      </c>
      <c r="E956" s="39" t="s">
        <v>928</v>
      </c>
      <c r="F956" s="39" t="s">
        <v>30</v>
      </c>
      <c r="G956" s="6" t="s">
        <v>127</v>
      </c>
      <c r="H956" s="48" t="s">
        <v>176</v>
      </c>
      <c r="I956" s="135" t="s">
        <v>184</v>
      </c>
      <c r="J956" s="136">
        <v>4</v>
      </c>
      <c r="K956" s="136"/>
      <c r="L956" s="132">
        <f>78.28*47.57*1.25</f>
        <v>4654.7245000000003</v>
      </c>
      <c r="M956" s="96"/>
      <c r="N956" s="365"/>
      <c r="O956" s="366"/>
      <c r="P956" s="75"/>
      <c r="Q956" s="365"/>
      <c r="R956" s="96"/>
      <c r="S956" s="286"/>
      <c r="T956" s="102">
        <f>SUM(Finance[[#This Row],[Samer]:[Margins]])</f>
        <v>4654.7245000000003</v>
      </c>
      <c r="U956" s="103">
        <f>ABS(Finance[[#This Row],[Total (EGP)]])</f>
        <v>4654.7245000000003</v>
      </c>
      <c r="V956" s="367"/>
    </row>
    <row r="957" spans="2:22" ht="18" customHeight="1" x14ac:dyDescent="0.3">
      <c r="B957" s="7">
        <v>46001</v>
      </c>
      <c r="C957" s="358">
        <f>YEAR(Finance[[#This Row],[Date]])</f>
        <v>2025</v>
      </c>
      <c r="D957" s="359">
        <f>MONTH(Finance[[#This Row],[Date]])</f>
        <v>12</v>
      </c>
      <c r="E957" s="6" t="s">
        <v>929</v>
      </c>
      <c r="F957" s="39" t="s">
        <v>30</v>
      </c>
      <c r="G957" s="39" t="s">
        <v>127</v>
      </c>
      <c r="H957" s="48" t="s">
        <v>176</v>
      </c>
      <c r="I957" s="135" t="s">
        <v>185</v>
      </c>
      <c r="J957" s="136">
        <v>4</v>
      </c>
      <c r="K957" s="31"/>
      <c r="L957" s="132">
        <f>153*47.57*1.25</f>
        <v>9097.7625000000007</v>
      </c>
      <c r="M957" s="96"/>
      <c r="N957" s="365"/>
      <c r="O957" s="366"/>
      <c r="P957" s="75"/>
      <c r="Q957" s="365"/>
      <c r="R957" s="96"/>
      <c r="S957" s="286"/>
      <c r="T957" s="102">
        <f>SUM(Finance[[#This Row],[Samer]:[Margins]])</f>
        <v>9097.7625000000007</v>
      </c>
      <c r="U957" s="103">
        <f>ABS(Finance[[#This Row],[Total (EGP)]])</f>
        <v>9097.7625000000007</v>
      </c>
      <c r="V957" s="367"/>
    </row>
    <row r="958" spans="2:22" ht="18" customHeight="1" x14ac:dyDescent="0.3">
      <c r="B958" s="339">
        <v>46001</v>
      </c>
      <c r="C958" s="340">
        <f>YEAR(Finance[[#This Row],[Date]])</f>
        <v>2025</v>
      </c>
      <c r="D958" s="341">
        <f>MONTH(Finance[[#This Row],[Date]])</f>
        <v>12</v>
      </c>
      <c r="E958" s="350" t="s">
        <v>179</v>
      </c>
      <c r="F958" s="351" t="s">
        <v>37</v>
      </c>
      <c r="G958" s="350" t="s">
        <v>36</v>
      </c>
      <c r="H958" s="352" t="s">
        <v>181</v>
      </c>
      <c r="I958" s="353" t="s">
        <v>175</v>
      </c>
      <c r="J958" s="354">
        <v>0</v>
      </c>
      <c r="K958" s="342"/>
      <c r="L958" s="343">
        <v>-100000</v>
      </c>
      <c r="M958" s="344"/>
      <c r="N958" s="345"/>
      <c r="O958" s="346"/>
      <c r="P958" s="347"/>
      <c r="Q958" s="345"/>
      <c r="R958" s="344">
        <v>100000</v>
      </c>
      <c r="S958" s="348"/>
      <c r="T958" s="102">
        <f>SUM(Finance[[#This Row],[Samer]:[Margins]])</f>
        <v>0</v>
      </c>
      <c r="U958" s="103">
        <f>ABS(Finance[[#This Row],[Total (EGP)]])</f>
        <v>0</v>
      </c>
      <c r="V958" s="349"/>
    </row>
    <row r="959" spans="2:22" ht="18" customHeight="1" x14ac:dyDescent="0.3">
      <c r="B959" s="339">
        <v>46001</v>
      </c>
      <c r="C959" s="340">
        <f>YEAR(Finance[[#This Row],[Date]])</f>
        <v>2025</v>
      </c>
      <c r="D959" s="341">
        <f>MONTH(Finance[[#This Row],[Date]])</f>
        <v>12</v>
      </c>
      <c r="E959" s="39" t="s">
        <v>328</v>
      </c>
      <c r="F959" s="158" t="s">
        <v>34</v>
      </c>
      <c r="G959" s="6" t="s">
        <v>66</v>
      </c>
      <c r="H959" s="134" t="s">
        <v>211</v>
      </c>
      <c r="I959" s="114" t="s">
        <v>175</v>
      </c>
      <c r="J959" s="136">
        <v>3</v>
      </c>
      <c r="K959" s="294"/>
      <c r="L959" s="295"/>
      <c r="M959" s="344"/>
      <c r="N959" s="345"/>
      <c r="O959" s="346"/>
      <c r="P959" s="347"/>
      <c r="Q959" s="345"/>
      <c r="R959" s="344">
        <v>40000</v>
      </c>
      <c r="S959" s="348"/>
      <c r="T959" s="102">
        <f>SUM(Finance[[#This Row],[Samer]:[Margins]])</f>
        <v>40000</v>
      </c>
      <c r="U959" s="103">
        <f>ABS(Finance[[#This Row],[Total (EGP)]])</f>
        <v>40000</v>
      </c>
      <c r="V959" s="349"/>
    </row>
    <row r="960" spans="2:22" ht="18" customHeight="1" x14ac:dyDescent="0.3">
      <c r="B960" s="7">
        <v>46002</v>
      </c>
      <c r="C960" s="358">
        <f>YEAR(Finance[[#This Row],[Date]])</f>
        <v>2025</v>
      </c>
      <c r="D960" s="359">
        <f>MONTH(Finance[[#This Row],[Date]])</f>
        <v>12</v>
      </c>
      <c r="E960" s="19" t="s">
        <v>946</v>
      </c>
      <c r="F960" s="6" t="s">
        <v>29</v>
      </c>
      <c r="G960" s="6" t="s">
        <v>108</v>
      </c>
      <c r="H960" s="134" t="s">
        <v>182</v>
      </c>
      <c r="I960" s="114" t="s">
        <v>175</v>
      </c>
      <c r="J960" s="136">
        <v>1</v>
      </c>
      <c r="K960" s="31"/>
      <c r="L960" s="132">
        <f>108.53*47.53*1.05</f>
        <v>5416.3524450000004</v>
      </c>
      <c r="M960" s="96"/>
      <c r="N960" s="365"/>
      <c r="O960" s="366"/>
      <c r="P960" s="75"/>
      <c r="Q960" s="365"/>
      <c r="R960" s="96"/>
      <c r="S960" s="286"/>
      <c r="T960" s="102">
        <f>SUM(Finance[[#This Row],[Samer]:[Margins]])</f>
        <v>5416.3524450000004</v>
      </c>
      <c r="U960" s="103">
        <f>ABS(Finance[[#This Row],[Total (EGP)]])</f>
        <v>5416.3524450000004</v>
      </c>
      <c r="V960" s="367"/>
    </row>
    <row r="961" spans="2:22" ht="18" customHeight="1" x14ac:dyDescent="0.3">
      <c r="B961" s="339">
        <v>46002</v>
      </c>
      <c r="C961" s="340">
        <f>YEAR(Finance[[#This Row],[Date]])</f>
        <v>2025</v>
      </c>
      <c r="D961" s="341">
        <f>MONTH(Finance[[#This Row],[Date]])</f>
        <v>12</v>
      </c>
      <c r="E961" s="39" t="s">
        <v>945</v>
      </c>
      <c r="F961" s="39" t="s">
        <v>29</v>
      </c>
      <c r="G961" s="39" t="s">
        <v>108</v>
      </c>
      <c r="H961" s="48" t="s">
        <v>182</v>
      </c>
      <c r="I961" s="114" t="s">
        <v>175</v>
      </c>
      <c r="J961" s="261">
        <v>4</v>
      </c>
      <c r="K961" s="262"/>
      <c r="L961" s="263">
        <v>699.99</v>
      </c>
      <c r="M961" s="344"/>
      <c r="N961" s="345"/>
      <c r="O961" s="346"/>
      <c r="P961" s="347"/>
      <c r="Q961" s="345"/>
      <c r="R961" s="344"/>
      <c r="S961" s="348"/>
      <c r="T961" s="102">
        <f>SUM(Finance[[#This Row],[Samer]:[Margins]])</f>
        <v>699.99</v>
      </c>
      <c r="U961" s="103">
        <f>ABS(Finance[[#This Row],[Total (EGP)]])</f>
        <v>699.99</v>
      </c>
      <c r="V961" s="349"/>
    </row>
    <row r="962" spans="2:22" ht="18" customHeight="1" x14ac:dyDescent="0.3">
      <c r="B962" s="339">
        <v>46002</v>
      </c>
      <c r="C962" s="340">
        <f>YEAR(Finance[[#This Row],[Date]])</f>
        <v>2025</v>
      </c>
      <c r="D962" s="341">
        <f>MONTH(Finance[[#This Row],[Date]])</f>
        <v>12</v>
      </c>
      <c r="E962" s="39" t="s">
        <v>944</v>
      </c>
      <c r="F962" s="39" t="s">
        <v>29</v>
      </c>
      <c r="G962" s="39" t="s">
        <v>108</v>
      </c>
      <c r="H962" s="48" t="s">
        <v>182</v>
      </c>
      <c r="I962" s="114" t="s">
        <v>175</v>
      </c>
      <c r="J962" s="258">
        <v>4</v>
      </c>
      <c r="K962" s="264"/>
      <c r="L962" s="265">
        <f>72*47.53*1.05</f>
        <v>3593.268</v>
      </c>
      <c r="M962" s="344"/>
      <c r="N962" s="345"/>
      <c r="O962" s="346"/>
      <c r="P962" s="347"/>
      <c r="Q962" s="345"/>
      <c r="R962" s="344"/>
      <c r="S962" s="348"/>
      <c r="T962" s="102">
        <f>SUM(Finance[[#This Row],[Samer]:[Margins]])</f>
        <v>3593.268</v>
      </c>
      <c r="U962" s="103">
        <f>ABS(Finance[[#This Row],[Total (EGP)]])</f>
        <v>3593.268</v>
      </c>
      <c r="V962" s="349"/>
    </row>
    <row r="963" spans="2:22" ht="18" customHeight="1" x14ac:dyDescent="0.3">
      <c r="B963" s="339">
        <v>46002</v>
      </c>
      <c r="C963" s="340">
        <f>YEAR(Finance[[#This Row],[Date]])</f>
        <v>2025</v>
      </c>
      <c r="D963" s="341">
        <f>MONTH(Finance[[#This Row],[Date]])</f>
        <v>12</v>
      </c>
      <c r="E963" s="19" t="s">
        <v>943</v>
      </c>
      <c r="F963" s="6" t="s">
        <v>29</v>
      </c>
      <c r="G963" s="6" t="s">
        <v>108</v>
      </c>
      <c r="H963" s="134" t="s">
        <v>182</v>
      </c>
      <c r="I963" s="114" t="s">
        <v>175</v>
      </c>
      <c r="J963" s="136">
        <v>1</v>
      </c>
      <c r="K963" s="31"/>
      <c r="L963" s="132">
        <f>342.9*47.53*1.05</f>
        <v>17112.938849999999</v>
      </c>
      <c r="M963" s="344"/>
      <c r="N963" s="345"/>
      <c r="O963" s="346"/>
      <c r="P963" s="347"/>
      <c r="Q963" s="345"/>
      <c r="R963" s="344"/>
      <c r="S963" s="348"/>
      <c r="T963" s="102">
        <f>SUM(Finance[[#This Row],[Samer]:[Margins]])</f>
        <v>17112.938849999999</v>
      </c>
      <c r="U963" s="103">
        <f>ABS(Finance[[#This Row],[Total (EGP)]])</f>
        <v>17112.938849999999</v>
      </c>
      <c r="V963" s="349"/>
    </row>
    <row r="964" spans="2:22" ht="18" customHeight="1" x14ac:dyDescent="0.3">
      <c r="B964" s="339">
        <v>46005</v>
      </c>
      <c r="C964" s="340">
        <f>YEAR(Finance[[#This Row],[Date]])</f>
        <v>2025</v>
      </c>
      <c r="D964" s="341">
        <f>MONTH(Finance[[#This Row],[Date]])</f>
        <v>12</v>
      </c>
      <c r="E964" s="6" t="s">
        <v>940</v>
      </c>
      <c r="F964" s="6" t="s">
        <v>30</v>
      </c>
      <c r="G964" s="6" t="s">
        <v>127</v>
      </c>
      <c r="H964" s="134" t="s">
        <v>190</v>
      </c>
      <c r="I964" s="135" t="s">
        <v>175</v>
      </c>
      <c r="J964" s="131">
        <v>4</v>
      </c>
      <c r="K964" s="31"/>
      <c r="L964" s="132">
        <f>18.4*55.84*1.25</f>
        <v>1284.32</v>
      </c>
      <c r="M964" s="344"/>
      <c r="N964" s="345"/>
      <c r="O964" s="346"/>
      <c r="P964" s="347"/>
      <c r="Q964" s="345"/>
      <c r="R964" s="344"/>
      <c r="S964" s="348"/>
      <c r="T964" s="102">
        <f>SUM(Finance[[#This Row],[Samer]:[Margins]])</f>
        <v>1284.32</v>
      </c>
      <c r="U964" s="103">
        <f>ABS(Finance[[#This Row],[Total (EGP)]])</f>
        <v>1284.32</v>
      </c>
      <c r="V964" s="349"/>
    </row>
    <row r="965" spans="2:22" ht="18" customHeight="1" x14ac:dyDescent="0.3">
      <c r="B965" s="339">
        <v>46005</v>
      </c>
      <c r="C965" s="340">
        <f>YEAR(Finance[[#This Row],[Date]])</f>
        <v>2025</v>
      </c>
      <c r="D965" s="341">
        <f>MONTH(Finance[[#This Row],[Date]])</f>
        <v>12</v>
      </c>
      <c r="E965" s="334" t="s">
        <v>941</v>
      </c>
      <c r="F965" s="334" t="s">
        <v>30</v>
      </c>
      <c r="G965" s="334" t="s">
        <v>127</v>
      </c>
      <c r="H965" s="337" t="s">
        <v>176</v>
      </c>
      <c r="I965" s="114" t="s">
        <v>177</v>
      </c>
      <c r="J965" s="131">
        <v>1</v>
      </c>
      <c r="K965" s="31"/>
      <c r="L965" s="132">
        <f>94.06*55.84*1.25</f>
        <v>6565.3880000000008</v>
      </c>
      <c r="M965" s="296"/>
      <c r="N965" s="296"/>
      <c r="O965" s="297"/>
      <c r="P965" s="297"/>
      <c r="Q965" s="296"/>
      <c r="R965" s="296"/>
      <c r="S965" s="348"/>
      <c r="T965" s="102">
        <f>SUM(Finance[[#This Row],[Samer]:[Margins]])</f>
        <v>6565.3880000000008</v>
      </c>
      <c r="U965" s="103">
        <f>ABS(Finance[[#This Row],[Total (EGP)]])</f>
        <v>6565.3880000000008</v>
      </c>
      <c r="V965" s="349"/>
    </row>
    <row r="966" spans="2:22" ht="18" customHeight="1" x14ac:dyDescent="0.3">
      <c r="B966" s="339">
        <v>46005</v>
      </c>
      <c r="C966" s="340">
        <f>YEAR(Finance[[#This Row],[Date]])</f>
        <v>2025</v>
      </c>
      <c r="D966" s="341">
        <f>MONTH(Finance[[#This Row],[Date]])</f>
        <v>12</v>
      </c>
      <c r="E966" s="6" t="s">
        <v>193</v>
      </c>
      <c r="F966" s="6" t="s">
        <v>29</v>
      </c>
      <c r="G966" s="6" t="s">
        <v>95</v>
      </c>
      <c r="H966" s="134" t="s">
        <v>194</v>
      </c>
      <c r="I966" s="135" t="s">
        <v>175</v>
      </c>
      <c r="J966" s="136">
        <v>3</v>
      </c>
      <c r="K966" s="294"/>
      <c r="L966" s="295"/>
      <c r="M966" s="296"/>
      <c r="N966" s="296"/>
      <c r="O966" s="297"/>
      <c r="P966" s="297"/>
      <c r="Q966" s="296"/>
      <c r="R966" s="296">
        <v>150</v>
      </c>
      <c r="S966" s="348"/>
      <c r="T966" s="102">
        <f>SUM(Finance[[#This Row],[Samer]:[Margins]])</f>
        <v>150</v>
      </c>
      <c r="U966" s="103">
        <f>ABS(Finance[[#This Row],[Total (EGP)]])</f>
        <v>150</v>
      </c>
      <c r="V966" s="349"/>
    </row>
    <row r="967" spans="2:22" ht="18" customHeight="1" x14ac:dyDescent="0.3">
      <c r="B967" s="339">
        <v>46013</v>
      </c>
      <c r="C967" s="340">
        <f>YEAR(Finance[[#This Row],[Date]])</f>
        <v>2025</v>
      </c>
      <c r="D967" s="341">
        <f>MONTH(Finance[[#This Row],[Date]])</f>
        <v>12</v>
      </c>
      <c r="E967" s="350" t="s">
        <v>167</v>
      </c>
      <c r="F967" s="6" t="s">
        <v>29</v>
      </c>
      <c r="G967" s="6" t="s">
        <v>55</v>
      </c>
      <c r="H967" s="134" t="s">
        <v>258</v>
      </c>
      <c r="I967" s="135" t="s">
        <v>175</v>
      </c>
      <c r="J967" s="136">
        <v>3</v>
      </c>
      <c r="K967" s="342"/>
      <c r="L967" s="343"/>
      <c r="M967" s="344"/>
      <c r="N967" s="345"/>
      <c r="O967" s="346"/>
      <c r="P967" s="347"/>
      <c r="Q967" s="345"/>
      <c r="R967" s="344"/>
      <c r="S967" s="348">
        <v>115</v>
      </c>
      <c r="T967" s="102">
        <f>SUM(Finance[[#This Row],[Samer]:[Margins]])</f>
        <v>115</v>
      </c>
      <c r="U967" s="103">
        <f>ABS(Finance[[#This Row],[Total (EGP)]])</f>
        <v>115</v>
      </c>
      <c r="V967" s="349"/>
    </row>
    <row r="968" spans="2:22" ht="18" customHeight="1" x14ac:dyDescent="0.3">
      <c r="B968" s="339">
        <v>46014</v>
      </c>
      <c r="C968" s="340">
        <f>YEAR(Finance[[#This Row],[Date]])</f>
        <v>2025</v>
      </c>
      <c r="D968" s="341">
        <f>MONTH(Finance[[#This Row],[Date]])</f>
        <v>12</v>
      </c>
      <c r="E968" s="19" t="s">
        <v>948</v>
      </c>
      <c r="F968" s="6" t="s">
        <v>29</v>
      </c>
      <c r="G968" s="6" t="s">
        <v>108</v>
      </c>
      <c r="H968" s="134" t="s">
        <v>182</v>
      </c>
      <c r="I968" s="135" t="s">
        <v>175</v>
      </c>
      <c r="J968" s="136">
        <v>3</v>
      </c>
      <c r="K968" s="31"/>
      <c r="L968" s="132">
        <f>15.99*47.72*1.05</f>
        <v>801.19493999999997</v>
      </c>
      <c r="M968" s="344"/>
      <c r="N968" s="345"/>
      <c r="O968" s="346"/>
      <c r="P968" s="347"/>
      <c r="Q968" s="345"/>
      <c r="R968" s="344"/>
      <c r="S968" s="348"/>
      <c r="T968" s="102">
        <f>SUM(Finance[[#This Row],[Samer]:[Margins]])</f>
        <v>801.19493999999997</v>
      </c>
      <c r="U968" s="103">
        <f>ABS(Finance[[#This Row],[Total (EGP)]])</f>
        <v>801.19493999999997</v>
      </c>
      <c r="V968" s="349"/>
    </row>
    <row r="969" spans="2:22" ht="18" customHeight="1" x14ac:dyDescent="0.3">
      <c r="B969" s="339">
        <v>46015</v>
      </c>
      <c r="C969" s="340">
        <f>YEAR(Finance[[#This Row],[Date]])</f>
        <v>2025</v>
      </c>
      <c r="D969" s="341">
        <f>MONTH(Finance[[#This Row],[Date]])</f>
        <v>12</v>
      </c>
      <c r="E969" s="6" t="s">
        <v>949</v>
      </c>
      <c r="F969" s="6" t="s">
        <v>73</v>
      </c>
      <c r="G969" s="126" t="s">
        <v>233</v>
      </c>
      <c r="H969" s="127" t="s">
        <v>90</v>
      </c>
      <c r="I969" s="135" t="s">
        <v>235</v>
      </c>
      <c r="J969" s="129">
        <v>1</v>
      </c>
      <c r="K969" s="342"/>
      <c r="L969" s="343"/>
      <c r="M969" s="344"/>
      <c r="N969" s="345"/>
      <c r="O969" s="346"/>
      <c r="P969" s="347"/>
      <c r="Q969" s="345"/>
      <c r="R969" s="344">
        <v>-21987.15</v>
      </c>
      <c r="S969" s="348"/>
      <c r="T969" s="102">
        <f>SUM(Finance[[#This Row],[Samer]:[Margins]])</f>
        <v>-21987.15</v>
      </c>
      <c r="U969" s="103">
        <f>ABS(Finance[[#This Row],[Total (EGP)]])</f>
        <v>21987.15</v>
      </c>
      <c r="V969" s="349"/>
    </row>
    <row r="970" spans="2:22" ht="18" customHeight="1" x14ac:dyDescent="0.3">
      <c r="B970" s="339">
        <v>46015</v>
      </c>
      <c r="C970" s="340">
        <f>YEAR(Finance[[#This Row],[Date]])</f>
        <v>2025</v>
      </c>
      <c r="D970" s="341">
        <f>MONTH(Finance[[#This Row],[Date]])</f>
        <v>12</v>
      </c>
      <c r="E970" s="6" t="s">
        <v>950</v>
      </c>
      <c r="F970" s="6" t="s">
        <v>73</v>
      </c>
      <c r="G970" s="6" t="s">
        <v>75</v>
      </c>
      <c r="H970" s="134" t="s">
        <v>234</v>
      </c>
      <c r="I970" s="135" t="s">
        <v>177</v>
      </c>
      <c r="J970" s="136">
        <v>4</v>
      </c>
      <c r="K970" s="342"/>
      <c r="L970" s="343"/>
      <c r="M970" s="344"/>
      <c r="N970" s="345"/>
      <c r="O970" s="346"/>
      <c r="P970" s="347"/>
      <c r="Q970" s="345"/>
      <c r="R970" s="344">
        <v>-13353.66</v>
      </c>
      <c r="S970" s="348"/>
      <c r="T970" s="102">
        <f>SUM(Finance[[#This Row],[Samer]:[Margins]])</f>
        <v>-13353.66</v>
      </c>
      <c r="U970" s="103">
        <f>ABS(Finance[[#This Row],[Total (EGP)]])</f>
        <v>13353.66</v>
      </c>
      <c r="V970" s="349"/>
    </row>
    <row r="971" spans="2:22" ht="18" customHeight="1" x14ac:dyDescent="0.3">
      <c r="B971" s="339">
        <v>46015</v>
      </c>
      <c r="C971" s="340">
        <f>YEAR(Finance[[#This Row],[Date]])</f>
        <v>2025</v>
      </c>
      <c r="D971" s="341">
        <f>MONTH(Finance[[#This Row],[Date]])</f>
        <v>12</v>
      </c>
      <c r="E971" s="6" t="s">
        <v>237</v>
      </c>
      <c r="F971" s="6" t="s">
        <v>73</v>
      </c>
      <c r="G971" s="6" t="s">
        <v>75</v>
      </c>
      <c r="H971" s="134" t="s">
        <v>90</v>
      </c>
      <c r="I971" s="135" t="s">
        <v>177</v>
      </c>
      <c r="J971" s="136">
        <v>4</v>
      </c>
      <c r="K971" s="342"/>
      <c r="L971" s="343"/>
      <c r="M971" s="344"/>
      <c r="N971" s="345"/>
      <c r="O971" s="346"/>
      <c r="P971" s="347"/>
      <c r="Q971" s="345"/>
      <c r="R971" s="344">
        <f>-13353.66*0.14</f>
        <v>-1869.5124000000001</v>
      </c>
      <c r="S971" s="348"/>
      <c r="T971" s="102">
        <f>SUM(Finance[[#This Row],[Samer]:[Margins]])</f>
        <v>-1869.5124000000001</v>
      </c>
      <c r="U971" s="103">
        <f>ABS(Finance[[#This Row],[Total (EGP)]])</f>
        <v>1869.5124000000001</v>
      </c>
      <c r="V971" s="349"/>
    </row>
    <row r="972" spans="2:22" ht="18" customHeight="1" x14ac:dyDescent="0.3">
      <c r="B972" s="339">
        <v>46015</v>
      </c>
      <c r="C972" s="340">
        <f>YEAR(Finance[[#This Row],[Date]])</f>
        <v>2025</v>
      </c>
      <c r="D972" s="341">
        <f>MONTH(Finance[[#This Row],[Date]])</f>
        <v>12</v>
      </c>
      <c r="E972" s="6" t="s">
        <v>837</v>
      </c>
      <c r="F972" s="6" t="s">
        <v>73</v>
      </c>
      <c r="G972" s="6" t="s">
        <v>233</v>
      </c>
      <c r="H972" s="134" t="s">
        <v>234</v>
      </c>
      <c r="I972" s="135" t="s">
        <v>235</v>
      </c>
      <c r="J972" s="136">
        <v>1</v>
      </c>
      <c r="K972" s="342"/>
      <c r="L972" s="343"/>
      <c r="M972" s="344"/>
      <c r="N972" s="345"/>
      <c r="O972" s="346"/>
      <c r="P972" s="347"/>
      <c r="Q972" s="345"/>
      <c r="R972" s="344">
        <v>-462789.69</v>
      </c>
      <c r="S972" s="348"/>
      <c r="T972" s="102">
        <f>SUM(Finance[[#This Row],[Samer]:[Margins]])</f>
        <v>-462789.69</v>
      </c>
      <c r="U972" s="103">
        <f>ABS(Finance[[#This Row],[Total (EGP)]])</f>
        <v>462789.69</v>
      </c>
      <c r="V972" s="349"/>
    </row>
    <row r="973" spans="2:22" ht="18" customHeight="1" x14ac:dyDescent="0.3">
      <c r="B973" s="339">
        <v>46015</v>
      </c>
      <c r="C973" s="340">
        <f>YEAR(Finance[[#This Row],[Date]])</f>
        <v>2025</v>
      </c>
      <c r="D973" s="341">
        <f>MONTH(Finance[[#This Row],[Date]])</f>
        <v>12</v>
      </c>
      <c r="E973" s="6" t="s">
        <v>757</v>
      </c>
      <c r="F973" s="6" t="s">
        <v>29</v>
      </c>
      <c r="G973" s="6" t="s">
        <v>95</v>
      </c>
      <c r="H973" s="134" t="s">
        <v>194</v>
      </c>
      <c r="I973" s="114" t="s">
        <v>235</v>
      </c>
      <c r="J973" s="136">
        <v>3</v>
      </c>
      <c r="K973" s="342"/>
      <c r="L973" s="343"/>
      <c r="M973" s="344"/>
      <c r="N973" s="345"/>
      <c r="O973" s="346"/>
      <c r="P973" s="347"/>
      <c r="Q973" s="345"/>
      <c r="R973" s="344">
        <v>25</v>
      </c>
      <c r="S973" s="348"/>
      <c r="T973" s="102">
        <f>SUM(Finance[[#This Row],[Samer]:[Margins]])</f>
        <v>25</v>
      </c>
      <c r="U973" s="103">
        <f>ABS(Finance[[#This Row],[Total (EGP)]])</f>
        <v>25</v>
      </c>
      <c r="V973" s="349"/>
    </row>
    <row r="974" spans="2:22" ht="18" customHeight="1" x14ac:dyDescent="0.3">
      <c r="B974" s="339">
        <v>46015</v>
      </c>
      <c r="C974" s="340">
        <f>YEAR(Finance[[#This Row],[Date]])</f>
        <v>2025</v>
      </c>
      <c r="D974" s="341">
        <f>MONTH(Finance[[#This Row],[Date]])</f>
        <v>12</v>
      </c>
      <c r="E974" s="19" t="s">
        <v>952</v>
      </c>
      <c r="F974" s="6" t="s">
        <v>73</v>
      </c>
      <c r="G974" s="6" t="s">
        <v>75</v>
      </c>
      <c r="H974" s="134" t="s">
        <v>234</v>
      </c>
      <c r="I974" s="135" t="s">
        <v>185</v>
      </c>
      <c r="J974" s="136">
        <v>4</v>
      </c>
      <c r="K974" s="342"/>
      <c r="L974" s="343"/>
      <c r="M974" s="344"/>
      <c r="N974" s="345"/>
      <c r="O974" s="346"/>
      <c r="P974" s="347"/>
      <c r="Q974" s="345"/>
      <c r="R974" s="344">
        <v>-19108.63</v>
      </c>
      <c r="S974" s="348"/>
      <c r="T974" s="102">
        <f>SUM(Finance[[#This Row],[Samer]:[Margins]])</f>
        <v>-19108.63</v>
      </c>
      <c r="U974" s="103">
        <f>ABS(Finance[[#This Row],[Total (EGP)]])</f>
        <v>19108.63</v>
      </c>
      <c r="V974" s="349"/>
    </row>
    <row r="975" spans="2:22" ht="18" customHeight="1" x14ac:dyDescent="0.3">
      <c r="B975" s="339">
        <v>46015</v>
      </c>
      <c r="C975" s="340">
        <f>YEAR(Finance[[#This Row],[Date]])</f>
        <v>2025</v>
      </c>
      <c r="D975" s="341">
        <f>MONTH(Finance[[#This Row],[Date]])</f>
        <v>12</v>
      </c>
      <c r="E975" s="19" t="s">
        <v>270</v>
      </c>
      <c r="F975" s="6" t="s">
        <v>73</v>
      </c>
      <c r="G975" s="6" t="s">
        <v>75</v>
      </c>
      <c r="H975" s="134" t="s">
        <v>90</v>
      </c>
      <c r="I975" s="135" t="s">
        <v>185</v>
      </c>
      <c r="J975" s="136">
        <v>4</v>
      </c>
      <c r="K975" s="342"/>
      <c r="L975" s="343"/>
      <c r="M975" s="344"/>
      <c r="N975" s="345"/>
      <c r="O975" s="346"/>
      <c r="P975" s="347"/>
      <c r="Q975" s="345"/>
      <c r="R975" s="344">
        <f>-19108.63*0.14</f>
        <v>-2675.2082000000005</v>
      </c>
      <c r="S975" s="348"/>
      <c r="T975" s="102">
        <f>SUM(Finance[[#This Row],[Samer]:[Margins]])</f>
        <v>-2675.2082000000005</v>
      </c>
      <c r="U975" s="103">
        <f>ABS(Finance[[#This Row],[Total (EGP)]])</f>
        <v>2675.2082000000005</v>
      </c>
      <c r="V975" s="349"/>
    </row>
    <row r="976" spans="2:22" ht="18" customHeight="1" x14ac:dyDescent="0.3">
      <c r="B976" s="339">
        <v>46015</v>
      </c>
      <c r="C976" s="340">
        <f>YEAR(Finance[[#This Row],[Date]])</f>
        <v>2025</v>
      </c>
      <c r="D976" s="341">
        <f>MONTH(Finance[[#This Row],[Date]])</f>
        <v>12</v>
      </c>
      <c r="E976" s="19" t="s">
        <v>953</v>
      </c>
      <c r="F976" s="6" t="s">
        <v>73</v>
      </c>
      <c r="G976" s="6" t="s">
        <v>272</v>
      </c>
      <c r="H976" s="134" t="s">
        <v>234</v>
      </c>
      <c r="I976" s="135" t="s">
        <v>185</v>
      </c>
      <c r="J976" s="136">
        <v>5</v>
      </c>
      <c r="K976" s="342"/>
      <c r="L976" s="343"/>
      <c r="M976" s="344"/>
      <c r="N976" s="345"/>
      <c r="O976" s="346"/>
      <c r="P976" s="347"/>
      <c r="Q976" s="345"/>
      <c r="R976" s="344">
        <v>-4875</v>
      </c>
      <c r="S976" s="348"/>
      <c r="T976" s="102">
        <f>SUM(Finance[[#This Row],[Samer]:[Margins]])</f>
        <v>-4875</v>
      </c>
      <c r="U976" s="103">
        <f>ABS(Finance[[#This Row],[Total (EGP)]])</f>
        <v>4875</v>
      </c>
      <c r="V976" s="349"/>
    </row>
    <row r="977" spans="2:26" ht="18" customHeight="1" x14ac:dyDescent="0.3">
      <c r="B977" s="339">
        <v>46015</v>
      </c>
      <c r="C977" s="340">
        <f>YEAR(Finance[[#This Row],[Date]])</f>
        <v>2025</v>
      </c>
      <c r="D977" s="341">
        <f>MONTH(Finance[[#This Row],[Date]])</f>
        <v>12</v>
      </c>
      <c r="E977" s="19" t="s">
        <v>273</v>
      </c>
      <c r="F977" s="6" t="s">
        <v>73</v>
      </c>
      <c r="G977" s="6" t="s">
        <v>272</v>
      </c>
      <c r="H977" s="134" t="s">
        <v>90</v>
      </c>
      <c r="I977" s="135" t="s">
        <v>185</v>
      </c>
      <c r="J977" s="136">
        <v>5</v>
      </c>
      <c r="K977" s="342"/>
      <c r="L977" s="343"/>
      <c r="M977" s="344"/>
      <c r="N977" s="345"/>
      <c r="O977" s="346"/>
      <c r="P977" s="347"/>
      <c r="Q977" s="345"/>
      <c r="R977" s="344">
        <f>-4875*0.14</f>
        <v>-682.50000000000011</v>
      </c>
      <c r="S977" s="348"/>
      <c r="T977" s="102">
        <f>SUM(Finance[[#This Row],[Samer]:[Margins]])</f>
        <v>-682.50000000000011</v>
      </c>
      <c r="U977" s="103">
        <f>ABS(Finance[[#This Row],[Total (EGP)]])</f>
        <v>682.50000000000011</v>
      </c>
      <c r="V977" s="349"/>
    </row>
    <row r="978" spans="2:26" ht="18" customHeight="1" x14ac:dyDescent="0.3">
      <c r="B978" s="339">
        <v>46015</v>
      </c>
      <c r="C978" s="340">
        <f>YEAR(Finance[[#This Row],[Date]])</f>
        <v>2025</v>
      </c>
      <c r="D978" s="341">
        <f>MONTH(Finance[[#This Row],[Date]])</f>
        <v>12</v>
      </c>
      <c r="E978" s="19" t="s">
        <v>954</v>
      </c>
      <c r="F978" s="6" t="s">
        <v>73</v>
      </c>
      <c r="G978" s="6" t="s">
        <v>75</v>
      </c>
      <c r="H978" s="134" t="s">
        <v>234</v>
      </c>
      <c r="I978" s="135" t="s">
        <v>185</v>
      </c>
      <c r="J978" s="136">
        <v>4</v>
      </c>
      <c r="K978" s="342"/>
      <c r="L978" s="343"/>
      <c r="M978" s="344"/>
      <c r="N978" s="345"/>
      <c r="O978" s="346"/>
      <c r="P978" s="347"/>
      <c r="Q978" s="345"/>
      <c r="R978" s="344">
        <v>-17847.759999999998</v>
      </c>
      <c r="S978" s="348"/>
      <c r="T978" s="102">
        <f>SUM(Finance[[#This Row],[Samer]:[Margins]])</f>
        <v>-17847.759999999998</v>
      </c>
      <c r="U978" s="103">
        <f>ABS(Finance[[#This Row],[Total (EGP)]])</f>
        <v>17847.759999999998</v>
      </c>
      <c r="V978" s="349"/>
    </row>
    <row r="979" spans="2:26" ht="18" customHeight="1" x14ac:dyDescent="0.3">
      <c r="B979" s="339">
        <v>46015</v>
      </c>
      <c r="C979" s="340">
        <f>YEAR(Finance[[#This Row],[Date]])</f>
        <v>2025</v>
      </c>
      <c r="D979" s="341">
        <f>MONTH(Finance[[#This Row],[Date]])</f>
        <v>12</v>
      </c>
      <c r="E979" s="19" t="s">
        <v>270</v>
      </c>
      <c r="F979" s="6" t="s">
        <v>73</v>
      </c>
      <c r="G979" s="6" t="s">
        <v>75</v>
      </c>
      <c r="H979" s="134" t="s">
        <v>90</v>
      </c>
      <c r="I979" s="135" t="s">
        <v>185</v>
      </c>
      <c r="J979" s="136">
        <v>4</v>
      </c>
      <c r="K979" s="342"/>
      <c r="L979" s="343"/>
      <c r="M979" s="344"/>
      <c r="N979" s="345"/>
      <c r="O979" s="346"/>
      <c r="P979" s="347"/>
      <c r="Q979" s="345"/>
      <c r="R979" s="344">
        <f>-17847.76*0.14</f>
        <v>-2498.6864</v>
      </c>
      <c r="S979" s="348"/>
      <c r="T979" s="102">
        <f>SUM(Finance[[#This Row],[Samer]:[Margins]])</f>
        <v>-2498.6864</v>
      </c>
      <c r="U979" s="103">
        <f>ABS(Finance[[#This Row],[Total (EGP)]])</f>
        <v>2498.6864</v>
      </c>
      <c r="V979" s="349"/>
    </row>
    <row r="980" spans="2:26" ht="18" customHeight="1" x14ac:dyDescent="0.3">
      <c r="B980" s="339">
        <v>46015</v>
      </c>
      <c r="C980" s="340">
        <f>YEAR(Finance[[#This Row],[Date]])</f>
        <v>2025</v>
      </c>
      <c r="D980" s="341">
        <f>MONTH(Finance[[#This Row],[Date]])</f>
        <v>12</v>
      </c>
      <c r="E980" s="19" t="s">
        <v>955</v>
      </c>
      <c r="F980" s="6" t="s">
        <v>73</v>
      </c>
      <c r="G980" s="6" t="s">
        <v>272</v>
      </c>
      <c r="H980" s="134" t="s">
        <v>234</v>
      </c>
      <c r="I980" s="135" t="s">
        <v>185</v>
      </c>
      <c r="J980" s="136">
        <v>5</v>
      </c>
      <c r="K980" s="342"/>
      <c r="L980" s="343"/>
      <c r="M980" s="344"/>
      <c r="N980" s="345"/>
      <c r="O980" s="346"/>
      <c r="P980" s="347"/>
      <c r="Q980" s="345"/>
      <c r="R980" s="344">
        <v>-4875</v>
      </c>
      <c r="S980" s="348"/>
      <c r="T980" s="102">
        <f>SUM(Finance[[#This Row],[Samer]:[Margins]])</f>
        <v>-4875</v>
      </c>
      <c r="U980" s="103">
        <f>ABS(Finance[[#This Row],[Total (EGP)]])</f>
        <v>4875</v>
      </c>
      <c r="V980" s="349"/>
    </row>
    <row r="981" spans="2:26" ht="18" customHeight="1" x14ac:dyDescent="0.3">
      <c r="B981" s="339">
        <v>46015</v>
      </c>
      <c r="C981" s="340">
        <f>YEAR(Finance[[#This Row],[Date]])</f>
        <v>2025</v>
      </c>
      <c r="D981" s="341">
        <f>MONTH(Finance[[#This Row],[Date]])</f>
        <v>12</v>
      </c>
      <c r="E981" s="19" t="s">
        <v>273</v>
      </c>
      <c r="F981" s="6" t="s">
        <v>73</v>
      </c>
      <c r="G981" s="6" t="s">
        <v>272</v>
      </c>
      <c r="H981" s="134" t="s">
        <v>90</v>
      </c>
      <c r="I981" s="135" t="s">
        <v>185</v>
      </c>
      <c r="J981" s="136">
        <v>5</v>
      </c>
      <c r="K981" s="342"/>
      <c r="L981" s="343"/>
      <c r="M981" s="344"/>
      <c r="N981" s="345"/>
      <c r="O981" s="346"/>
      <c r="P981" s="347"/>
      <c r="Q981" s="345"/>
      <c r="R981" s="344">
        <f>-4875*0.14</f>
        <v>-682.50000000000011</v>
      </c>
      <c r="S981" s="348"/>
      <c r="T981" s="102">
        <f>SUM(Finance[[#This Row],[Samer]:[Margins]])</f>
        <v>-682.50000000000011</v>
      </c>
      <c r="U981" s="103">
        <f>ABS(Finance[[#This Row],[Total (EGP)]])</f>
        <v>682.50000000000011</v>
      </c>
      <c r="V981" s="349"/>
    </row>
    <row r="982" spans="2:26" ht="18" customHeight="1" x14ac:dyDescent="0.3">
      <c r="B982" s="339">
        <v>46015</v>
      </c>
      <c r="C982" s="340">
        <f>YEAR(Finance[[#This Row],[Date]])</f>
        <v>2025</v>
      </c>
      <c r="D982" s="341">
        <f>MONTH(Finance[[#This Row],[Date]])</f>
        <v>12</v>
      </c>
      <c r="E982" s="6" t="s">
        <v>275</v>
      </c>
      <c r="F982" s="6" t="s">
        <v>29</v>
      </c>
      <c r="G982" s="6" t="s">
        <v>95</v>
      </c>
      <c r="H982" s="48" t="s">
        <v>276</v>
      </c>
      <c r="I982" s="135" t="s">
        <v>185</v>
      </c>
      <c r="J982" s="136">
        <v>3</v>
      </c>
      <c r="K982" s="342"/>
      <c r="L982" s="343"/>
      <c r="M982" s="344"/>
      <c r="N982" s="345"/>
      <c r="O982" s="346"/>
      <c r="P982" s="347"/>
      <c r="Q982" s="345"/>
      <c r="R982" s="344">
        <v>25</v>
      </c>
      <c r="S982" s="348"/>
      <c r="T982" s="102">
        <f>SUM(Finance[[#This Row],[Samer]:[Margins]])</f>
        <v>25</v>
      </c>
      <c r="U982" s="103">
        <f>ABS(Finance[[#This Row],[Total (EGP)]])</f>
        <v>25</v>
      </c>
      <c r="V982" s="349"/>
    </row>
    <row r="983" spans="2:26" ht="18" customHeight="1" x14ac:dyDescent="0.3">
      <c r="B983" s="339">
        <v>46019</v>
      </c>
      <c r="C983" s="340">
        <f>YEAR(Finance[[#This Row],[Date]])</f>
        <v>2025</v>
      </c>
      <c r="D983" s="341">
        <f>MONTH(Finance[[#This Row],[Date]])</f>
        <v>12</v>
      </c>
      <c r="E983" s="39" t="s">
        <v>958</v>
      </c>
      <c r="F983" s="272" t="s">
        <v>30</v>
      </c>
      <c r="G983" s="272" t="s">
        <v>88</v>
      </c>
      <c r="H983" s="273" t="s">
        <v>102</v>
      </c>
      <c r="I983" s="274" t="s">
        <v>235</v>
      </c>
      <c r="J983" s="275">
        <v>2</v>
      </c>
      <c r="K983" s="276"/>
      <c r="L983" s="277">
        <f>(318.85*1100)*0.85</f>
        <v>298124.75</v>
      </c>
      <c r="M983" s="344"/>
      <c r="N983" s="345"/>
      <c r="O983" s="346"/>
      <c r="P983" s="347"/>
      <c r="Q983" s="345"/>
      <c r="R983" s="344"/>
      <c r="S983" s="348"/>
      <c r="T983" s="102">
        <f>SUM(Finance[[#This Row],[Samer]:[Margins]])</f>
        <v>298124.75</v>
      </c>
      <c r="U983" s="103">
        <f>ABS(Finance[[#This Row],[Total (EGP)]])</f>
        <v>298124.75</v>
      </c>
      <c r="V983" s="349"/>
    </row>
    <row r="984" spans="2:26" ht="18" customHeight="1" x14ac:dyDescent="0.3">
      <c r="B984" s="339">
        <v>46019</v>
      </c>
      <c r="C984" s="340">
        <f>YEAR(Finance[[#This Row],[Date]])</f>
        <v>2025</v>
      </c>
      <c r="D984" s="341">
        <f>MONTH(Finance[[#This Row],[Date]])</f>
        <v>12</v>
      </c>
      <c r="E984" s="39" t="s">
        <v>959</v>
      </c>
      <c r="F984" s="272" t="s">
        <v>30</v>
      </c>
      <c r="G984" s="272" t="s">
        <v>88</v>
      </c>
      <c r="H984" s="273" t="s">
        <v>102</v>
      </c>
      <c r="I984" s="274" t="s">
        <v>235</v>
      </c>
      <c r="J984" s="275">
        <v>2</v>
      </c>
      <c r="K984" s="276"/>
      <c r="L984" s="277">
        <f>(262.16*1100)*0.85</f>
        <v>245119.6</v>
      </c>
      <c r="M984" s="344"/>
      <c r="N984" s="345"/>
      <c r="O984" s="346"/>
      <c r="P984" s="347"/>
      <c r="Q984" s="345"/>
      <c r="R984" s="344"/>
      <c r="S984" s="348"/>
      <c r="T984" s="102">
        <f>SUM(Finance[[#This Row],[Samer]:[Margins]])</f>
        <v>245119.6</v>
      </c>
      <c r="U984" s="103">
        <f>ABS(Finance[[#This Row],[Total (EGP)]])</f>
        <v>245119.6</v>
      </c>
      <c r="V984" s="349"/>
    </row>
    <row r="985" spans="2:26" ht="18" customHeight="1" x14ac:dyDescent="0.3">
      <c r="B985" s="339">
        <v>46019</v>
      </c>
      <c r="C985" s="340">
        <f>YEAR(Finance[[#This Row],[Date]])</f>
        <v>2025</v>
      </c>
      <c r="D985" s="341">
        <f>MONTH(Finance[[#This Row],[Date]])</f>
        <v>12</v>
      </c>
      <c r="E985" s="350" t="s">
        <v>262</v>
      </c>
      <c r="F985" s="351" t="s">
        <v>37</v>
      </c>
      <c r="G985" s="350" t="s">
        <v>36</v>
      </c>
      <c r="H985" s="352" t="s">
        <v>206</v>
      </c>
      <c r="I985" s="353" t="s">
        <v>175</v>
      </c>
      <c r="J985" s="354">
        <v>0</v>
      </c>
      <c r="K985" s="342"/>
      <c r="L985" s="343">
        <v>4000</v>
      </c>
      <c r="M985" s="344"/>
      <c r="N985" s="345"/>
      <c r="O985" s="346"/>
      <c r="P985" s="347"/>
      <c r="Q985" s="345"/>
      <c r="R985" s="344"/>
      <c r="S985" s="348">
        <v>-4000</v>
      </c>
      <c r="T985" s="102">
        <f>SUM(Finance[[#This Row],[Samer]:[Margins]])</f>
        <v>0</v>
      </c>
      <c r="U985" s="103">
        <f>ABS(Finance[[#This Row],[Total (EGP)]])</f>
        <v>0</v>
      </c>
      <c r="V985" s="349"/>
    </row>
    <row r="986" spans="2:26" ht="18" customHeight="1" x14ac:dyDescent="0.3">
      <c r="B986" s="339">
        <v>46019</v>
      </c>
      <c r="C986" s="340">
        <f>YEAR(Finance[[#This Row],[Date]])</f>
        <v>2025</v>
      </c>
      <c r="D986" s="341">
        <f>MONTH(Finance[[#This Row],[Date]])</f>
        <v>12</v>
      </c>
      <c r="E986" s="6" t="s">
        <v>254</v>
      </c>
      <c r="F986" s="355" t="s">
        <v>29</v>
      </c>
      <c r="G986" s="329" t="s">
        <v>55</v>
      </c>
      <c r="H986" s="330" t="s">
        <v>352</v>
      </c>
      <c r="I986" s="135" t="s">
        <v>175</v>
      </c>
      <c r="J986" s="136">
        <v>3</v>
      </c>
      <c r="K986" s="342"/>
      <c r="L986" s="343"/>
      <c r="M986" s="344"/>
      <c r="N986" s="345"/>
      <c r="O986" s="346"/>
      <c r="P986" s="347"/>
      <c r="Q986" s="345"/>
      <c r="R986" s="344"/>
      <c r="S986" s="348">
        <v>7105</v>
      </c>
      <c r="T986" s="102">
        <f>SUM(Finance[[#This Row],[Samer]:[Margins]])</f>
        <v>7105</v>
      </c>
      <c r="U986" s="103">
        <f>ABS(Finance[[#This Row],[Total (EGP)]])</f>
        <v>7105</v>
      </c>
      <c r="V986" s="349"/>
    </row>
    <row r="987" spans="2:26" ht="18" customHeight="1" x14ac:dyDescent="0.3">
      <c r="B987" s="339">
        <v>46019</v>
      </c>
      <c r="C987" s="340">
        <f>YEAR(Finance[[#This Row],[Date]])</f>
        <v>2025</v>
      </c>
      <c r="D987" s="341">
        <f>MONTH(Finance[[#This Row],[Date]])</f>
        <v>12</v>
      </c>
      <c r="E987" s="6" t="s">
        <v>101</v>
      </c>
      <c r="F987" s="39" t="s">
        <v>29</v>
      </c>
      <c r="G987" s="6" t="s">
        <v>101</v>
      </c>
      <c r="H987" s="134" t="s">
        <v>74</v>
      </c>
      <c r="I987" s="135" t="s">
        <v>175</v>
      </c>
      <c r="J987" s="136">
        <v>3</v>
      </c>
      <c r="K987" s="342"/>
      <c r="L987" s="343"/>
      <c r="M987" s="344"/>
      <c r="N987" s="345"/>
      <c r="O987" s="346"/>
      <c r="P987" s="347"/>
      <c r="Q987" s="345"/>
      <c r="R987" s="344"/>
      <c r="S987" s="348">
        <v>127</v>
      </c>
      <c r="T987" s="102">
        <f>SUM(Finance[[#This Row],[Samer]:[Margins]])</f>
        <v>127</v>
      </c>
      <c r="U987" s="103">
        <f>ABS(Finance[[#This Row],[Total (EGP)]])</f>
        <v>127</v>
      </c>
      <c r="V987" s="349"/>
    </row>
    <row r="988" spans="2:26" ht="18" customHeight="1" x14ac:dyDescent="0.3">
      <c r="B988" s="339">
        <v>46019</v>
      </c>
      <c r="C988" s="340">
        <f>YEAR(Finance[[#This Row],[Date]])</f>
        <v>2025</v>
      </c>
      <c r="D988" s="341">
        <f>MONTH(Finance[[#This Row],[Date]])</f>
        <v>12</v>
      </c>
      <c r="E988" s="39" t="s">
        <v>32</v>
      </c>
      <c r="F988" s="39" t="s">
        <v>29</v>
      </c>
      <c r="G988" s="6" t="s">
        <v>32</v>
      </c>
      <c r="H988" s="134" t="s">
        <v>142</v>
      </c>
      <c r="I988" s="135" t="s">
        <v>175</v>
      </c>
      <c r="J988" s="136">
        <v>3</v>
      </c>
      <c r="K988" s="342"/>
      <c r="L988" s="343"/>
      <c r="M988" s="344"/>
      <c r="N988" s="345"/>
      <c r="O988" s="346"/>
      <c r="P988" s="347"/>
      <c r="Q988" s="345"/>
      <c r="R988" s="344"/>
      <c r="S988" s="348">
        <v>650</v>
      </c>
      <c r="T988" s="102">
        <f>SUM(Finance[[#This Row],[Samer]:[Margins]])</f>
        <v>650</v>
      </c>
      <c r="U988" s="103">
        <f>ABS(Finance[[#This Row],[Total (EGP)]])</f>
        <v>650</v>
      </c>
      <c r="V988" s="349"/>
    </row>
    <row r="989" spans="2:26" ht="18" customHeight="1" x14ac:dyDescent="0.3">
      <c r="B989" s="339"/>
      <c r="C989" s="340">
        <f>YEAR(Finance[[#This Row],[Date]])</f>
        <v>1900</v>
      </c>
      <c r="D989" s="341">
        <f>MONTH(Finance[[#This Row],[Date]])</f>
        <v>1</v>
      </c>
      <c r="E989" s="350"/>
      <c r="F989" s="351"/>
      <c r="G989" s="350"/>
      <c r="H989" s="352"/>
      <c r="I989" s="353" t="e">
        <f>VLOOKUP(Finance[[#This Row],[Sub Category]],Currency[],2)</f>
        <v>#N/A</v>
      </c>
      <c r="J989" s="354"/>
      <c r="K989" s="342"/>
      <c r="L989" s="343"/>
      <c r="M989" s="344"/>
      <c r="N989" s="345"/>
      <c r="O989" s="346"/>
      <c r="P989" s="347"/>
      <c r="Q989" s="345"/>
      <c r="R989" s="344"/>
      <c r="S989" s="348"/>
      <c r="T989" s="102">
        <f>SUM(Finance[[#This Row],[Samer]:[Margins]])</f>
        <v>0</v>
      </c>
      <c r="U989" s="103">
        <f>ABS(Finance[[#This Row],[Total (EGP)]])</f>
        <v>0</v>
      </c>
      <c r="V989" s="349"/>
    </row>
    <row r="990" spans="2:26" ht="18" customHeight="1" x14ac:dyDescent="0.3">
      <c r="B990" s="339"/>
      <c r="C990" s="340">
        <f>YEAR(Finance[[#This Row],[Date]])</f>
        <v>1900</v>
      </c>
      <c r="D990" s="341">
        <f>MONTH(Finance[[#This Row],[Date]])</f>
        <v>1</v>
      </c>
      <c r="E990" s="350"/>
      <c r="F990" s="351"/>
      <c r="G990" s="350"/>
      <c r="H990" s="352"/>
      <c r="I990" s="353" t="e">
        <f>VLOOKUP(Finance[[#This Row],[Sub Category]],Currency[],2)</f>
        <v>#N/A</v>
      </c>
      <c r="J990" s="354"/>
      <c r="K990" s="342"/>
      <c r="L990" s="343"/>
      <c r="M990" s="344"/>
      <c r="N990" s="345"/>
      <c r="O990" s="346"/>
      <c r="P990" s="347"/>
      <c r="Q990" s="345"/>
      <c r="R990" s="344"/>
      <c r="S990" s="348"/>
      <c r="T990" s="102">
        <f>SUM(Finance[[#This Row],[Samer]:[Margins]])</f>
        <v>0</v>
      </c>
      <c r="U990" s="103">
        <f>ABS(Finance[[#This Row],[Total (EGP)]])</f>
        <v>0</v>
      </c>
      <c r="V990" s="349"/>
    </row>
    <row r="991" spans="2:26" ht="18" customHeight="1" x14ac:dyDescent="0.3">
      <c r="B991" s="339"/>
      <c r="C991" s="340">
        <f>YEAR(Finance[[#This Row],[Date]])</f>
        <v>1900</v>
      </c>
      <c r="D991" s="341">
        <f>MONTH(Finance[[#This Row],[Date]])</f>
        <v>1</v>
      </c>
      <c r="E991" s="350"/>
      <c r="F991" s="351"/>
      <c r="G991" s="350"/>
      <c r="H991" s="352"/>
      <c r="I991" s="353" t="e">
        <f>VLOOKUP(Finance[[#This Row],[Sub Category]],Currency[],2)</f>
        <v>#N/A</v>
      </c>
      <c r="J991" s="354"/>
      <c r="K991" s="342"/>
      <c r="L991" s="343"/>
      <c r="M991" s="344"/>
      <c r="N991" s="345"/>
      <c r="O991" s="346"/>
      <c r="P991" s="347"/>
      <c r="Q991" s="345"/>
      <c r="R991" s="344"/>
      <c r="S991" s="348"/>
      <c r="T991" s="102">
        <f>SUM(Finance[[#This Row],[Samer]:[Margins]])</f>
        <v>0</v>
      </c>
      <c r="U991" s="103">
        <f>ABS(Finance[[#This Row],[Total (EGP)]])</f>
        <v>0</v>
      </c>
      <c r="V991" s="349"/>
    </row>
    <row r="992" spans="2:26" s="6" customFormat="1" ht="18" customHeight="1" x14ac:dyDescent="0.3">
      <c r="B992" s="51"/>
      <c r="C992" s="20"/>
      <c r="D992" s="90"/>
      <c r="E992" s="20"/>
      <c r="F992" s="78"/>
      <c r="G992" s="20"/>
      <c r="H992" s="82"/>
      <c r="I992" s="52"/>
      <c r="J992" s="53"/>
      <c r="K992" s="20"/>
      <c r="L992" s="99">
        <v>0</v>
      </c>
      <c r="M992" s="99"/>
      <c r="N992" s="99">
        <v>132000</v>
      </c>
      <c r="O992" s="99">
        <v>0</v>
      </c>
      <c r="P992" s="99">
        <v>0</v>
      </c>
      <c r="Q992" s="99">
        <v>0</v>
      </c>
      <c r="R992" s="99">
        <f>-359381.97+165.09</f>
        <v>-359216.87999999995</v>
      </c>
      <c r="S992" s="99">
        <v>-1504</v>
      </c>
      <c r="T992" s="102">
        <f>SUM(Finance[[#This Row],[Samer]:[Margins]])</f>
        <v>-228720.87999999995</v>
      </c>
      <c r="U992" s="103">
        <f>ABS(Finance[[#This Row],[Total (EGP)]])</f>
        <v>228720.87999999995</v>
      </c>
      <c r="V992" s="345"/>
      <c r="W992" s="360"/>
      <c r="X992" s="360"/>
      <c r="Y992" s="360"/>
      <c r="Z992" s="360"/>
    </row>
    <row r="993" spans="2:26" ht="18" customHeight="1" x14ac:dyDescent="0.3">
      <c r="B993" s="118"/>
      <c r="C993" s="118"/>
      <c r="D993" s="118"/>
      <c r="E993" s="118"/>
      <c r="F993" s="119"/>
      <c r="G993" s="118"/>
      <c r="H993" s="120"/>
      <c r="I993" s="118"/>
      <c r="J993" s="121"/>
      <c r="K993" s="118"/>
      <c r="L993" s="122">
        <f>SUBTOTAL(109,Finance[Samer])</f>
        <v>603062.81295399996</v>
      </c>
      <c r="M993" s="123">
        <f>SUBTOTAL(109,Finance[Simon])</f>
        <v>0</v>
      </c>
      <c r="N993" s="123">
        <f>SUBTOTAL(109,Finance[Fadi])</f>
        <v>0</v>
      </c>
      <c r="O993" s="123">
        <f>SUBTOTAL(109,Finance[Adel])</f>
        <v>0</v>
      </c>
      <c r="P993" s="123">
        <f>SUBTOTAL(109,Finance[CapEx Cash])</f>
        <v>0</v>
      </c>
      <c r="Q993" s="123">
        <f>SUBTOTAL(109,Finance[Cash])</f>
        <v>0.23199999984353781</v>
      </c>
      <c r="R993" s="123">
        <f>SUBTOTAL(109,Finance[Bank (QNB)EGP])</f>
        <v>-929227.06168619171</v>
      </c>
      <c r="S993" s="124">
        <f>SUBTOTAL(109,Finance[Margins])</f>
        <v>-40613.5</v>
      </c>
      <c r="T993" s="123">
        <f>SUM(Finance[[#Totals],[Samer]:[Margins]])</f>
        <v>-366777.5167321919</v>
      </c>
      <c r="U993" s="123"/>
      <c r="V993" s="371"/>
      <c r="W993" s="371"/>
      <c r="X993" s="372"/>
      <c r="Y993" s="360"/>
      <c r="Z993" s="360"/>
    </row>
    <row r="994" spans="2:26" ht="18" customHeight="1" thickBot="1" x14ac:dyDescent="0.35">
      <c r="B994" s="33"/>
      <c r="C994" s="33"/>
      <c r="D994" s="33"/>
      <c r="E994" s="33"/>
      <c r="F994" s="85"/>
      <c r="G994" s="33"/>
      <c r="H994" s="83"/>
      <c r="I994" s="33"/>
      <c r="J994" s="50"/>
      <c r="K994" s="33"/>
      <c r="L994" s="34">
        <f>Finance[[#Totals],[Samer]]/Finance[[#Totals],[Total (EGP)]]</f>
        <v>-1.6442196848023685</v>
      </c>
      <c r="M994" s="35">
        <f>Finance[[#Totals],[Simon]]/Finance[[#Totals],[Total (EGP)]]</f>
        <v>0</v>
      </c>
      <c r="N994" s="36">
        <f>Finance[[#Totals],[Fadi]]/Finance[[#Totals],[Total (EGP)]]</f>
        <v>0</v>
      </c>
      <c r="O994" s="36">
        <f>Finance[[#Totals],[Adel]]/Finance[[#Totals],[Total (EGP)]]</f>
        <v>0</v>
      </c>
      <c r="P994" s="36">
        <f>Finance[[#Totals],[CapEx Cash]]/Finance[[#Totals],[Total (EGP)]]</f>
        <v>0</v>
      </c>
      <c r="Q994" s="36">
        <f>Finance[[#Totals],[Cash]]/Finance[[#Totals],[Total (EGP)]]</f>
        <v>-6.3253604504044908E-7</v>
      </c>
      <c r="R994" s="36">
        <f>Finance[[#Totals],[Bank (QNB)EGP]]/Finance[[#Totals],[Total (EGP)]]</f>
        <v>2.5334897023273126</v>
      </c>
      <c r="S994" s="98">
        <f>Finance[[#Totals],[Margins]]/Finance[[#Totals],[Total (EGP)]]</f>
        <v>0.11073061501110101</v>
      </c>
      <c r="T994" s="71">
        <f>SUM(L994:S994)</f>
        <v>1</v>
      </c>
      <c r="U994" s="71"/>
      <c r="V994" s="373"/>
      <c r="W994" s="360"/>
      <c r="X994" s="360"/>
      <c r="Y994" s="360"/>
      <c r="Z994" s="360"/>
    </row>
    <row r="995" spans="2:26" ht="18" customHeight="1" x14ac:dyDescent="0.3">
      <c r="V995" s="360"/>
      <c r="W995" s="360"/>
      <c r="X995" s="360"/>
      <c r="Y995" s="360"/>
      <c r="Z995" s="360"/>
    </row>
    <row r="996" spans="2:26" ht="18" customHeight="1" x14ac:dyDescent="0.3">
      <c r="D996" s="24" t="s">
        <v>65</v>
      </c>
      <c r="P996" s="44"/>
      <c r="Q996" s="96"/>
      <c r="R996" s="96"/>
      <c r="S996" s="91"/>
      <c r="T996" s="57"/>
      <c r="U996" s="57"/>
      <c r="V996" s="360"/>
      <c r="W996" s="360"/>
      <c r="X996" s="360"/>
      <c r="Y996" s="360"/>
      <c r="Z996" s="360"/>
    </row>
    <row r="997" spans="2:26" ht="18" customHeight="1" x14ac:dyDescent="0.3">
      <c r="D997" s="24" t="s">
        <v>67</v>
      </c>
      <c r="J997" s="104" t="s">
        <v>165</v>
      </c>
      <c r="P997" s="44"/>
      <c r="Q997" s="96" t="s">
        <v>392</v>
      </c>
      <c r="R997" s="96">
        <v>181284.28</v>
      </c>
      <c r="S997" s="64">
        <f>R997-181284.28</f>
        <v>0</v>
      </c>
      <c r="T997" s="91" t="s">
        <v>279</v>
      </c>
      <c r="U997" s="91"/>
    </row>
    <row r="998" spans="2:26" ht="18" customHeight="1" x14ac:dyDescent="0.3">
      <c r="L998" s="54"/>
      <c r="P998" s="44"/>
      <c r="Q998" s="96" t="s">
        <v>383</v>
      </c>
      <c r="R998" s="96">
        <v>637008.67000000004</v>
      </c>
      <c r="S998" s="115">
        <f>R998-637008.67</f>
        <v>0</v>
      </c>
      <c r="T998" s="91" t="s">
        <v>279</v>
      </c>
      <c r="U998" s="91"/>
    </row>
    <row r="999" spans="2:26" ht="18" customHeight="1" x14ac:dyDescent="0.3">
      <c r="L999" s="55"/>
      <c r="M999" s="55"/>
      <c r="N999" s="55"/>
      <c r="O999" s="55"/>
      <c r="P999" s="44"/>
      <c r="Q999" s="96" t="s">
        <v>458</v>
      </c>
      <c r="R999" s="64">
        <v>642763.48</v>
      </c>
      <c r="S999" s="64">
        <v>0</v>
      </c>
      <c r="T999" s="91" t="s">
        <v>279</v>
      </c>
      <c r="U999" s="91"/>
      <c r="V999" s="38"/>
    </row>
    <row r="1000" spans="2:26" ht="18" customHeight="1" x14ac:dyDescent="0.3">
      <c r="L1000" s="54"/>
      <c r="M1000" s="54"/>
      <c r="N1000" s="54"/>
      <c r="P1000" s="44"/>
      <c r="Q1000" s="96" t="s">
        <v>509</v>
      </c>
      <c r="R1000" s="96">
        <f>568901.68+100000-93243.15-9956.41+398950-413700.8</f>
        <v>550951.32000000007</v>
      </c>
      <c r="S1000" s="66">
        <v>0</v>
      </c>
      <c r="T1000" s="91" t="s">
        <v>279</v>
      </c>
      <c r="U1000" s="92"/>
    </row>
    <row r="1001" spans="2:26" ht="18" customHeight="1" x14ac:dyDescent="0.3">
      <c r="I1001" s="38"/>
      <c r="L1001" s="54"/>
      <c r="N1001" s="54"/>
      <c r="P1001" s="44"/>
      <c r="Q1001" s="96" t="s">
        <v>603</v>
      </c>
      <c r="R1001" s="96">
        <v>622278.81000000006</v>
      </c>
      <c r="S1001" s="66">
        <v>0</v>
      </c>
      <c r="T1001" s="91" t="s">
        <v>279</v>
      </c>
      <c r="U1001" s="92"/>
    </row>
    <row r="1002" spans="2:26" ht="18" customHeight="1" x14ac:dyDescent="0.3">
      <c r="J1002" s="6"/>
      <c r="K1002" s="57"/>
      <c r="L1002" s="61"/>
      <c r="M1002" s="61"/>
      <c r="N1002" s="44"/>
      <c r="O1002" s="44"/>
      <c r="P1002" s="58"/>
      <c r="Q1002" s="96" t="s">
        <v>620</v>
      </c>
      <c r="R1002" s="64">
        <v>739565.61</v>
      </c>
      <c r="S1002" s="115">
        <v>0</v>
      </c>
      <c r="T1002" s="57" t="s">
        <v>279</v>
      </c>
      <c r="U1002" s="57"/>
    </row>
    <row r="1003" spans="2:26" ht="18" customHeight="1" x14ac:dyDescent="0.3">
      <c r="I1003" s="37"/>
      <c r="J1003" s="6"/>
      <c r="K1003" s="6"/>
      <c r="L1003" s="61"/>
      <c r="M1003" s="93"/>
      <c r="N1003" s="58"/>
      <c r="O1003" s="58"/>
      <c r="P1003" s="58"/>
      <c r="Q1003" s="96" t="s">
        <v>641</v>
      </c>
      <c r="R1003" s="64">
        <v>646640.6</v>
      </c>
      <c r="S1003" s="92">
        <v>0</v>
      </c>
      <c r="T1003" s="57" t="s">
        <v>279</v>
      </c>
      <c r="U1003" s="57"/>
    </row>
    <row r="1004" spans="2:26" ht="18" customHeight="1" x14ac:dyDescent="0.3">
      <c r="J1004" s="6"/>
      <c r="K1004" s="57"/>
      <c r="L1004" s="59"/>
      <c r="M1004" s="59"/>
      <c r="N1004" s="59"/>
      <c r="O1004" s="44"/>
      <c r="P1004" s="44"/>
      <c r="Q1004" s="96" t="s">
        <v>683</v>
      </c>
      <c r="R1004" s="6">
        <v>41625.15</v>
      </c>
      <c r="S1004" s="92">
        <f>R1004-41625.15</f>
        <v>0</v>
      </c>
      <c r="T1004" s="57" t="s">
        <v>279</v>
      </c>
      <c r="U1004" s="57"/>
      <c r="V1004" s="38"/>
    </row>
    <row r="1005" spans="2:26" ht="18" customHeight="1" x14ac:dyDescent="0.3">
      <c r="G1005" s="6"/>
      <c r="H1005" s="48"/>
      <c r="I1005" s="87"/>
      <c r="J1005" s="6"/>
      <c r="K1005" s="57"/>
      <c r="L1005" s="61"/>
      <c r="M1005" s="61"/>
      <c r="N1005" s="61"/>
      <c r="O1005" s="60"/>
      <c r="P1005" s="58"/>
      <c r="Q1005" s="96" t="s">
        <v>764</v>
      </c>
      <c r="R1005" s="64">
        <v>829073.32</v>
      </c>
      <c r="S1005" s="300">
        <f>R1005-829073.31</f>
        <v>9.9999998928979039E-3</v>
      </c>
      <c r="T1005" s="125"/>
      <c r="U1005" s="57"/>
      <c r="V1005" s="37"/>
    </row>
    <row r="1006" spans="2:26" ht="18" customHeight="1" x14ac:dyDescent="0.3">
      <c r="G1006" s="6"/>
      <c r="H1006" s="48"/>
      <c r="I1006" s="64"/>
      <c r="J1006" s="6"/>
      <c r="K1006" s="57"/>
      <c r="L1006" s="61"/>
      <c r="M1006" s="62"/>
      <c r="N1006" s="62"/>
      <c r="O1006" s="59"/>
      <c r="P1006" s="60"/>
      <c r="Q1006" s="96" t="s">
        <v>871</v>
      </c>
      <c r="R1006" s="64">
        <v>50645.78</v>
      </c>
      <c r="S1006" s="64">
        <f>R1006-50645.77</f>
        <v>1.0000000002037268E-2</v>
      </c>
      <c r="T1006" s="57"/>
      <c r="U1006" s="57"/>
    </row>
    <row r="1007" spans="2:26" ht="18" customHeight="1" x14ac:dyDescent="0.3">
      <c r="J1007" s="6"/>
      <c r="K1007" s="57"/>
      <c r="L1007" s="61"/>
      <c r="M1007" s="62"/>
      <c r="N1007" s="86"/>
      <c r="O1007" s="61"/>
      <c r="P1007" s="59"/>
      <c r="Q1007" s="64" t="s">
        <v>921</v>
      </c>
      <c r="R1007" s="6">
        <v>266737.86</v>
      </c>
      <c r="S1007" s="64">
        <f>R1007-260493.95-6243.95</f>
        <v>-4.0000000025429472E-2</v>
      </c>
      <c r="T1007" s="57"/>
      <c r="U1007" s="57"/>
    </row>
    <row r="1008" spans="2:26" ht="18" customHeight="1" x14ac:dyDescent="0.3">
      <c r="J1008" s="6"/>
      <c r="K1008" s="44"/>
      <c r="L1008" s="63"/>
      <c r="M1008" s="44"/>
      <c r="N1008" s="6"/>
      <c r="O1008" s="44"/>
      <c r="P1008" s="44"/>
      <c r="Q1008" s="64" t="s">
        <v>922</v>
      </c>
      <c r="R1008" s="64">
        <v>563781.46</v>
      </c>
      <c r="S1008" s="96">
        <f>R1008-613252.25</f>
        <v>-49470.790000000037</v>
      </c>
      <c r="T1008" s="125">
        <f>SUM(R904:R910)+SUM(R923:R926)</f>
        <v>-56128.801600000006</v>
      </c>
      <c r="U1008" s="57"/>
    </row>
    <row r="1009" spans="10:21" ht="18" customHeight="1" x14ac:dyDescent="0.3">
      <c r="J1009" s="6"/>
      <c r="K1009" s="44"/>
      <c r="L1009" s="44"/>
      <c r="M1009" s="44"/>
      <c r="N1009" s="6"/>
      <c r="O1009" s="44"/>
      <c r="P1009" s="44"/>
      <c r="Q1009" s="6"/>
      <c r="R1009" s="75"/>
      <c r="S1009" s="64"/>
      <c r="T1009" s="125"/>
      <c r="U1009" s="57"/>
    </row>
    <row r="1010" spans="10:21" ht="18" customHeight="1" x14ac:dyDescent="0.3">
      <c r="J1010" s="6"/>
      <c r="K1010" s="44"/>
      <c r="L1010" s="63"/>
      <c r="M1010" s="44"/>
      <c r="N1010" s="6"/>
      <c r="O1010" s="63"/>
      <c r="P1010" s="44"/>
      <c r="R1010" s="97"/>
    </row>
  </sheetData>
  <mergeCells count="1">
    <mergeCell ref="L13:R13"/>
  </mergeCells>
  <phoneticPr fontId="16" type="noConversion"/>
  <conditionalFormatting sqref="D240:D241">
    <cfRule type="colorScale" priority="13455">
      <colorScale>
        <cfvo type="min"/>
        <cfvo type="percentile" val="50"/>
        <cfvo type="max"/>
        <color rgb="FFF8696B"/>
        <color rgb="FFFFEB84"/>
        <color rgb="FF63BE7B"/>
      </colorScale>
    </cfRule>
  </conditionalFormatting>
  <conditionalFormatting sqref="D285:D287">
    <cfRule type="colorScale" priority="12648">
      <colorScale>
        <cfvo type="min"/>
        <cfvo type="percentile" val="50"/>
        <cfvo type="max"/>
        <color rgb="FFF8696B"/>
        <color rgb="FFFFEB84"/>
        <color rgb="FF63BE7B"/>
      </colorScale>
    </cfRule>
  </conditionalFormatting>
  <conditionalFormatting sqref="D288:D291">
    <cfRule type="colorScale" priority="12590">
      <colorScale>
        <cfvo type="min"/>
        <cfvo type="percentile" val="50"/>
        <cfvo type="max"/>
        <color rgb="FFF8696B"/>
        <color rgb="FFFFEB84"/>
        <color rgb="FF63BE7B"/>
      </colorScale>
    </cfRule>
  </conditionalFormatting>
  <conditionalFormatting sqref="D331">
    <cfRule type="colorScale" priority="11187">
      <colorScale>
        <cfvo type="min"/>
        <cfvo type="percentile" val="50"/>
        <cfvo type="max"/>
        <color rgb="FFF8696B"/>
        <color rgb="FFFFEB84"/>
        <color rgb="FF63BE7B"/>
      </colorScale>
    </cfRule>
  </conditionalFormatting>
  <conditionalFormatting sqref="D513">
    <cfRule type="colorScale" priority="8940">
      <colorScale>
        <cfvo type="min"/>
        <cfvo type="percentile" val="50"/>
        <cfvo type="max"/>
        <color rgb="FFF8696B"/>
        <color rgb="FFFFEB84"/>
        <color rgb="FF63BE7B"/>
      </colorScale>
    </cfRule>
  </conditionalFormatting>
  <conditionalFormatting sqref="D514:D537 D292:D330 D15:D239 D242:D284 D332:D512 D542:D616 D621:D724">
    <cfRule type="colorScale" priority="193363">
      <colorScale>
        <cfvo type="min"/>
        <cfvo type="percentile" val="50"/>
        <cfvo type="max"/>
        <color rgb="FFF8696B"/>
        <color rgb="FFFFEB84"/>
        <color rgb="FF63BE7B"/>
      </colorScale>
    </cfRule>
  </conditionalFormatting>
  <conditionalFormatting sqref="D538:D541">
    <cfRule type="colorScale" priority="8548">
      <colorScale>
        <cfvo type="min"/>
        <cfvo type="percentile" val="50"/>
        <cfvo type="max"/>
        <color rgb="FFF8696B"/>
        <color rgb="FFFFEB84"/>
        <color rgb="FF63BE7B"/>
      </colorScale>
    </cfRule>
  </conditionalFormatting>
  <conditionalFormatting sqref="D617:D620">
    <cfRule type="colorScale" priority="7367">
      <colorScale>
        <cfvo type="min"/>
        <cfvo type="percentile" val="50"/>
        <cfvo type="max"/>
        <color rgb="FFF8696B"/>
        <color rgb="FFFFEB84"/>
        <color rgb="FF63BE7B"/>
      </colorScale>
    </cfRule>
  </conditionalFormatting>
  <conditionalFormatting sqref="D748:D767">
    <cfRule type="colorScale" priority="193576">
      <colorScale>
        <cfvo type="min"/>
        <cfvo type="percentile" val="50"/>
        <cfvo type="max"/>
        <color rgb="FFF8696B"/>
        <color rgb="FFFFEB84"/>
        <color rgb="FF63BE7B"/>
      </colorScale>
    </cfRule>
  </conditionalFormatting>
  <conditionalFormatting sqref="D786:D787">
    <cfRule type="colorScale" priority="4188">
      <colorScale>
        <cfvo type="min"/>
        <cfvo type="percentile" val="50"/>
        <cfvo type="max"/>
        <color rgb="FFF8696B"/>
        <color rgb="FFFFEB84"/>
        <color rgb="FF63BE7B"/>
      </colorScale>
    </cfRule>
  </conditionalFormatting>
  <conditionalFormatting sqref="D839:D849">
    <cfRule type="colorScale" priority="193858">
      <colorScale>
        <cfvo type="min"/>
        <cfvo type="percentile" val="50"/>
        <cfvo type="max"/>
        <color rgb="FFF8696B"/>
        <color rgb="FFFFEB84"/>
        <color rgb="FF63BE7B"/>
      </colorScale>
    </cfRule>
  </conditionalFormatting>
  <conditionalFormatting sqref="D992">
    <cfRule type="colorScale" priority="134167">
      <colorScale>
        <cfvo type="min"/>
        <cfvo type="percentile" val="50"/>
        <cfvo type="max"/>
        <color rgb="FFF8696B"/>
        <color rgb="FFFFEB84"/>
        <color rgb="FF63BE7B"/>
      </colorScale>
    </cfRule>
  </conditionalFormatting>
  <conditionalFormatting sqref="E638">
    <cfRule type="colorScale" priority="7040">
      <colorScale>
        <cfvo type="min"/>
        <cfvo type="percentile" val="50"/>
        <cfvo type="max"/>
        <color rgb="FFF8696B"/>
        <color rgb="FFFFEB84"/>
        <color rgb="FF63BE7B"/>
      </colorScale>
    </cfRule>
  </conditionalFormatting>
  <conditionalFormatting sqref="F15">
    <cfRule type="dataBar" priority="17725">
      <dataBar>
        <cfvo type="min"/>
        <cfvo type="max"/>
        <color rgb="FF638EC6"/>
      </dataBar>
    </cfRule>
    <cfRule type="colorScale" priority="17726">
      <colorScale>
        <cfvo type="min"/>
        <cfvo type="percentile" val="50"/>
        <cfvo type="max"/>
        <color rgb="FFF8696B"/>
        <color rgb="FFFFEB84"/>
        <color rgb="FF63BE7B"/>
      </colorScale>
    </cfRule>
    <cfRule type="cellIs" dxfId="8099" priority="17727" operator="equal">
      <formula>"Tax"</formula>
    </cfRule>
  </conditionalFormatting>
  <conditionalFormatting sqref="F15:F18 F209:F210 F630:F631">
    <cfRule type="cellIs" dxfId="8098" priority="17699" operator="equal">
      <formula>"Cost of Sales"</formula>
    </cfRule>
    <cfRule type="cellIs" dxfId="8097" priority="17700" operator="equal">
      <formula>"Payroll"</formula>
    </cfRule>
    <cfRule type="cellIs" dxfId="8096" priority="17701" operator="equal">
      <formula>"Investment"</formula>
    </cfRule>
    <cfRule type="cellIs" dxfId="8095" priority="17702" operator="equal">
      <formula>"Sunk"</formula>
    </cfRule>
    <cfRule type="cellIs" dxfId="8094" priority="17703" operator="equal">
      <formula>"OpEx"</formula>
    </cfRule>
    <cfRule type="cellIs" dxfId="8093" priority="17704" operator="equal">
      <formula>"CapEx"</formula>
    </cfRule>
  </conditionalFormatting>
  <conditionalFormatting sqref="F15:F18">
    <cfRule type="cellIs" dxfId="8092" priority="17698" operator="equal">
      <formula>"Income"</formula>
    </cfRule>
  </conditionalFormatting>
  <conditionalFormatting sqref="F16:F17">
    <cfRule type="dataBar" priority="17742">
      <dataBar>
        <cfvo type="min"/>
        <cfvo type="max"/>
        <color rgb="FF638EC6"/>
      </dataBar>
    </cfRule>
    <cfRule type="colorScale" priority="17743">
      <colorScale>
        <cfvo type="min"/>
        <cfvo type="percentile" val="50"/>
        <cfvo type="max"/>
        <color rgb="FFF8696B"/>
        <color rgb="FFFFEB84"/>
        <color rgb="FF63BE7B"/>
      </colorScale>
    </cfRule>
    <cfRule type="cellIs" dxfId="8091" priority="17744" operator="equal">
      <formula>"Tax"</formula>
    </cfRule>
  </conditionalFormatting>
  <conditionalFormatting sqref="F18">
    <cfRule type="dataBar" priority="17695">
      <dataBar>
        <cfvo type="min"/>
        <cfvo type="max"/>
        <color rgb="FF638EC6"/>
      </dataBar>
    </cfRule>
    <cfRule type="colorScale" priority="17696">
      <colorScale>
        <cfvo type="min"/>
        <cfvo type="percentile" val="50"/>
        <cfvo type="max"/>
        <color rgb="FFF8696B"/>
        <color rgb="FFFFEB84"/>
        <color rgb="FF63BE7B"/>
      </colorScale>
    </cfRule>
    <cfRule type="cellIs" dxfId="8090" priority="17697" operator="equal">
      <formula>"Tax"</formula>
    </cfRule>
  </conditionalFormatting>
  <conditionalFormatting sqref="F19">
    <cfRule type="dataBar" priority="17673">
      <dataBar>
        <cfvo type="min"/>
        <cfvo type="max"/>
        <color rgb="FF638EC6"/>
      </dataBar>
    </cfRule>
    <cfRule type="colorScale" priority="17674">
      <colorScale>
        <cfvo type="min"/>
        <cfvo type="percentile" val="50"/>
        <cfvo type="max"/>
        <color rgb="FFF8696B"/>
        <color rgb="FFFFEB84"/>
        <color rgb="FF63BE7B"/>
      </colorScale>
    </cfRule>
    <cfRule type="cellIs" dxfId="8089" priority="17675" operator="equal">
      <formula>"Tax"</formula>
    </cfRule>
    <cfRule type="cellIs" dxfId="8088" priority="17676" operator="equal">
      <formula>"Income"</formula>
    </cfRule>
    <cfRule type="cellIs" dxfId="8087" priority="17677" operator="equal">
      <formula>"Cost of Sales"</formula>
    </cfRule>
    <cfRule type="cellIs" dxfId="8086" priority="17678" operator="equal">
      <formula>"Payroll"</formula>
    </cfRule>
    <cfRule type="cellIs" dxfId="8085" priority="17679" operator="equal">
      <formula>"Investment"</formula>
    </cfRule>
    <cfRule type="cellIs" dxfId="8084" priority="17680" operator="equal">
      <formula>"Sunk"</formula>
    </cfRule>
    <cfRule type="cellIs" dxfId="8083" priority="17681" operator="equal">
      <formula>"OpEx"</formula>
    </cfRule>
    <cfRule type="cellIs" dxfId="8082" priority="17682" operator="equal">
      <formula>"CapEx"</formula>
    </cfRule>
  </conditionalFormatting>
  <conditionalFormatting sqref="F20">
    <cfRule type="dataBar" priority="17652">
      <dataBar>
        <cfvo type="min"/>
        <cfvo type="max"/>
        <color rgb="FF638EC6"/>
      </dataBar>
    </cfRule>
    <cfRule type="colorScale" priority="17653">
      <colorScale>
        <cfvo type="min"/>
        <cfvo type="percentile" val="50"/>
        <cfvo type="max"/>
        <color rgb="FFF8696B"/>
        <color rgb="FFFFEB84"/>
        <color rgb="FF63BE7B"/>
      </colorScale>
    </cfRule>
    <cfRule type="cellIs" dxfId="8081" priority="17654" operator="equal">
      <formula>"Tax"</formula>
    </cfRule>
    <cfRule type="cellIs" dxfId="8080" priority="17655" operator="equal">
      <formula>"Income"</formula>
    </cfRule>
    <cfRule type="cellIs" dxfId="8079" priority="17656" operator="equal">
      <formula>"Cost of Sales"</formula>
    </cfRule>
    <cfRule type="cellIs" dxfId="8078" priority="17657" operator="equal">
      <formula>"Payroll"</formula>
    </cfRule>
    <cfRule type="cellIs" dxfId="8077" priority="17658" operator="equal">
      <formula>"Investment"</formula>
    </cfRule>
    <cfRule type="cellIs" dxfId="8076" priority="17659" operator="equal">
      <formula>"Sunk"</formula>
    </cfRule>
    <cfRule type="cellIs" dxfId="8075" priority="17660" operator="equal">
      <formula>"OpEx"</formula>
    </cfRule>
    <cfRule type="cellIs" dxfId="8074" priority="17661" operator="equal">
      <formula>"CapEx"</formula>
    </cfRule>
  </conditionalFormatting>
  <conditionalFormatting sqref="F21">
    <cfRule type="dataBar" priority="17634">
      <dataBar>
        <cfvo type="min"/>
        <cfvo type="max"/>
        <color rgb="FF638EC6"/>
      </dataBar>
    </cfRule>
    <cfRule type="colorScale" priority="17635">
      <colorScale>
        <cfvo type="min"/>
        <cfvo type="percentile" val="50"/>
        <cfvo type="max"/>
        <color rgb="FFF8696B"/>
        <color rgb="FFFFEB84"/>
        <color rgb="FF63BE7B"/>
      </colorScale>
    </cfRule>
    <cfRule type="cellIs" dxfId="8073" priority="17636" operator="equal">
      <formula>"Tax"</formula>
    </cfRule>
    <cfRule type="cellIs" dxfId="8072" priority="17637" operator="equal">
      <formula>"Income"</formula>
    </cfRule>
    <cfRule type="cellIs" dxfId="8071" priority="17638" operator="equal">
      <formula>"Cost of Sales"</formula>
    </cfRule>
    <cfRule type="cellIs" dxfId="8070" priority="17639" operator="equal">
      <formula>"Payroll"</formula>
    </cfRule>
    <cfRule type="cellIs" dxfId="8069" priority="17640" operator="equal">
      <formula>"Investment"</formula>
    </cfRule>
    <cfRule type="cellIs" dxfId="8068" priority="17641" operator="equal">
      <formula>"Sunk"</formula>
    </cfRule>
    <cfRule type="cellIs" dxfId="8067" priority="17642" operator="equal">
      <formula>"OpEx"</formula>
    </cfRule>
    <cfRule type="cellIs" dxfId="8066" priority="17643" operator="equal">
      <formula>"CapEx"</formula>
    </cfRule>
  </conditionalFormatting>
  <conditionalFormatting sqref="F22:F23">
    <cfRule type="cellIs" dxfId="8065" priority="17567" operator="equal">
      <formula>"Tax"</formula>
    </cfRule>
  </conditionalFormatting>
  <conditionalFormatting sqref="F22:F25">
    <cfRule type="cellIs" dxfId="8064" priority="17568" operator="equal">
      <formula>"Income"</formula>
    </cfRule>
    <cfRule type="cellIs" dxfId="8063" priority="17569" operator="equal">
      <formula>"Cost of Sales"</formula>
    </cfRule>
    <cfRule type="cellIs" dxfId="8062" priority="17570" operator="equal">
      <formula>"Payroll"</formula>
    </cfRule>
    <cfRule type="cellIs" dxfId="8061" priority="17571" operator="equal">
      <formula>"Investment"</formula>
    </cfRule>
    <cfRule type="cellIs" dxfId="8060" priority="17572" operator="equal">
      <formula>"Sunk"</formula>
    </cfRule>
    <cfRule type="cellIs" dxfId="8059" priority="17573" operator="equal">
      <formula>"OpEx"</formula>
    </cfRule>
    <cfRule type="cellIs" dxfId="8058" priority="17574" operator="equal">
      <formula>"CapEx"</formula>
    </cfRule>
  </conditionalFormatting>
  <conditionalFormatting sqref="F23">
    <cfRule type="dataBar" priority="17565">
      <dataBar>
        <cfvo type="min"/>
        <cfvo type="max"/>
        <color rgb="FF638EC6"/>
      </dataBar>
    </cfRule>
    <cfRule type="colorScale" priority="17566">
      <colorScale>
        <cfvo type="min"/>
        <cfvo type="percentile" val="50"/>
        <cfvo type="max"/>
        <color rgb="FFF8696B"/>
        <color rgb="FFFFEB84"/>
        <color rgb="FF63BE7B"/>
      </colorScale>
    </cfRule>
  </conditionalFormatting>
  <conditionalFormatting sqref="F24">
    <cfRule type="dataBar" priority="17562">
      <dataBar>
        <cfvo type="min"/>
        <cfvo type="max"/>
        <color rgb="FF638EC6"/>
      </dataBar>
    </cfRule>
    <cfRule type="colorScale" priority="17563">
      <colorScale>
        <cfvo type="min"/>
        <cfvo type="percentile" val="50"/>
        <cfvo type="max"/>
        <color rgb="FFF8696B"/>
        <color rgb="FFFFEB84"/>
        <color rgb="FF63BE7B"/>
      </colorScale>
    </cfRule>
    <cfRule type="cellIs" dxfId="8057" priority="17564" operator="equal">
      <formula>"Tax"</formula>
    </cfRule>
  </conditionalFormatting>
  <conditionalFormatting sqref="F25">
    <cfRule type="dataBar" priority="17593">
      <dataBar>
        <cfvo type="min"/>
        <cfvo type="max"/>
        <color rgb="FF638EC6"/>
      </dataBar>
    </cfRule>
    <cfRule type="colorScale" priority="17594">
      <colorScale>
        <cfvo type="min"/>
        <cfvo type="percentile" val="50"/>
        <cfvo type="max"/>
        <color rgb="FFF8696B"/>
        <color rgb="FFFFEB84"/>
        <color rgb="FF63BE7B"/>
      </colorScale>
    </cfRule>
    <cfRule type="cellIs" dxfId="8056" priority="17595" operator="equal">
      <formula>"Tax"</formula>
    </cfRule>
  </conditionalFormatting>
  <conditionalFormatting sqref="F26">
    <cfRule type="dataBar" priority="17547">
      <dataBar>
        <cfvo type="min"/>
        <cfvo type="max"/>
        <color rgb="FF638EC6"/>
      </dataBar>
    </cfRule>
    <cfRule type="colorScale" priority="17548">
      <colorScale>
        <cfvo type="min"/>
        <cfvo type="percentile" val="50"/>
        <cfvo type="max"/>
        <color rgb="FFF8696B"/>
        <color rgb="FFFFEB84"/>
        <color rgb="FF63BE7B"/>
      </colorScale>
    </cfRule>
    <cfRule type="cellIs" dxfId="8055" priority="17549" operator="equal">
      <formula>"Tax"</formula>
    </cfRule>
  </conditionalFormatting>
  <conditionalFormatting sqref="F26:F27">
    <cfRule type="cellIs" dxfId="8054" priority="17522" operator="equal">
      <formula>"Income"</formula>
    </cfRule>
    <cfRule type="cellIs" dxfId="8053" priority="17523" operator="equal">
      <formula>"Cost of Sales"</formula>
    </cfRule>
    <cfRule type="cellIs" dxfId="8052" priority="17524" operator="equal">
      <formula>"Payroll"</formula>
    </cfRule>
    <cfRule type="cellIs" dxfId="8051" priority="17525" operator="equal">
      <formula>"Investment"</formula>
    </cfRule>
    <cfRule type="cellIs" dxfId="8050" priority="17526" operator="equal">
      <formula>"Sunk"</formula>
    </cfRule>
    <cfRule type="cellIs" dxfId="8049" priority="17527" operator="equal">
      <formula>"OpEx"</formula>
    </cfRule>
    <cfRule type="cellIs" dxfId="8048" priority="17528" operator="equal">
      <formula>"CapEx"</formula>
    </cfRule>
  </conditionalFormatting>
  <conditionalFormatting sqref="F27">
    <cfRule type="dataBar" priority="17519">
      <dataBar>
        <cfvo type="min"/>
        <cfvo type="max"/>
        <color rgb="FF638EC6"/>
      </dataBar>
    </cfRule>
    <cfRule type="colorScale" priority="17520">
      <colorScale>
        <cfvo type="min"/>
        <cfvo type="percentile" val="50"/>
        <cfvo type="max"/>
        <color rgb="FFF8696B"/>
        <color rgb="FFFFEB84"/>
        <color rgb="FF63BE7B"/>
      </colorScale>
    </cfRule>
    <cfRule type="cellIs" dxfId="8047" priority="17521" operator="equal">
      <formula>"Tax"</formula>
    </cfRule>
  </conditionalFormatting>
  <conditionalFormatting sqref="F28">
    <cfRule type="dataBar" priority="17497">
      <dataBar>
        <cfvo type="min"/>
        <cfvo type="max"/>
        <color rgb="FF638EC6"/>
      </dataBar>
    </cfRule>
    <cfRule type="colorScale" priority="17498">
      <colorScale>
        <cfvo type="min"/>
        <cfvo type="percentile" val="50"/>
        <cfvo type="max"/>
        <color rgb="FFF8696B"/>
        <color rgb="FFFFEB84"/>
        <color rgb="FF63BE7B"/>
      </colorScale>
    </cfRule>
    <cfRule type="cellIs" dxfId="8046" priority="17499" operator="equal">
      <formula>"Tax"</formula>
    </cfRule>
    <cfRule type="cellIs" dxfId="8045" priority="17500" operator="equal">
      <formula>"Income"</formula>
    </cfRule>
    <cfRule type="cellIs" dxfId="8044" priority="17501" operator="equal">
      <formula>"Cost of Sales"</formula>
    </cfRule>
    <cfRule type="cellIs" dxfId="8043" priority="17502" operator="equal">
      <formula>"Payroll"</formula>
    </cfRule>
    <cfRule type="cellIs" dxfId="8042" priority="17503" operator="equal">
      <formula>"Investment"</formula>
    </cfRule>
    <cfRule type="cellIs" dxfId="8041" priority="17504" operator="equal">
      <formula>"Sunk"</formula>
    </cfRule>
    <cfRule type="cellIs" dxfId="8040" priority="17505" operator="equal">
      <formula>"OpEx"</formula>
    </cfRule>
    <cfRule type="cellIs" dxfId="8039" priority="17506" operator="equal">
      <formula>"CapEx"</formula>
    </cfRule>
  </conditionalFormatting>
  <conditionalFormatting sqref="F29">
    <cfRule type="cellIs" dxfId="8038" priority="16857" operator="equal">
      <formula>"Cost of Sales"</formula>
    </cfRule>
    <cfRule type="cellIs" dxfId="8037" priority="16858" operator="equal">
      <formula>"Payroll"</formula>
    </cfRule>
    <cfRule type="cellIs" dxfId="8036" priority="16859" operator="equal">
      <formula>"Investment"</formula>
    </cfRule>
    <cfRule type="cellIs" dxfId="8035" priority="16860" operator="equal">
      <formula>"Sunk"</formula>
    </cfRule>
    <cfRule type="cellIs" dxfId="8034" priority="16861" operator="equal">
      <formula>"OpEx"</formula>
    </cfRule>
    <cfRule type="cellIs" dxfId="8033" priority="16862" operator="equal">
      <formula>"CapEx"</formula>
    </cfRule>
    <cfRule type="dataBar" priority="16863">
      <dataBar>
        <cfvo type="min"/>
        <cfvo type="max"/>
        <color rgb="FF638EC6"/>
      </dataBar>
    </cfRule>
    <cfRule type="colorScale" priority="16864">
      <colorScale>
        <cfvo type="min"/>
        <cfvo type="percentile" val="50"/>
        <cfvo type="max"/>
        <color rgb="FFF8696B"/>
        <color rgb="FFFFEB84"/>
        <color rgb="FF63BE7B"/>
      </colorScale>
    </cfRule>
    <cfRule type="cellIs" dxfId="8032" priority="16865" operator="equal">
      <formula>"Tax"</formula>
    </cfRule>
    <cfRule type="cellIs" dxfId="8031" priority="16866" operator="equal">
      <formula>"Income"</formula>
    </cfRule>
  </conditionalFormatting>
  <conditionalFormatting sqref="F30">
    <cfRule type="dataBar" priority="17475">
      <dataBar>
        <cfvo type="min"/>
        <cfvo type="max"/>
        <color rgb="FF638EC6"/>
      </dataBar>
    </cfRule>
    <cfRule type="colorScale" priority="17476">
      <colorScale>
        <cfvo type="min"/>
        <cfvo type="percentile" val="50"/>
        <cfvo type="max"/>
        <color rgb="FFF8696B"/>
        <color rgb="FFFFEB84"/>
        <color rgb="FF63BE7B"/>
      </colorScale>
    </cfRule>
    <cfRule type="cellIs" dxfId="8030" priority="17477" operator="equal">
      <formula>"Tax"</formula>
    </cfRule>
    <cfRule type="cellIs" dxfId="8029" priority="17478" operator="equal">
      <formula>"Cost of Sales"</formula>
    </cfRule>
    <cfRule type="cellIs" dxfId="8028" priority="17479" operator="equal">
      <formula>"Payroll"</formula>
    </cfRule>
    <cfRule type="cellIs" dxfId="8027" priority="17480" operator="equal">
      <formula>"Investment"</formula>
    </cfRule>
    <cfRule type="cellIs" dxfId="8026" priority="17481" operator="equal">
      <formula>"Sunk"</formula>
    </cfRule>
    <cfRule type="cellIs" dxfId="8025" priority="17482" operator="equal">
      <formula>"OpEx"</formula>
    </cfRule>
    <cfRule type="cellIs" dxfId="8024" priority="17483" operator="equal">
      <formula>"CapEx"</formula>
    </cfRule>
    <cfRule type="cellIs" dxfId="8023" priority="17484" operator="equal">
      <formula>"Income"</formula>
    </cfRule>
  </conditionalFormatting>
  <conditionalFormatting sqref="F31">
    <cfRule type="dataBar" priority="17454">
      <dataBar>
        <cfvo type="min"/>
        <cfvo type="max"/>
        <color rgb="FF638EC6"/>
      </dataBar>
    </cfRule>
    <cfRule type="colorScale" priority="17455">
      <colorScale>
        <cfvo type="min"/>
        <cfvo type="percentile" val="50"/>
        <cfvo type="max"/>
        <color rgb="FFF8696B"/>
        <color rgb="FFFFEB84"/>
        <color rgb="FF63BE7B"/>
      </colorScale>
    </cfRule>
  </conditionalFormatting>
  <conditionalFormatting sqref="F31:F32">
    <cfRule type="cellIs" dxfId="8022" priority="17453" operator="equal">
      <formula>"Tax"</formula>
    </cfRule>
  </conditionalFormatting>
  <conditionalFormatting sqref="F31:F33">
    <cfRule type="cellIs" dxfId="8021" priority="17456" operator="equal">
      <formula>"Cost of Sales"</formula>
    </cfRule>
    <cfRule type="cellIs" dxfId="8020" priority="17457" operator="equal">
      <formula>"Payroll"</formula>
    </cfRule>
    <cfRule type="cellIs" dxfId="8019" priority="17458" operator="equal">
      <formula>"Investment"</formula>
    </cfRule>
    <cfRule type="cellIs" dxfId="8018" priority="17459" operator="equal">
      <formula>"Sunk"</formula>
    </cfRule>
    <cfRule type="cellIs" dxfId="8017" priority="17460" operator="equal">
      <formula>"OpEx"</formula>
    </cfRule>
    <cfRule type="cellIs" dxfId="8016" priority="17461" operator="equal">
      <formula>"CapEx"</formula>
    </cfRule>
    <cfRule type="cellIs" dxfId="8015" priority="17462" operator="equal">
      <formula>"Income"</formula>
    </cfRule>
  </conditionalFormatting>
  <conditionalFormatting sqref="F32">
    <cfRule type="dataBar" priority="17451">
      <dataBar>
        <cfvo type="min"/>
        <cfvo type="max"/>
        <color rgb="FF638EC6"/>
      </dataBar>
    </cfRule>
    <cfRule type="colorScale" priority="17452">
      <colorScale>
        <cfvo type="min"/>
        <cfvo type="percentile" val="50"/>
        <cfvo type="max"/>
        <color rgb="FFF8696B"/>
        <color rgb="FFFFEB84"/>
        <color rgb="FF63BE7B"/>
      </colorScale>
    </cfRule>
  </conditionalFormatting>
  <conditionalFormatting sqref="F33">
    <cfRule type="dataBar" priority="17448">
      <dataBar>
        <cfvo type="min"/>
        <cfvo type="max"/>
        <color rgb="FF638EC6"/>
      </dataBar>
    </cfRule>
    <cfRule type="colorScale" priority="17449">
      <colorScale>
        <cfvo type="min"/>
        <cfvo type="percentile" val="50"/>
        <cfvo type="max"/>
        <color rgb="FFF8696B"/>
        <color rgb="FFFFEB84"/>
        <color rgb="FF63BE7B"/>
      </colorScale>
    </cfRule>
    <cfRule type="cellIs" dxfId="8014" priority="17450" operator="equal">
      <formula>"Tax"</formula>
    </cfRule>
  </conditionalFormatting>
  <conditionalFormatting sqref="F34">
    <cfRule type="dataBar" priority="17419">
      <dataBar>
        <cfvo type="min"/>
        <cfvo type="max"/>
        <color rgb="FF638EC6"/>
      </dataBar>
    </cfRule>
    <cfRule type="colorScale" priority="17420">
      <colorScale>
        <cfvo type="min"/>
        <cfvo type="percentile" val="50"/>
        <cfvo type="max"/>
        <color rgb="FFF8696B"/>
        <color rgb="FFFFEB84"/>
        <color rgb="FF63BE7B"/>
      </colorScale>
    </cfRule>
    <cfRule type="cellIs" dxfId="8013" priority="17421" operator="equal">
      <formula>"Tax"</formula>
    </cfRule>
    <cfRule type="cellIs" dxfId="8012" priority="17422" operator="equal">
      <formula>"Income"</formula>
    </cfRule>
    <cfRule type="cellIs" dxfId="8011" priority="17423" operator="equal">
      <formula>"Cost of Sales"</formula>
    </cfRule>
    <cfRule type="cellIs" dxfId="8010" priority="17424" operator="equal">
      <formula>"Payroll"</formula>
    </cfRule>
    <cfRule type="cellIs" dxfId="8009" priority="17425" operator="equal">
      <formula>"Investment"</formula>
    </cfRule>
    <cfRule type="cellIs" dxfId="8008" priority="17426" operator="equal">
      <formula>"Sunk"</formula>
    </cfRule>
    <cfRule type="cellIs" dxfId="8007" priority="17427" operator="equal">
      <formula>"OpEx"</formula>
    </cfRule>
    <cfRule type="cellIs" dxfId="8006" priority="17428" operator="equal">
      <formula>"CapEx"</formula>
    </cfRule>
  </conditionalFormatting>
  <conditionalFormatting sqref="F35">
    <cfRule type="dataBar" priority="17404">
      <dataBar>
        <cfvo type="min"/>
        <cfvo type="max"/>
        <color rgb="FF638EC6"/>
      </dataBar>
    </cfRule>
    <cfRule type="colorScale" priority="17405">
      <colorScale>
        <cfvo type="min"/>
        <cfvo type="percentile" val="50"/>
        <cfvo type="max"/>
        <color rgb="FFF8696B"/>
        <color rgb="FFFFEB84"/>
        <color rgb="FF63BE7B"/>
      </colorScale>
    </cfRule>
    <cfRule type="cellIs" dxfId="8005" priority="17406" operator="equal">
      <formula>"Cost of Sales"</formula>
    </cfRule>
    <cfRule type="cellIs" dxfId="8004" priority="17407" operator="equal">
      <formula>"Payroll"</formula>
    </cfRule>
    <cfRule type="cellIs" dxfId="8003" priority="17408" operator="equal">
      <formula>"Investment"</formula>
    </cfRule>
    <cfRule type="cellIs" dxfId="8002" priority="17409" operator="equal">
      <formula>"Sunk"</formula>
    </cfRule>
    <cfRule type="cellIs" dxfId="8001" priority="17410" operator="equal">
      <formula>"OpEx"</formula>
    </cfRule>
    <cfRule type="cellIs" dxfId="8000" priority="17411" operator="equal">
      <formula>"CapEx"</formula>
    </cfRule>
    <cfRule type="cellIs" dxfId="7999" priority="17412" operator="equal">
      <formula>"Income"</formula>
    </cfRule>
  </conditionalFormatting>
  <conditionalFormatting sqref="F35:F36">
    <cfRule type="cellIs" dxfId="7998" priority="17362" operator="equal">
      <formula>"Tax"</formula>
    </cfRule>
  </conditionalFormatting>
  <conditionalFormatting sqref="F36">
    <cfRule type="dataBar" priority="17360">
      <dataBar>
        <cfvo type="min"/>
        <cfvo type="max"/>
        <color rgb="FF638EC6"/>
      </dataBar>
    </cfRule>
    <cfRule type="colorScale" priority="17361">
      <colorScale>
        <cfvo type="min"/>
        <cfvo type="percentile" val="50"/>
        <cfvo type="max"/>
        <color rgb="FFF8696B"/>
        <color rgb="FFFFEB84"/>
        <color rgb="FF63BE7B"/>
      </colorScale>
    </cfRule>
    <cfRule type="cellIs" dxfId="7997" priority="17363" operator="equal">
      <formula>"Income"</formula>
    </cfRule>
    <cfRule type="cellIs" dxfId="7996" priority="17364" operator="equal">
      <formula>"Cost of Sales"</formula>
    </cfRule>
    <cfRule type="cellIs" dxfId="7995" priority="17365" operator="equal">
      <formula>"Payroll"</formula>
    </cfRule>
    <cfRule type="cellIs" dxfId="7994" priority="17366" operator="equal">
      <formula>"Investment"</formula>
    </cfRule>
    <cfRule type="cellIs" dxfId="7993" priority="17367" operator="equal">
      <formula>"Sunk"</formula>
    </cfRule>
    <cfRule type="cellIs" dxfId="7992" priority="17368" operator="equal">
      <formula>"OpEx"</formula>
    </cfRule>
    <cfRule type="cellIs" dxfId="7991" priority="17369" operator="equal">
      <formula>"CapEx"</formula>
    </cfRule>
  </conditionalFormatting>
  <conditionalFormatting sqref="F37">
    <cfRule type="cellIs" dxfId="7990" priority="17328" operator="equal">
      <formula>"Cost of Sales"</formula>
    </cfRule>
    <cfRule type="cellIs" dxfId="7989" priority="17329" operator="equal">
      <formula>"Payroll"</formula>
    </cfRule>
    <cfRule type="cellIs" dxfId="7988" priority="17330" operator="equal">
      <formula>"Investment"</formula>
    </cfRule>
    <cfRule type="cellIs" dxfId="7987" priority="17331" operator="equal">
      <formula>"Sunk"</formula>
    </cfRule>
    <cfRule type="cellIs" dxfId="7986" priority="17332" operator="equal">
      <formula>"OpEx"</formula>
    </cfRule>
    <cfRule type="cellIs" dxfId="7985" priority="17333" operator="equal">
      <formula>"CapEx"</formula>
    </cfRule>
    <cfRule type="cellIs" dxfId="7984" priority="17334" operator="equal">
      <formula>"Income"</formula>
    </cfRule>
    <cfRule type="dataBar" priority="17335">
      <dataBar>
        <cfvo type="min"/>
        <cfvo type="max"/>
        <color rgb="FF638EC6"/>
      </dataBar>
    </cfRule>
    <cfRule type="colorScale" priority="17336">
      <colorScale>
        <cfvo type="min"/>
        <cfvo type="percentile" val="50"/>
        <cfvo type="max"/>
        <color rgb="FFF8696B"/>
        <color rgb="FFFFEB84"/>
        <color rgb="FF63BE7B"/>
      </colorScale>
    </cfRule>
    <cfRule type="cellIs" dxfId="7983" priority="17337" operator="equal">
      <formula>"Tax"</formula>
    </cfRule>
    <cfRule type="dataBar" priority="17338">
      <dataBar>
        <cfvo type="min"/>
        <cfvo type="max"/>
        <color rgb="FF638EC6"/>
      </dataBar>
    </cfRule>
    <cfRule type="colorScale" priority="17339">
      <colorScale>
        <cfvo type="min"/>
        <cfvo type="percentile" val="50"/>
        <cfvo type="max"/>
        <color rgb="FFF8696B"/>
        <color rgb="FFFFEB84"/>
        <color rgb="FF63BE7B"/>
      </colorScale>
    </cfRule>
    <cfRule type="cellIs" dxfId="7982" priority="17341" operator="equal">
      <formula>"Income"</formula>
    </cfRule>
    <cfRule type="cellIs" dxfId="7981" priority="17342" operator="equal">
      <formula>"Cost of Sales"</formula>
    </cfRule>
    <cfRule type="cellIs" dxfId="7980" priority="17343" operator="equal">
      <formula>"Payroll"</formula>
    </cfRule>
    <cfRule type="cellIs" dxfId="7979" priority="17344" operator="equal">
      <formula>"Investment"</formula>
    </cfRule>
    <cfRule type="cellIs" dxfId="7978" priority="17345" operator="equal">
      <formula>"Sunk"</formula>
    </cfRule>
    <cfRule type="cellIs" dxfId="7977" priority="17346" operator="equal">
      <formula>"OpEx"</formula>
    </cfRule>
    <cfRule type="cellIs" dxfId="7976" priority="17347" operator="equal">
      <formula>"CapEx"</formula>
    </cfRule>
  </conditionalFormatting>
  <conditionalFormatting sqref="F37:F40">
    <cfRule type="cellIs" dxfId="7975" priority="17340" operator="equal">
      <formula>"Tax"</formula>
    </cfRule>
  </conditionalFormatting>
  <conditionalFormatting sqref="F38:F40">
    <cfRule type="dataBar" priority="17382">
      <dataBar>
        <cfvo type="min"/>
        <cfvo type="max"/>
        <color rgb="FF638EC6"/>
      </dataBar>
    </cfRule>
    <cfRule type="colorScale" priority="17383">
      <colorScale>
        <cfvo type="min"/>
        <cfvo type="percentile" val="50"/>
        <cfvo type="max"/>
        <color rgb="FFF8696B"/>
        <color rgb="FFFFEB84"/>
        <color rgb="FF63BE7B"/>
      </colorScale>
    </cfRule>
    <cfRule type="cellIs" dxfId="7974" priority="17384" operator="equal">
      <formula>"Cost of Sales"</formula>
    </cfRule>
    <cfRule type="cellIs" dxfId="7973" priority="17385" operator="equal">
      <formula>"Payroll"</formula>
    </cfRule>
    <cfRule type="cellIs" dxfId="7972" priority="17386" operator="equal">
      <formula>"Investment"</formula>
    </cfRule>
    <cfRule type="cellIs" dxfId="7971" priority="17387" operator="equal">
      <formula>"Sunk"</formula>
    </cfRule>
    <cfRule type="cellIs" dxfId="7970" priority="17388" operator="equal">
      <formula>"OpEx"</formula>
    </cfRule>
    <cfRule type="cellIs" dxfId="7969" priority="17389" operator="equal">
      <formula>"CapEx"</formula>
    </cfRule>
    <cfRule type="cellIs" dxfId="7968" priority="17390" operator="equal">
      <formula>"Income"</formula>
    </cfRule>
  </conditionalFormatting>
  <conditionalFormatting sqref="F41">
    <cfRule type="dataBar" priority="17294">
      <dataBar>
        <cfvo type="min"/>
        <cfvo type="max"/>
        <color rgb="FF638EC6"/>
      </dataBar>
    </cfRule>
    <cfRule type="colorScale" priority="17295">
      <colorScale>
        <cfvo type="min"/>
        <cfvo type="percentile" val="50"/>
        <cfvo type="max"/>
        <color rgb="FFF8696B"/>
        <color rgb="FFFFEB84"/>
        <color rgb="FF63BE7B"/>
      </colorScale>
    </cfRule>
    <cfRule type="cellIs" dxfId="7967" priority="17296" operator="equal">
      <formula>"Tax"</formula>
    </cfRule>
    <cfRule type="cellIs" dxfId="7966" priority="17297" operator="equal">
      <formula>"Income"</formula>
    </cfRule>
    <cfRule type="cellIs" dxfId="7965" priority="17298" operator="equal">
      <formula>"Cost of Sales"</formula>
    </cfRule>
    <cfRule type="cellIs" dxfId="7964" priority="17299" operator="equal">
      <formula>"Payroll"</formula>
    </cfRule>
    <cfRule type="cellIs" dxfId="7963" priority="17300" operator="equal">
      <formula>"Investment"</formula>
    </cfRule>
    <cfRule type="cellIs" dxfId="7962" priority="17301" operator="equal">
      <formula>"Sunk"</formula>
    </cfRule>
    <cfRule type="cellIs" dxfId="7961" priority="17302" operator="equal">
      <formula>"OpEx"</formula>
    </cfRule>
    <cfRule type="cellIs" dxfId="7960" priority="17303" operator="equal">
      <formula>"CapEx"</formula>
    </cfRule>
    <cfRule type="dataBar" priority="17317">
      <dataBar>
        <cfvo type="min"/>
        <cfvo type="max"/>
        <color rgb="FF638EC6"/>
      </dataBar>
    </cfRule>
    <cfRule type="colorScale" priority="17318">
      <colorScale>
        <cfvo type="min"/>
        <cfvo type="percentile" val="50"/>
        <cfvo type="max"/>
        <color rgb="FFF8696B"/>
        <color rgb="FFFFEB84"/>
        <color rgb="FF63BE7B"/>
      </colorScale>
    </cfRule>
    <cfRule type="cellIs" dxfId="7959" priority="17319" operator="equal">
      <formula>"Tax"</formula>
    </cfRule>
    <cfRule type="cellIs" dxfId="7958" priority="17320" operator="equal">
      <formula>"Income"</formula>
    </cfRule>
  </conditionalFormatting>
  <conditionalFormatting sqref="F42">
    <cfRule type="dataBar" priority="17117">
      <dataBar>
        <cfvo type="min"/>
        <cfvo type="max"/>
        <color rgb="FF638EC6"/>
      </dataBar>
    </cfRule>
    <cfRule type="colorScale" priority="17118">
      <colorScale>
        <cfvo type="min"/>
        <cfvo type="percentile" val="50"/>
        <cfvo type="max"/>
        <color rgb="FFF8696B"/>
        <color rgb="FFFFEB84"/>
        <color rgb="FF63BE7B"/>
      </colorScale>
    </cfRule>
    <cfRule type="cellIs" dxfId="7957" priority="17119" operator="equal">
      <formula>"Tax"</formula>
    </cfRule>
    <cfRule type="cellIs" dxfId="7956" priority="17120" operator="equal">
      <formula>"Income"</formula>
    </cfRule>
    <cfRule type="cellIs" dxfId="7955" priority="17121" operator="equal">
      <formula>"Cost of Sales"</formula>
    </cfRule>
    <cfRule type="cellIs" dxfId="7954" priority="17122" operator="equal">
      <formula>"Payroll"</formula>
    </cfRule>
    <cfRule type="cellIs" dxfId="7953" priority="17123" operator="equal">
      <formula>"Investment"</formula>
    </cfRule>
    <cfRule type="cellIs" dxfId="7952" priority="17124" operator="equal">
      <formula>"Sunk"</formula>
    </cfRule>
    <cfRule type="cellIs" dxfId="7951" priority="17125" operator="equal">
      <formula>"OpEx"</formula>
    </cfRule>
    <cfRule type="cellIs" dxfId="7950" priority="17126" operator="equal">
      <formula>"CapEx"</formula>
    </cfRule>
    <cfRule type="dataBar" priority="17140">
      <dataBar>
        <cfvo type="min"/>
        <cfvo type="max"/>
        <color rgb="FF638EC6"/>
      </dataBar>
    </cfRule>
    <cfRule type="colorScale" priority="17141">
      <colorScale>
        <cfvo type="min"/>
        <cfvo type="percentile" val="50"/>
        <cfvo type="max"/>
        <color rgb="FFF8696B"/>
        <color rgb="FFFFEB84"/>
        <color rgb="FF63BE7B"/>
      </colorScale>
    </cfRule>
    <cfRule type="cellIs" dxfId="7949" priority="17142" operator="equal">
      <formula>"Tax"</formula>
    </cfRule>
    <cfRule type="cellIs" dxfId="7948" priority="17143" operator="equal">
      <formula>"Income"</formula>
    </cfRule>
  </conditionalFormatting>
  <conditionalFormatting sqref="F43">
    <cfRule type="dataBar" priority="17247">
      <dataBar>
        <cfvo type="min"/>
        <cfvo type="max"/>
        <color rgb="FF638EC6"/>
      </dataBar>
    </cfRule>
    <cfRule type="colorScale" priority="17248">
      <colorScale>
        <cfvo type="min"/>
        <cfvo type="percentile" val="50"/>
        <cfvo type="max"/>
        <color rgb="FFF8696B"/>
        <color rgb="FFFFEB84"/>
        <color rgb="FF63BE7B"/>
      </colorScale>
    </cfRule>
    <cfRule type="cellIs" dxfId="7947" priority="17249" operator="equal">
      <formula>"Tax"</formula>
    </cfRule>
    <cfRule type="dataBar" priority="17257">
      <dataBar>
        <cfvo type="min"/>
        <cfvo type="max"/>
        <color rgb="FF638EC6"/>
      </dataBar>
    </cfRule>
    <cfRule type="colorScale" priority="17258">
      <colorScale>
        <cfvo type="min"/>
        <cfvo type="percentile" val="50"/>
        <cfvo type="max"/>
        <color rgb="FFF8696B"/>
        <color rgb="FFFFEB84"/>
        <color rgb="FF63BE7B"/>
      </colorScale>
    </cfRule>
    <cfRule type="cellIs" dxfId="7946" priority="17260" operator="equal">
      <formula>"Cost of Sales"</formula>
    </cfRule>
    <cfRule type="cellIs" dxfId="7945" priority="17261" operator="equal">
      <formula>"Payroll"</formula>
    </cfRule>
    <cfRule type="cellIs" dxfId="7944" priority="17262" operator="equal">
      <formula>"Investment"</formula>
    </cfRule>
    <cfRule type="cellIs" dxfId="7943" priority="17263" operator="equal">
      <formula>"Sunk"</formula>
    </cfRule>
    <cfRule type="cellIs" dxfId="7942" priority="17264" operator="equal">
      <formula>"OpEx"</formula>
    </cfRule>
    <cfRule type="cellIs" dxfId="7941" priority="17265" operator="equal">
      <formula>"CapEx"</formula>
    </cfRule>
    <cfRule type="cellIs" dxfId="7940" priority="17266" operator="equal">
      <formula>"Income"</formula>
    </cfRule>
  </conditionalFormatting>
  <conditionalFormatting sqref="F43:F44">
    <cfRule type="cellIs" dxfId="7939" priority="17231" operator="equal">
      <formula>"Tax"</formula>
    </cfRule>
    <cfRule type="cellIs" dxfId="7938" priority="17232" operator="equal">
      <formula>"Cost of Sales"</formula>
    </cfRule>
    <cfRule type="cellIs" dxfId="7937" priority="17233" operator="equal">
      <formula>"Payroll"</formula>
    </cfRule>
    <cfRule type="cellIs" dxfId="7936" priority="17234" operator="equal">
      <formula>"Investment"</formula>
    </cfRule>
    <cfRule type="cellIs" dxfId="7935" priority="17235" operator="equal">
      <formula>"Sunk"</formula>
    </cfRule>
    <cfRule type="cellIs" dxfId="7934" priority="17236" operator="equal">
      <formula>"OpEx"</formula>
    </cfRule>
    <cfRule type="cellIs" dxfId="7933" priority="17237" operator="equal">
      <formula>"CapEx"</formula>
    </cfRule>
    <cfRule type="cellIs" dxfId="7932" priority="17238" operator="equal">
      <formula>"Income"</formula>
    </cfRule>
  </conditionalFormatting>
  <conditionalFormatting sqref="F43:F47">
    <cfRule type="cellIs" dxfId="7931" priority="17259" operator="equal">
      <formula>"Tax"</formula>
    </cfRule>
  </conditionalFormatting>
  <conditionalFormatting sqref="F44">
    <cfRule type="dataBar" priority="17220">
      <dataBar>
        <cfvo type="min"/>
        <cfvo type="max"/>
        <color rgb="FF638EC6"/>
      </dataBar>
    </cfRule>
    <cfRule type="colorScale" priority="17221">
      <colorScale>
        <cfvo type="min"/>
        <cfvo type="percentile" val="50"/>
        <cfvo type="max"/>
        <color rgb="FFF8696B"/>
        <color rgb="FFFFEB84"/>
        <color rgb="FF63BE7B"/>
      </colorScale>
    </cfRule>
    <cfRule type="cellIs" dxfId="7930" priority="17222" operator="equal">
      <formula>"Tax"</formula>
    </cfRule>
    <cfRule type="cellIs" dxfId="7929" priority="17223" operator="equal">
      <formula>"Cost of Sales"</formula>
    </cfRule>
    <cfRule type="cellIs" dxfId="7928" priority="17224" operator="equal">
      <formula>"Payroll"</formula>
    </cfRule>
    <cfRule type="cellIs" dxfId="7927" priority="17225" operator="equal">
      <formula>"Investment"</formula>
    </cfRule>
    <cfRule type="cellIs" dxfId="7926" priority="17226" operator="equal">
      <formula>"Sunk"</formula>
    </cfRule>
    <cfRule type="cellIs" dxfId="7925" priority="17227" operator="equal">
      <formula>"OpEx"</formula>
    </cfRule>
    <cfRule type="cellIs" dxfId="7924" priority="17228" operator="equal">
      <formula>"CapEx"</formula>
    </cfRule>
    <cfRule type="dataBar" priority="17229">
      <dataBar>
        <cfvo type="min"/>
        <cfvo type="max"/>
        <color rgb="FF638EC6"/>
      </dataBar>
    </cfRule>
    <cfRule type="colorScale" priority="17230">
      <colorScale>
        <cfvo type="min"/>
        <cfvo type="percentile" val="50"/>
        <cfvo type="max"/>
        <color rgb="FFF8696B"/>
        <color rgb="FFFFEB84"/>
        <color rgb="FF63BE7B"/>
      </colorScale>
    </cfRule>
  </conditionalFormatting>
  <conditionalFormatting sqref="F44:F47">
    <cfRule type="cellIs" dxfId="7923" priority="17219" operator="equal">
      <formula>"Income"</formula>
    </cfRule>
    <cfRule type="dataBar" priority="17279">
      <dataBar>
        <cfvo type="min"/>
        <cfvo type="max"/>
        <color rgb="FF638EC6"/>
      </dataBar>
    </cfRule>
    <cfRule type="colorScale" priority="17280">
      <colorScale>
        <cfvo type="min"/>
        <cfvo type="percentile" val="50"/>
        <cfvo type="max"/>
        <color rgb="FFF8696B"/>
        <color rgb="FFFFEB84"/>
        <color rgb="FF63BE7B"/>
      </colorScale>
    </cfRule>
    <cfRule type="cellIs" dxfId="7922" priority="17281" operator="equal">
      <formula>"Cost of Sales"</formula>
    </cfRule>
    <cfRule type="cellIs" dxfId="7921" priority="17282" operator="equal">
      <formula>"Payroll"</formula>
    </cfRule>
    <cfRule type="cellIs" dxfId="7920" priority="17283" operator="equal">
      <formula>"Investment"</formula>
    </cfRule>
    <cfRule type="cellIs" dxfId="7919" priority="17284" operator="equal">
      <formula>"Sunk"</formula>
    </cfRule>
    <cfRule type="cellIs" dxfId="7918" priority="17285" operator="equal">
      <formula>"OpEx"</formula>
    </cfRule>
    <cfRule type="cellIs" dxfId="7917" priority="17286" operator="equal">
      <formula>"CapEx"</formula>
    </cfRule>
    <cfRule type="cellIs" dxfId="7916" priority="17287" operator="equal">
      <formula>"Income"</formula>
    </cfRule>
  </conditionalFormatting>
  <conditionalFormatting sqref="F45">
    <cfRule type="dataBar" priority="17216">
      <dataBar>
        <cfvo type="min"/>
        <cfvo type="max"/>
        <color rgb="FF638EC6"/>
      </dataBar>
    </cfRule>
    <cfRule type="colorScale" priority="17217">
      <colorScale>
        <cfvo type="min"/>
        <cfvo type="percentile" val="50"/>
        <cfvo type="max"/>
        <color rgb="FFF8696B"/>
        <color rgb="FFFFEB84"/>
        <color rgb="FF63BE7B"/>
      </colorScale>
    </cfRule>
    <cfRule type="cellIs" dxfId="7915" priority="17218" operator="equal">
      <formula>"Tax"</formula>
    </cfRule>
  </conditionalFormatting>
  <conditionalFormatting sqref="F45:F47">
    <cfRule type="cellIs" dxfId="7914" priority="17210" operator="equal">
      <formula>"Cost of Sales"</formula>
    </cfRule>
    <cfRule type="cellIs" dxfId="7913" priority="17211" operator="equal">
      <formula>"Payroll"</formula>
    </cfRule>
    <cfRule type="cellIs" dxfId="7912" priority="17212" operator="equal">
      <formula>"Investment"</formula>
    </cfRule>
    <cfRule type="cellIs" dxfId="7911" priority="17213" operator="equal">
      <formula>"Sunk"</formula>
    </cfRule>
    <cfRule type="cellIs" dxfId="7910" priority="17214" operator="equal">
      <formula>"OpEx"</formula>
    </cfRule>
    <cfRule type="cellIs" dxfId="7909" priority="17215" operator="equal">
      <formula>"CapEx"</formula>
    </cfRule>
  </conditionalFormatting>
  <conditionalFormatting sqref="F46">
    <cfRule type="dataBar" priority="17207">
      <dataBar>
        <cfvo type="min"/>
        <cfvo type="max"/>
        <color rgb="FF638EC6"/>
      </dataBar>
    </cfRule>
    <cfRule type="colorScale" priority="17208">
      <colorScale>
        <cfvo type="min"/>
        <cfvo type="percentile" val="50"/>
        <cfvo type="max"/>
        <color rgb="FFF8696B"/>
        <color rgb="FFFFEB84"/>
        <color rgb="FF63BE7B"/>
      </colorScale>
    </cfRule>
    <cfRule type="cellIs" dxfId="7908" priority="17209" operator="equal">
      <formula>"Tax"</formula>
    </cfRule>
  </conditionalFormatting>
  <conditionalFormatting sqref="F47">
    <cfRule type="dataBar" priority="17204">
      <dataBar>
        <cfvo type="min"/>
        <cfvo type="max"/>
        <color rgb="FF638EC6"/>
      </dataBar>
    </cfRule>
    <cfRule type="colorScale" priority="17205">
      <colorScale>
        <cfvo type="min"/>
        <cfvo type="percentile" val="50"/>
        <cfvo type="max"/>
        <color rgb="FFF8696B"/>
        <color rgb="FFFFEB84"/>
        <color rgb="FF63BE7B"/>
      </colorScale>
    </cfRule>
    <cfRule type="cellIs" dxfId="7907" priority="17206" operator="equal">
      <formula>"Tax"</formula>
    </cfRule>
  </conditionalFormatting>
  <conditionalFormatting sqref="F48">
    <cfRule type="dataBar" priority="17193">
      <dataBar>
        <cfvo type="min"/>
        <cfvo type="max"/>
        <color rgb="FF638EC6"/>
      </dataBar>
    </cfRule>
    <cfRule type="colorScale" priority="17194">
      <colorScale>
        <cfvo type="min"/>
        <cfvo type="percentile" val="50"/>
        <cfvo type="max"/>
        <color rgb="FFF8696B"/>
        <color rgb="FFFFEB84"/>
        <color rgb="FF63BE7B"/>
      </colorScale>
    </cfRule>
    <cfRule type="cellIs" dxfId="7906" priority="17195" operator="equal">
      <formula>"Tax"</formula>
    </cfRule>
  </conditionalFormatting>
  <conditionalFormatting sqref="F48:F49">
    <cfRule type="cellIs" dxfId="7905" priority="17165" operator="equal">
      <formula>"Cost of Sales"</formula>
    </cfRule>
    <cfRule type="cellIs" dxfId="7904" priority="17166" operator="equal">
      <formula>"Payroll"</formula>
    </cfRule>
    <cfRule type="cellIs" dxfId="7903" priority="17167" operator="equal">
      <formula>"Investment"</formula>
    </cfRule>
    <cfRule type="cellIs" dxfId="7902" priority="17168" operator="equal">
      <formula>"Sunk"</formula>
    </cfRule>
    <cfRule type="cellIs" dxfId="7901" priority="17169" operator="equal">
      <formula>"OpEx"</formula>
    </cfRule>
    <cfRule type="cellIs" dxfId="7900" priority="17170" operator="equal">
      <formula>"CapEx"</formula>
    </cfRule>
    <cfRule type="cellIs" dxfId="7899" priority="17174" operator="equal">
      <formula>"Income"</formula>
    </cfRule>
  </conditionalFormatting>
  <conditionalFormatting sqref="F49">
    <cfRule type="dataBar" priority="17162">
      <dataBar>
        <cfvo type="min"/>
        <cfvo type="max"/>
        <color rgb="FF638EC6"/>
      </dataBar>
    </cfRule>
    <cfRule type="colorScale" priority="17163">
      <colorScale>
        <cfvo type="min"/>
        <cfvo type="percentile" val="50"/>
        <cfvo type="max"/>
        <color rgb="FFF8696B"/>
        <color rgb="FFFFEB84"/>
        <color rgb="FF63BE7B"/>
      </colorScale>
    </cfRule>
    <cfRule type="cellIs" dxfId="7898" priority="17164" operator="equal">
      <formula>"Tax"</formula>
    </cfRule>
    <cfRule type="dataBar" priority="17171">
      <dataBar>
        <cfvo type="min"/>
        <cfvo type="max"/>
        <color rgb="FF638EC6"/>
      </dataBar>
    </cfRule>
    <cfRule type="colorScale" priority="17172">
      <colorScale>
        <cfvo type="min"/>
        <cfvo type="percentile" val="50"/>
        <cfvo type="max"/>
        <color rgb="FFF8696B"/>
        <color rgb="FFFFEB84"/>
        <color rgb="FF63BE7B"/>
      </colorScale>
    </cfRule>
    <cfRule type="cellIs" dxfId="7897" priority="17173" operator="equal">
      <formula>"Tax"</formula>
    </cfRule>
  </conditionalFormatting>
  <conditionalFormatting sqref="F49:F50">
    <cfRule type="cellIs" dxfId="7896" priority="17107" operator="equal">
      <formula>"Cost of Sales"</formula>
    </cfRule>
    <cfRule type="cellIs" dxfId="7895" priority="17108" operator="equal">
      <formula>"Payroll"</formula>
    </cfRule>
    <cfRule type="cellIs" dxfId="7894" priority="17109" operator="equal">
      <formula>"Investment"</formula>
    </cfRule>
    <cfRule type="cellIs" dxfId="7893" priority="17110" operator="equal">
      <formula>"Sunk"</formula>
    </cfRule>
    <cfRule type="cellIs" dxfId="7892" priority="17111" operator="equal">
      <formula>"OpEx"</formula>
    </cfRule>
    <cfRule type="cellIs" dxfId="7891" priority="17112" operator="equal">
      <formula>"CapEx"</formula>
    </cfRule>
  </conditionalFormatting>
  <conditionalFormatting sqref="F49:F51">
    <cfRule type="cellIs" dxfId="7890" priority="17103" operator="equal">
      <formula>"Income"</formula>
    </cfRule>
  </conditionalFormatting>
  <conditionalFormatting sqref="F50">
    <cfRule type="dataBar" priority="17104">
      <dataBar>
        <cfvo type="min"/>
        <cfvo type="max"/>
        <color rgb="FF638EC6"/>
      </dataBar>
    </cfRule>
    <cfRule type="colorScale" priority="17105">
      <colorScale>
        <cfvo type="min"/>
        <cfvo type="percentile" val="50"/>
        <cfvo type="max"/>
        <color rgb="FFF8696B"/>
        <color rgb="FFFFEB84"/>
        <color rgb="FF63BE7B"/>
      </colorScale>
    </cfRule>
    <cfRule type="cellIs" dxfId="7889" priority="17106" operator="equal">
      <formula>"Tax"</formula>
    </cfRule>
  </conditionalFormatting>
  <conditionalFormatting sqref="F51">
    <cfRule type="dataBar" priority="17094">
      <dataBar>
        <cfvo type="min"/>
        <cfvo type="max"/>
        <color rgb="FF638EC6"/>
      </dataBar>
    </cfRule>
    <cfRule type="colorScale" priority="17095">
      <colorScale>
        <cfvo type="min"/>
        <cfvo type="percentile" val="50"/>
        <cfvo type="max"/>
        <color rgb="FFF8696B"/>
        <color rgb="FFFFEB84"/>
        <color rgb="FF63BE7B"/>
      </colorScale>
    </cfRule>
    <cfRule type="cellIs" dxfId="7888" priority="17096" operator="equal">
      <formula>"Tax"</formula>
    </cfRule>
    <cfRule type="cellIs" dxfId="7887" priority="17097" operator="equal">
      <formula>"Cost of Sales"</formula>
    </cfRule>
    <cfRule type="cellIs" dxfId="7886" priority="17098" operator="equal">
      <formula>"Payroll"</formula>
    </cfRule>
    <cfRule type="cellIs" dxfId="7885" priority="17099" operator="equal">
      <formula>"Investment"</formula>
    </cfRule>
    <cfRule type="cellIs" dxfId="7884" priority="17100" operator="equal">
      <formula>"Sunk"</formula>
    </cfRule>
    <cfRule type="cellIs" dxfId="7883" priority="17101" operator="equal">
      <formula>"OpEx"</formula>
    </cfRule>
    <cfRule type="cellIs" dxfId="7882" priority="17102" operator="equal">
      <formula>"CapEx"</formula>
    </cfRule>
  </conditionalFormatting>
  <conditionalFormatting sqref="F52">
    <cfRule type="dataBar" priority="17009">
      <dataBar>
        <cfvo type="min"/>
        <cfvo type="max"/>
        <color rgb="FF638EC6"/>
      </dataBar>
    </cfRule>
    <cfRule type="colorScale" priority="17010">
      <colorScale>
        <cfvo type="min"/>
        <cfvo type="percentile" val="50"/>
        <cfvo type="max"/>
        <color rgb="FFF8696B"/>
        <color rgb="FFFFEB84"/>
        <color rgb="FF63BE7B"/>
      </colorScale>
    </cfRule>
    <cfRule type="cellIs" dxfId="7881" priority="17011" operator="equal">
      <formula>"Tax"</formula>
    </cfRule>
    <cfRule type="cellIs" dxfId="7880" priority="17012" operator="equal">
      <formula>"Cost of Sales"</formula>
    </cfRule>
    <cfRule type="cellIs" dxfId="7879" priority="17013" operator="equal">
      <formula>"Payroll"</formula>
    </cfRule>
    <cfRule type="cellIs" dxfId="7878" priority="17014" operator="equal">
      <formula>"Investment"</formula>
    </cfRule>
    <cfRule type="cellIs" dxfId="7877" priority="17015" operator="equal">
      <formula>"Sunk"</formula>
    </cfRule>
    <cfRule type="cellIs" dxfId="7876" priority="17016" operator="equal">
      <formula>"OpEx"</formula>
    </cfRule>
    <cfRule type="cellIs" dxfId="7875" priority="17017" operator="equal">
      <formula>"CapEx"</formula>
    </cfRule>
    <cfRule type="cellIs" dxfId="7874" priority="17018" operator="equal">
      <formula>"Income"</formula>
    </cfRule>
  </conditionalFormatting>
  <conditionalFormatting sqref="F53:F54">
    <cfRule type="dataBar" priority="17006">
      <dataBar>
        <cfvo type="min"/>
        <cfvo type="max"/>
        <color rgb="FF638EC6"/>
      </dataBar>
    </cfRule>
    <cfRule type="colorScale" priority="17007">
      <colorScale>
        <cfvo type="min"/>
        <cfvo type="percentile" val="50"/>
        <cfvo type="max"/>
        <color rgb="FFF8696B"/>
        <color rgb="FFFFEB84"/>
        <color rgb="FF63BE7B"/>
      </colorScale>
    </cfRule>
    <cfRule type="cellIs" dxfId="7873" priority="17008" operator="equal">
      <formula>"Tax"</formula>
    </cfRule>
  </conditionalFormatting>
  <conditionalFormatting sqref="F53:F55">
    <cfRule type="cellIs" dxfId="7872" priority="16999" operator="equal">
      <formula>"Income"</formula>
    </cfRule>
    <cfRule type="cellIs" dxfId="7871" priority="17000" operator="equal">
      <formula>"Cost of Sales"</formula>
    </cfRule>
    <cfRule type="cellIs" dxfId="7870" priority="17001" operator="equal">
      <formula>"Payroll"</formula>
    </cfRule>
    <cfRule type="cellIs" dxfId="7869" priority="17002" operator="equal">
      <formula>"Investment"</formula>
    </cfRule>
    <cfRule type="cellIs" dxfId="7868" priority="17003" operator="equal">
      <formula>"Sunk"</formula>
    </cfRule>
    <cfRule type="cellIs" dxfId="7867" priority="17004" operator="equal">
      <formula>"OpEx"</formula>
    </cfRule>
    <cfRule type="cellIs" dxfId="7866" priority="17005" operator="equal">
      <formula>"CapEx"</formula>
    </cfRule>
  </conditionalFormatting>
  <conditionalFormatting sqref="F55">
    <cfRule type="dataBar" priority="16996">
      <dataBar>
        <cfvo type="min"/>
        <cfvo type="max"/>
        <color rgb="FF638EC6"/>
      </dataBar>
    </cfRule>
    <cfRule type="colorScale" priority="16997">
      <colorScale>
        <cfvo type="min"/>
        <cfvo type="percentile" val="50"/>
        <cfvo type="max"/>
        <color rgb="FFF8696B"/>
        <color rgb="FFFFEB84"/>
        <color rgb="FF63BE7B"/>
      </colorScale>
    </cfRule>
    <cfRule type="cellIs" dxfId="7865" priority="16998" operator="equal">
      <formula>"Tax"</formula>
    </cfRule>
  </conditionalFormatting>
  <conditionalFormatting sqref="F56">
    <cfRule type="dataBar" priority="17076">
      <dataBar>
        <cfvo type="min"/>
        <cfvo type="max"/>
        <color rgb="FF638EC6"/>
      </dataBar>
    </cfRule>
    <cfRule type="colorScale" priority="17077">
      <colorScale>
        <cfvo type="min"/>
        <cfvo type="percentile" val="50"/>
        <cfvo type="max"/>
        <color rgb="FFF8696B"/>
        <color rgb="FFFFEB84"/>
        <color rgb="FF63BE7B"/>
      </colorScale>
    </cfRule>
    <cfRule type="cellIs" dxfId="7864" priority="17078" operator="equal">
      <formula>"Tax"</formula>
    </cfRule>
  </conditionalFormatting>
  <conditionalFormatting sqref="F56:F58">
    <cfRule type="cellIs" dxfId="7863" priority="17051" operator="equal">
      <formula>"Cost of Sales"</formula>
    </cfRule>
    <cfRule type="cellIs" dxfId="7862" priority="17052" operator="equal">
      <formula>"Payroll"</formula>
    </cfRule>
    <cfRule type="cellIs" dxfId="7861" priority="17053" operator="equal">
      <formula>"Investment"</formula>
    </cfRule>
    <cfRule type="cellIs" dxfId="7860" priority="17054" operator="equal">
      <formula>"Sunk"</formula>
    </cfRule>
    <cfRule type="cellIs" dxfId="7859" priority="17055" operator="equal">
      <formula>"OpEx"</formula>
    </cfRule>
    <cfRule type="cellIs" dxfId="7858" priority="17056" operator="equal">
      <formula>"CapEx"</formula>
    </cfRule>
    <cfRule type="cellIs" dxfId="7857" priority="17057" operator="equal">
      <formula>"Income"</formula>
    </cfRule>
  </conditionalFormatting>
  <conditionalFormatting sqref="F57">
    <cfRule type="dataBar" priority="17048">
      <dataBar>
        <cfvo type="min"/>
        <cfvo type="max"/>
        <color rgb="FF638EC6"/>
      </dataBar>
    </cfRule>
    <cfRule type="colorScale" priority="17049">
      <colorScale>
        <cfvo type="min"/>
        <cfvo type="percentile" val="50"/>
        <cfvo type="max"/>
        <color rgb="FFF8696B"/>
        <color rgb="FFFFEB84"/>
        <color rgb="FF63BE7B"/>
      </colorScale>
    </cfRule>
    <cfRule type="cellIs" dxfId="7856" priority="17050" operator="equal">
      <formula>"Tax"</formula>
    </cfRule>
  </conditionalFormatting>
  <conditionalFormatting sqref="F58">
    <cfRule type="dataBar" priority="17032">
      <dataBar>
        <cfvo type="min"/>
        <cfvo type="max"/>
        <color rgb="FF638EC6"/>
      </dataBar>
    </cfRule>
    <cfRule type="colorScale" priority="17033">
      <colorScale>
        <cfvo type="min"/>
        <cfvo type="percentile" val="50"/>
        <cfvo type="max"/>
        <color rgb="FFF8696B"/>
        <color rgb="FFFFEB84"/>
        <color rgb="FF63BE7B"/>
      </colorScale>
    </cfRule>
    <cfRule type="cellIs" dxfId="7855" priority="17034" operator="equal">
      <formula>"Tax"</formula>
    </cfRule>
  </conditionalFormatting>
  <conditionalFormatting sqref="F59">
    <cfRule type="dataBar" priority="16979">
      <dataBar>
        <cfvo type="min"/>
        <cfvo type="max"/>
        <color rgb="FF638EC6"/>
      </dataBar>
    </cfRule>
    <cfRule type="colorScale" priority="16980">
      <colorScale>
        <cfvo type="min"/>
        <cfvo type="percentile" val="50"/>
        <cfvo type="max"/>
        <color rgb="FFF8696B"/>
        <color rgb="FFFFEB84"/>
        <color rgb="FF63BE7B"/>
      </colorScale>
    </cfRule>
    <cfRule type="cellIs" dxfId="7854" priority="16981" operator="equal">
      <formula>"Tax"</formula>
    </cfRule>
  </conditionalFormatting>
  <conditionalFormatting sqref="F59:F60">
    <cfRule type="cellIs" dxfId="7853" priority="16949" operator="equal">
      <formula>"Income"</formula>
    </cfRule>
    <cfRule type="cellIs" dxfId="7852" priority="16950" operator="equal">
      <formula>"Cost of Sales"</formula>
    </cfRule>
    <cfRule type="cellIs" dxfId="7851" priority="16951" operator="equal">
      <formula>"Payroll"</formula>
    </cfRule>
    <cfRule type="cellIs" dxfId="7850" priority="16952" operator="equal">
      <formula>"Investment"</formula>
    </cfRule>
    <cfRule type="cellIs" dxfId="7849" priority="16953" operator="equal">
      <formula>"Sunk"</formula>
    </cfRule>
    <cfRule type="cellIs" dxfId="7848" priority="16954" operator="equal">
      <formula>"OpEx"</formula>
    </cfRule>
    <cfRule type="cellIs" dxfId="7847" priority="16955" operator="equal">
      <formula>"CapEx"</formula>
    </cfRule>
  </conditionalFormatting>
  <conditionalFormatting sqref="F60">
    <cfRule type="dataBar" priority="16946">
      <dataBar>
        <cfvo type="min"/>
        <cfvo type="max"/>
        <color rgb="FF638EC6"/>
      </dataBar>
    </cfRule>
    <cfRule type="colorScale" priority="16947">
      <colorScale>
        <cfvo type="min"/>
        <cfvo type="percentile" val="50"/>
        <cfvo type="max"/>
        <color rgb="FFF8696B"/>
        <color rgb="FFFFEB84"/>
        <color rgb="FF63BE7B"/>
      </colorScale>
    </cfRule>
    <cfRule type="cellIs" dxfId="7846" priority="16948" operator="equal">
      <formula>"Tax"</formula>
    </cfRule>
  </conditionalFormatting>
  <conditionalFormatting sqref="F61">
    <cfRule type="dataBar" priority="16929">
      <dataBar>
        <cfvo type="min"/>
        <cfvo type="max"/>
        <color rgb="FF638EC6"/>
      </dataBar>
    </cfRule>
    <cfRule type="colorScale" priority="16930">
      <colorScale>
        <cfvo type="min"/>
        <cfvo type="percentile" val="50"/>
        <cfvo type="max"/>
        <color rgb="FFF8696B"/>
        <color rgb="FFFFEB84"/>
        <color rgb="FF63BE7B"/>
      </colorScale>
    </cfRule>
    <cfRule type="cellIs" dxfId="7845" priority="16931" operator="equal">
      <formula>"Tax"</formula>
    </cfRule>
    <cfRule type="cellIs" dxfId="7844" priority="16932" operator="equal">
      <formula>"Income"</formula>
    </cfRule>
    <cfRule type="cellIs" dxfId="7843" priority="16933" operator="equal">
      <formula>"Cost of Sales"</formula>
    </cfRule>
    <cfRule type="cellIs" dxfId="7842" priority="16934" operator="equal">
      <formula>"Payroll"</formula>
    </cfRule>
    <cfRule type="cellIs" dxfId="7841" priority="16935" operator="equal">
      <formula>"Investment"</formula>
    </cfRule>
    <cfRule type="cellIs" dxfId="7840" priority="16936" operator="equal">
      <formula>"Sunk"</formula>
    </cfRule>
    <cfRule type="cellIs" dxfId="7839" priority="16937" operator="equal">
      <formula>"OpEx"</formula>
    </cfRule>
    <cfRule type="cellIs" dxfId="7838" priority="16938" operator="equal">
      <formula>"CapEx"</formula>
    </cfRule>
  </conditionalFormatting>
  <conditionalFormatting sqref="F62">
    <cfRule type="dataBar" priority="16909">
      <dataBar>
        <cfvo type="min"/>
        <cfvo type="max"/>
        <color rgb="FF638EC6"/>
      </dataBar>
    </cfRule>
    <cfRule type="colorScale" priority="16910">
      <colorScale>
        <cfvo type="min"/>
        <cfvo type="percentile" val="50"/>
        <cfvo type="max"/>
        <color rgb="FFF8696B"/>
        <color rgb="FFFFEB84"/>
        <color rgb="FF63BE7B"/>
      </colorScale>
    </cfRule>
    <cfRule type="cellIs" dxfId="7837" priority="16911" operator="equal">
      <formula>"Tax"</formula>
    </cfRule>
    <cfRule type="cellIs" dxfId="7836" priority="16912" operator="equal">
      <formula>"Cost of Sales"</formula>
    </cfRule>
    <cfRule type="cellIs" dxfId="7835" priority="16913" operator="equal">
      <formula>"Payroll"</formula>
    </cfRule>
    <cfRule type="cellIs" dxfId="7834" priority="16914" operator="equal">
      <formula>"Investment"</formula>
    </cfRule>
    <cfRule type="cellIs" dxfId="7833" priority="16915" operator="equal">
      <formula>"Sunk"</formula>
    </cfRule>
    <cfRule type="cellIs" dxfId="7832" priority="16916" operator="equal">
      <formula>"OpEx"</formula>
    </cfRule>
    <cfRule type="cellIs" dxfId="7831" priority="16917" operator="equal">
      <formula>"CapEx"</formula>
    </cfRule>
  </conditionalFormatting>
  <conditionalFormatting sqref="F62:F63">
    <cfRule type="cellIs" dxfId="7830" priority="16894" operator="equal">
      <formula>"Income"</formula>
    </cfRule>
  </conditionalFormatting>
  <conditionalFormatting sqref="F63">
    <cfRule type="dataBar" priority="16891">
      <dataBar>
        <cfvo type="min"/>
        <cfvo type="max"/>
        <color rgb="FF638EC6"/>
      </dataBar>
    </cfRule>
    <cfRule type="colorScale" priority="16892">
      <colorScale>
        <cfvo type="min"/>
        <cfvo type="percentile" val="50"/>
        <cfvo type="max"/>
        <color rgb="FFF8696B"/>
        <color rgb="FFFFEB84"/>
        <color rgb="FF63BE7B"/>
      </colorScale>
    </cfRule>
    <cfRule type="cellIs" dxfId="7829" priority="16893" operator="equal">
      <formula>"Tax"</formula>
    </cfRule>
    <cfRule type="cellIs" dxfId="7828" priority="16895" operator="equal">
      <formula>"Cost of Sales"</formula>
    </cfRule>
    <cfRule type="cellIs" dxfId="7827" priority="16896" operator="equal">
      <formula>"Payroll"</formula>
    </cfRule>
    <cfRule type="cellIs" dxfId="7826" priority="16897" operator="equal">
      <formula>"Investment"</formula>
    </cfRule>
    <cfRule type="cellIs" dxfId="7825" priority="16898" operator="equal">
      <formula>"Sunk"</formula>
    </cfRule>
    <cfRule type="cellIs" dxfId="7824" priority="16899" operator="equal">
      <formula>"OpEx"</formula>
    </cfRule>
    <cfRule type="cellIs" dxfId="7823" priority="16900" operator="equal">
      <formula>"CapEx"</formula>
    </cfRule>
  </conditionalFormatting>
  <conditionalFormatting sqref="F64">
    <cfRule type="dataBar" priority="16874">
      <dataBar>
        <cfvo type="min"/>
        <cfvo type="max"/>
        <color rgb="FF638EC6"/>
      </dataBar>
    </cfRule>
    <cfRule type="colorScale" priority="16875">
      <colorScale>
        <cfvo type="min"/>
        <cfvo type="percentile" val="50"/>
        <cfvo type="max"/>
        <color rgb="FFF8696B"/>
        <color rgb="FFFFEB84"/>
        <color rgb="FF63BE7B"/>
      </colorScale>
    </cfRule>
    <cfRule type="cellIs" dxfId="7822" priority="16876" operator="equal">
      <formula>"Tax"</formula>
    </cfRule>
    <cfRule type="cellIs" dxfId="7821" priority="16877" operator="equal">
      <formula>"Income"</formula>
    </cfRule>
    <cfRule type="cellIs" dxfId="7820" priority="16878" operator="equal">
      <formula>"Cost of Sales"</formula>
    </cfRule>
    <cfRule type="cellIs" dxfId="7819" priority="16879" operator="equal">
      <formula>"Payroll"</formula>
    </cfRule>
    <cfRule type="cellIs" dxfId="7818" priority="16880" operator="equal">
      <formula>"Investment"</formula>
    </cfRule>
    <cfRule type="cellIs" dxfId="7817" priority="16881" operator="equal">
      <formula>"Sunk"</formula>
    </cfRule>
    <cfRule type="cellIs" dxfId="7816" priority="16882" operator="equal">
      <formula>"OpEx"</formula>
    </cfRule>
    <cfRule type="cellIs" dxfId="7815" priority="16883" operator="equal">
      <formula>"CapEx"</formula>
    </cfRule>
  </conditionalFormatting>
  <conditionalFormatting sqref="F65">
    <cfRule type="dataBar" priority="16843">
      <dataBar>
        <cfvo type="min"/>
        <cfvo type="max"/>
        <color rgb="FF638EC6"/>
      </dataBar>
    </cfRule>
    <cfRule type="colorScale" priority="16844">
      <colorScale>
        <cfvo type="min"/>
        <cfvo type="percentile" val="50"/>
        <cfvo type="max"/>
        <color rgb="FFF8696B"/>
        <color rgb="FFFFEB84"/>
        <color rgb="FF63BE7B"/>
      </colorScale>
    </cfRule>
    <cfRule type="cellIs" dxfId="7814" priority="16845" operator="equal">
      <formula>"Tax"</formula>
    </cfRule>
  </conditionalFormatting>
  <conditionalFormatting sqref="F65:F66">
    <cfRule type="cellIs" dxfId="7813" priority="16829" operator="equal">
      <formula>"Cost of Sales"</formula>
    </cfRule>
    <cfRule type="cellIs" dxfId="7812" priority="16830" operator="equal">
      <formula>"Payroll"</formula>
    </cfRule>
    <cfRule type="cellIs" dxfId="7811" priority="16831" operator="equal">
      <formula>"Investment"</formula>
    </cfRule>
    <cfRule type="cellIs" dxfId="7810" priority="16832" operator="equal">
      <formula>"Sunk"</formula>
    </cfRule>
    <cfRule type="cellIs" dxfId="7809" priority="16833" operator="equal">
      <formula>"OpEx"</formula>
    </cfRule>
    <cfRule type="cellIs" dxfId="7808" priority="16834" operator="equal">
      <formula>"CapEx"</formula>
    </cfRule>
    <cfRule type="cellIs" dxfId="7807" priority="16835" operator="equal">
      <formula>"Income"</formula>
    </cfRule>
  </conditionalFormatting>
  <conditionalFormatting sqref="F66">
    <cfRule type="dataBar" priority="16811">
      <dataBar>
        <cfvo type="min"/>
        <cfvo type="max"/>
        <color rgb="FF638EC6"/>
      </dataBar>
    </cfRule>
    <cfRule type="colorScale" priority="16812">
      <colorScale>
        <cfvo type="min"/>
        <cfvo type="percentile" val="50"/>
        <cfvo type="max"/>
        <color rgb="FFF8696B"/>
        <color rgb="FFFFEB84"/>
        <color rgb="FF63BE7B"/>
      </colorScale>
    </cfRule>
    <cfRule type="cellIs" dxfId="7806" priority="16813" operator="equal">
      <formula>"Tax"</formula>
    </cfRule>
    <cfRule type="dataBar" priority="16827">
      <dataBar>
        <cfvo type="min"/>
        <cfvo type="max"/>
        <color rgb="FF638EC6"/>
      </dataBar>
    </cfRule>
    <cfRule type="colorScale" priority="16828">
      <colorScale>
        <cfvo type="min"/>
        <cfvo type="percentile" val="50"/>
        <cfvo type="max"/>
        <color rgb="FFF8696B"/>
        <color rgb="FFFFEB84"/>
        <color rgb="FF63BE7B"/>
      </colorScale>
    </cfRule>
  </conditionalFormatting>
  <conditionalFormatting sqref="F66:F67">
    <cfRule type="cellIs" dxfId="7805" priority="16826" operator="equal">
      <formula>"Tax"</formula>
    </cfRule>
  </conditionalFormatting>
  <conditionalFormatting sqref="F66:F68 F74 F82">
    <cfRule type="cellIs" dxfId="7804" priority="16817" operator="equal">
      <formula>"Cost of Sales"</formula>
    </cfRule>
    <cfRule type="cellIs" dxfId="7803" priority="16818" operator="equal">
      <formula>"Payroll"</formula>
    </cfRule>
    <cfRule type="cellIs" dxfId="7802" priority="16819" operator="equal">
      <formula>"Investment"</formula>
    </cfRule>
    <cfRule type="cellIs" dxfId="7801" priority="16820" operator="equal">
      <formula>"Sunk"</formula>
    </cfRule>
    <cfRule type="cellIs" dxfId="7800" priority="16821" operator="equal">
      <formula>"OpEx"</formula>
    </cfRule>
    <cfRule type="cellIs" dxfId="7799" priority="16822" operator="equal">
      <formula>"CapEx"</formula>
    </cfRule>
    <cfRule type="cellIs" dxfId="7798" priority="16823" operator="equal">
      <formula>"Income"</formula>
    </cfRule>
  </conditionalFormatting>
  <conditionalFormatting sqref="F67">
    <cfRule type="dataBar" priority="16808">
      <dataBar>
        <cfvo type="min"/>
        <cfvo type="max"/>
        <color rgb="FF638EC6"/>
      </dataBar>
    </cfRule>
    <cfRule type="colorScale" priority="16809">
      <colorScale>
        <cfvo type="min"/>
        <cfvo type="percentile" val="50"/>
        <cfvo type="max"/>
        <color rgb="FFF8696B"/>
        <color rgb="FFFFEB84"/>
        <color rgb="FF63BE7B"/>
      </colorScale>
    </cfRule>
    <cfRule type="cellIs" dxfId="7797" priority="16810" operator="equal">
      <formula>"Tax"</formula>
    </cfRule>
    <cfRule type="dataBar" priority="16824">
      <dataBar>
        <cfvo type="min"/>
        <cfvo type="max"/>
        <color rgb="FF638EC6"/>
      </dataBar>
    </cfRule>
    <cfRule type="colorScale" priority="16825">
      <colorScale>
        <cfvo type="min"/>
        <cfvo type="percentile" val="50"/>
        <cfvo type="max"/>
        <color rgb="FFF8696B"/>
        <color rgb="FFFFEB84"/>
        <color rgb="FF63BE7B"/>
      </colorScale>
    </cfRule>
  </conditionalFormatting>
  <conditionalFormatting sqref="F68 F74 F82">
    <cfRule type="cellIs" dxfId="7796" priority="16807" operator="equal">
      <formula>"Tax"</formula>
    </cfRule>
    <cfRule type="cellIs" dxfId="7795" priority="16816" operator="equal">
      <formula>"Tax"</formula>
    </cfRule>
  </conditionalFormatting>
  <conditionalFormatting sqref="F68:F71">
    <cfRule type="cellIs" dxfId="7794" priority="16760" operator="equal">
      <formula>"Income"</formula>
    </cfRule>
    <cfRule type="cellIs" dxfId="7793" priority="16761" operator="equal">
      <formula>"Cost of Sales"</formula>
    </cfRule>
    <cfRule type="cellIs" dxfId="7792" priority="16762" operator="equal">
      <formula>"Payroll"</formula>
    </cfRule>
    <cfRule type="cellIs" dxfId="7791" priority="16763" operator="equal">
      <formula>"Investment"</formula>
    </cfRule>
    <cfRule type="cellIs" dxfId="7790" priority="16764" operator="equal">
      <formula>"Sunk"</formula>
    </cfRule>
    <cfRule type="cellIs" dxfId="7789" priority="16765" operator="equal">
      <formula>"OpEx"</formula>
    </cfRule>
    <cfRule type="cellIs" dxfId="7788" priority="16766" operator="equal">
      <formula>"CapEx"</formula>
    </cfRule>
  </conditionalFormatting>
  <conditionalFormatting sqref="F69">
    <cfRule type="dataBar" priority="16770">
      <dataBar>
        <cfvo type="min"/>
        <cfvo type="max"/>
        <color rgb="FF638EC6"/>
      </dataBar>
    </cfRule>
    <cfRule type="colorScale" priority="16771">
      <colorScale>
        <cfvo type="min"/>
        <cfvo type="percentile" val="50"/>
        <cfvo type="max"/>
        <color rgb="FFF8696B"/>
        <color rgb="FFFFEB84"/>
        <color rgb="FF63BE7B"/>
      </colorScale>
    </cfRule>
    <cfRule type="cellIs" dxfId="7787" priority="16772" operator="equal">
      <formula>"Tax"</formula>
    </cfRule>
  </conditionalFormatting>
  <conditionalFormatting sqref="F70">
    <cfRule type="cellIs" dxfId="7786" priority="16750" operator="equal">
      <formula>"Income"</formula>
    </cfRule>
    <cfRule type="cellIs" dxfId="7785" priority="16751" operator="equal">
      <formula>"Cost of Sales"</formula>
    </cfRule>
    <cfRule type="cellIs" dxfId="7784" priority="16752" operator="equal">
      <formula>"Payroll"</formula>
    </cfRule>
    <cfRule type="cellIs" dxfId="7783" priority="16753" operator="equal">
      <formula>"Investment"</formula>
    </cfRule>
    <cfRule type="cellIs" dxfId="7782" priority="16754" operator="equal">
      <formula>"Sunk"</formula>
    </cfRule>
    <cfRule type="cellIs" dxfId="7781" priority="16755" operator="equal">
      <formula>"OpEx"</formula>
    </cfRule>
    <cfRule type="cellIs" dxfId="7780" priority="16756" operator="equal">
      <formula>"CapEx"</formula>
    </cfRule>
    <cfRule type="dataBar" priority="16757">
      <dataBar>
        <cfvo type="min"/>
        <cfvo type="max"/>
        <color rgb="FF638EC6"/>
      </dataBar>
    </cfRule>
    <cfRule type="colorScale" priority="16758">
      <colorScale>
        <cfvo type="min"/>
        <cfvo type="percentile" val="50"/>
        <cfvo type="max"/>
        <color rgb="FFF8696B"/>
        <color rgb="FFFFEB84"/>
        <color rgb="FF63BE7B"/>
      </colorScale>
    </cfRule>
    <cfRule type="cellIs" dxfId="7779" priority="16759" operator="equal">
      <formula>"Tax"</formula>
    </cfRule>
    <cfRule type="dataBar" priority="16767">
      <dataBar>
        <cfvo type="min"/>
        <cfvo type="max"/>
        <color rgb="FF638EC6"/>
      </dataBar>
    </cfRule>
    <cfRule type="colorScale" priority="16768">
      <colorScale>
        <cfvo type="min"/>
        <cfvo type="percentile" val="50"/>
        <cfvo type="max"/>
        <color rgb="FFF8696B"/>
        <color rgb="FFFFEB84"/>
        <color rgb="FF63BE7B"/>
      </colorScale>
    </cfRule>
    <cfRule type="cellIs" dxfId="7778" priority="16769" operator="equal">
      <formula>"Tax"</formula>
    </cfRule>
  </conditionalFormatting>
  <conditionalFormatting sqref="F71">
    <cfRule type="dataBar" priority="16773">
      <dataBar>
        <cfvo type="min"/>
        <cfvo type="max"/>
        <color rgb="FF638EC6"/>
      </dataBar>
    </cfRule>
    <cfRule type="colorScale" priority="16774">
      <colorScale>
        <cfvo type="min"/>
        <cfvo type="percentile" val="50"/>
        <cfvo type="max"/>
        <color rgb="FFF8696B"/>
        <color rgb="FFFFEB84"/>
        <color rgb="FF63BE7B"/>
      </colorScale>
    </cfRule>
    <cfRule type="cellIs" dxfId="7777" priority="16775" operator="equal">
      <formula>"Tax"</formula>
    </cfRule>
  </conditionalFormatting>
  <conditionalFormatting sqref="F72">
    <cfRule type="dataBar" priority="16736">
      <dataBar>
        <cfvo type="min"/>
        <cfvo type="max"/>
        <color rgb="FF638EC6"/>
      </dataBar>
    </cfRule>
    <cfRule type="colorScale" priority="16737">
      <colorScale>
        <cfvo type="min"/>
        <cfvo type="percentile" val="50"/>
        <cfvo type="max"/>
        <color rgb="FFF8696B"/>
        <color rgb="FFFFEB84"/>
        <color rgb="FF63BE7B"/>
      </colorScale>
    </cfRule>
    <cfRule type="cellIs" dxfId="7776" priority="16738" operator="equal">
      <formula>"Tax"</formula>
    </cfRule>
  </conditionalFormatting>
  <conditionalFormatting sqref="F72:F74">
    <cfRule type="cellIs" dxfId="7775" priority="16711" operator="equal">
      <formula>"Income"</formula>
    </cfRule>
    <cfRule type="cellIs" dxfId="7774" priority="16712" operator="equal">
      <formula>"Cost of Sales"</formula>
    </cfRule>
    <cfRule type="cellIs" dxfId="7773" priority="16713" operator="equal">
      <formula>"Payroll"</formula>
    </cfRule>
    <cfRule type="cellIs" dxfId="7772" priority="16714" operator="equal">
      <formula>"Investment"</formula>
    </cfRule>
    <cfRule type="cellIs" dxfId="7771" priority="16715" operator="equal">
      <formula>"Sunk"</formula>
    </cfRule>
    <cfRule type="cellIs" dxfId="7770" priority="16716" operator="equal">
      <formula>"OpEx"</formula>
    </cfRule>
    <cfRule type="cellIs" dxfId="7769" priority="16717" operator="equal">
      <formula>"CapEx"</formula>
    </cfRule>
  </conditionalFormatting>
  <conditionalFormatting sqref="F73">
    <cfRule type="cellIs" dxfId="7768" priority="16708" operator="equal">
      <formula>"Tax"</formula>
    </cfRule>
    <cfRule type="dataBar" priority="16709">
      <dataBar>
        <cfvo type="min"/>
        <cfvo type="max"/>
        <color rgb="FF638EC6"/>
      </dataBar>
    </cfRule>
    <cfRule type="colorScale" priority="16710">
      <colorScale>
        <cfvo type="min"/>
        <cfvo type="percentile" val="50"/>
        <cfvo type="max"/>
        <color rgb="FFF8696B"/>
        <color rgb="FFFFEB84"/>
        <color rgb="FF63BE7B"/>
      </colorScale>
    </cfRule>
  </conditionalFormatting>
  <conditionalFormatting sqref="F74 F68 F82">
    <cfRule type="dataBar" priority="16802">
      <dataBar>
        <cfvo type="min"/>
        <cfvo type="max"/>
        <color rgb="FF638EC6"/>
      </dataBar>
    </cfRule>
    <cfRule type="colorScale" priority="16803">
      <colorScale>
        <cfvo type="min"/>
        <cfvo type="percentile" val="50"/>
        <cfvo type="max"/>
        <color rgb="FFF8696B"/>
        <color rgb="FFFFEB84"/>
        <color rgb="FF63BE7B"/>
      </colorScale>
    </cfRule>
    <cfRule type="dataBar" priority="16814">
      <dataBar>
        <cfvo type="min"/>
        <cfvo type="max"/>
        <color rgb="FF638EC6"/>
      </dataBar>
    </cfRule>
    <cfRule type="colorScale" priority="16815">
      <colorScale>
        <cfvo type="min"/>
        <cfvo type="percentile" val="50"/>
        <cfvo type="max"/>
        <color rgb="FFF8696B"/>
        <color rgb="FFFFEB84"/>
        <color rgb="FF63BE7B"/>
      </colorScale>
    </cfRule>
  </conditionalFormatting>
  <conditionalFormatting sqref="F75">
    <cfRule type="dataBar" priority="16646">
      <dataBar>
        <cfvo type="min"/>
        <cfvo type="max"/>
        <color rgb="FF638EC6"/>
      </dataBar>
    </cfRule>
    <cfRule type="colorScale" priority="16647">
      <colorScale>
        <cfvo type="min"/>
        <cfvo type="percentile" val="50"/>
        <cfvo type="max"/>
        <color rgb="FFF8696B"/>
        <color rgb="FFFFEB84"/>
        <color rgb="FF63BE7B"/>
      </colorScale>
    </cfRule>
    <cfRule type="cellIs" dxfId="7767" priority="16648" operator="equal">
      <formula>"Tax"</formula>
    </cfRule>
    <cfRule type="cellIs" dxfId="7766" priority="16649" operator="equal">
      <formula>"Cost of Sales"</formula>
    </cfRule>
    <cfRule type="cellIs" dxfId="7765" priority="16650" operator="equal">
      <formula>"Payroll"</formula>
    </cfRule>
    <cfRule type="cellIs" dxfId="7764" priority="16651" operator="equal">
      <formula>"Investment"</formula>
    </cfRule>
    <cfRule type="cellIs" dxfId="7763" priority="16652" operator="equal">
      <formula>"Sunk"</formula>
    </cfRule>
    <cfRule type="cellIs" dxfId="7762" priority="16653" operator="equal">
      <formula>"OpEx"</formula>
    </cfRule>
    <cfRule type="cellIs" dxfId="7761" priority="16654" operator="equal">
      <formula>"CapEx"</formula>
    </cfRule>
    <cfRule type="dataBar" priority="16655">
      <dataBar>
        <cfvo type="min"/>
        <cfvo type="max"/>
        <color rgb="FF638EC6"/>
      </dataBar>
    </cfRule>
    <cfRule type="colorScale" priority="16656">
      <colorScale>
        <cfvo type="min"/>
        <cfvo type="percentile" val="50"/>
        <cfvo type="max"/>
        <color rgb="FFF8696B"/>
        <color rgb="FFFFEB84"/>
        <color rgb="FF63BE7B"/>
      </colorScale>
    </cfRule>
    <cfRule type="cellIs" dxfId="7760" priority="16658" operator="equal">
      <formula>"Cost of Sales"</formula>
    </cfRule>
    <cfRule type="cellIs" dxfId="7759" priority="16659" operator="equal">
      <formula>"Payroll"</formula>
    </cfRule>
    <cfRule type="cellIs" dxfId="7758" priority="16660" operator="equal">
      <formula>"Investment"</formula>
    </cfRule>
    <cfRule type="cellIs" dxfId="7757" priority="16661" operator="equal">
      <formula>"Sunk"</formula>
    </cfRule>
    <cfRule type="cellIs" dxfId="7756" priority="16662" operator="equal">
      <formula>"OpEx"</formula>
    </cfRule>
    <cfRule type="cellIs" dxfId="7755" priority="16663" operator="equal">
      <formula>"CapEx"</formula>
    </cfRule>
    <cfRule type="cellIs" dxfId="7754" priority="16664" operator="equal">
      <formula>"Income"</formula>
    </cfRule>
  </conditionalFormatting>
  <conditionalFormatting sqref="F75:F78">
    <cfRule type="cellIs" dxfId="7753" priority="16645" operator="equal">
      <formula>"Income"</formula>
    </cfRule>
    <cfRule type="cellIs" dxfId="7752" priority="16657" operator="equal">
      <formula>"Tax"</formula>
    </cfRule>
    <cfRule type="dataBar" priority="16684">
      <dataBar>
        <cfvo type="min"/>
        <cfvo type="max"/>
        <color rgb="FF638EC6"/>
      </dataBar>
    </cfRule>
    <cfRule type="colorScale" priority="16685">
      <colorScale>
        <cfvo type="min"/>
        <cfvo type="percentile" val="50"/>
        <cfvo type="max"/>
        <color rgb="FFF8696B"/>
        <color rgb="FFFFEB84"/>
        <color rgb="FF63BE7B"/>
      </colorScale>
    </cfRule>
    <cfRule type="cellIs" dxfId="7751" priority="16686" operator="equal">
      <formula>"Cost of Sales"</formula>
    </cfRule>
    <cfRule type="cellIs" dxfId="7750" priority="16687" operator="equal">
      <formula>"Payroll"</formula>
    </cfRule>
    <cfRule type="cellIs" dxfId="7749" priority="16688" operator="equal">
      <formula>"Investment"</formula>
    </cfRule>
    <cfRule type="cellIs" dxfId="7748" priority="16689" operator="equal">
      <formula>"Sunk"</formula>
    </cfRule>
    <cfRule type="cellIs" dxfId="7747" priority="16690" operator="equal">
      <formula>"OpEx"</formula>
    </cfRule>
    <cfRule type="cellIs" dxfId="7746" priority="16691" operator="equal">
      <formula>"CapEx"</formula>
    </cfRule>
    <cfRule type="cellIs" dxfId="7745" priority="16692" operator="equal">
      <formula>"Income"</formula>
    </cfRule>
  </conditionalFormatting>
  <conditionalFormatting sqref="F76">
    <cfRule type="dataBar" priority="16642">
      <dataBar>
        <cfvo type="min"/>
        <cfvo type="max"/>
        <color rgb="FF638EC6"/>
      </dataBar>
    </cfRule>
    <cfRule type="colorScale" priority="16643">
      <colorScale>
        <cfvo type="min"/>
        <cfvo type="percentile" val="50"/>
        <cfvo type="max"/>
        <color rgb="FFF8696B"/>
        <color rgb="FFFFEB84"/>
        <color rgb="FF63BE7B"/>
      </colorScale>
    </cfRule>
    <cfRule type="cellIs" dxfId="7744" priority="16644" operator="equal">
      <formula>"Tax"</formula>
    </cfRule>
  </conditionalFormatting>
  <conditionalFormatting sqref="F76:F78">
    <cfRule type="cellIs" dxfId="7743" priority="16636" operator="equal">
      <formula>"Cost of Sales"</formula>
    </cfRule>
    <cfRule type="cellIs" dxfId="7742" priority="16637" operator="equal">
      <formula>"Payroll"</formula>
    </cfRule>
    <cfRule type="cellIs" dxfId="7741" priority="16638" operator="equal">
      <formula>"Investment"</formula>
    </cfRule>
    <cfRule type="cellIs" dxfId="7740" priority="16639" operator="equal">
      <formula>"Sunk"</formula>
    </cfRule>
    <cfRule type="cellIs" dxfId="7739" priority="16640" operator="equal">
      <formula>"OpEx"</formula>
    </cfRule>
    <cfRule type="cellIs" dxfId="7738" priority="16641" operator="equal">
      <formula>"CapEx"</formula>
    </cfRule>
  </conditionalFormatting>
  <conditionalFormatting sqref="F77">
    <cfRule type="dataBar" priority="16633">
      <dataBar>
        <cfvo type="min"/>
        <cfvo type="max"/>
        <color rgb="FF638EC6"/>
      </dataBar>
    </cfRule>
    <cfRule type="colorScale" priority="16634">
      <colorScale>
        <cfvo type="min"/>
        <cfvo type="percentile" val="50"/>
        <cfvo type="max"/>
        <color rgb="FFF8696B"/>
        <color rgb="FFFFEB84"/>
        <color rgb="FF63BE7B"/>
      </colorScale>
    </cfRule>
    <cfRule type="cellIs" dxfId="7737" priority="16635" operator="equal">
      <formula>"Tax"</formula>
    </cfRule>
  </conditionalFormatting>
  <conditionalFormatting sqref="F78">
    <cfRule type="dataBar" priority="16630">
      <dataBar>
        <cfvo type="min"/>
        <cfvo type="max"/>
        <color rgb="FF638EC6"/>
      </dataBar>
    </cfRule>
    <cfRule type="colorScale" priority="16631">
      <colorScale>
        <cfvo type="min"/>
        <cfvo type="percentile" val="50"/>
        <cfvo type="max"/>
        <color rgb="FFF8696B"/>
        <color rgb="FFFFEB84"/>
        <color rgb="FF63BE7B"/>
      </colorScale>
    </cfRule>
    <cfRule type="cellIs" dxfId="7736" priority="16632" operator="equal">
      <formula>"Tax"</formula>
    </cfRule>
  </conditionalFormatting>
  <conditionalFormatting sqref="F79">
    <cfRule type="dataBar" priority="16569">
      <dataBar>
        <cfvo type="min"/>
        <cfvo type="max"/>
        <color rgb="FF638EC6"/>
      </dataBar>
    </cfRule>
    <cfRule type="colorScale" priority="16570">
      <colorScale>
        <cfvo type="min"/>
        <cfvo type="percentile" val="50"/>
        <cfvo type="max"/>
        <color rgb="FFF8696B"/>
        <color rgb="FFFFEB84"/>
        <color rgb="FF63BE7B"/>
      </colorScale>
    </cfRule>
    <cfRule type="cellIs" dxfId="7735" priority="16571" operator="equal">
      <formula>"Tax"</formula>
    </cfRule>
    <cfRule type="cellIs" dxfId="7734" priority="16572" operator="equal">
      <formula>"Income"</formula>
    </cfRule>
    <cfRule type="dataBar" priority="16574">
      <dataBar>
        <cfvo type="min"/>
        <cfvo type="max"/>
        <color rgb="FF638EC6"/>
      </dataBar>
    </cfRule>
    <cfRule type="colorScale" priority="16575">
      <colorScale>
        <cfvo type="min"/>
        <cfvo type="percentile" val="50"/>
        <cfvo type="max"/>
        <color rgb="FFF8696B"/>
        <color rgb="FFFFEB84"/>
        <color rgb="FF63BE7B"/>
      </colorScale>
    </cfRule>
    <cfRule type="cellIs" dxfId="7733" priority="16576" operator="equal">
      <formula>"Cost of Sales"</formula>
    </cfRule>
    <cfRule type="cellIs" dxfId="7732" priority="16577" operator="equal">
      <formula>"Payroll"</formula>
    </cfRule>
    <cfRule type="cellIs" dxfId="7731" priority="16578" operator="equal">
      <formula>"Investment"</formula>
    </cfRule>
    <cfRule type="cellIs" dxfId="7730" priority="16579" operator="equal">
      <formula>"Sunk"</formula>
    </cfRule>
    <cfRule type="cellIs" dxfId="7729" priority="16580" operator="equal">
      <formula>"OpEx"</formula>
    </cfRule>
    <cfRule type="cellIs" dxfId="7728" priority="16581" operator="equal">
      <formula>"CapEx"</formula>
    </cfRule>
    <cfRule type="cellIs" dxfId="7727" priority="16582" operator="equal">
      <formula>"Income"</formula>
    </cfRule>
  </conditionalFormatting>
  <conditionalFormatting sqref="F79:F80">
    <cfRule type="cellIs" dxfId="7726" priority="16553" operator="equal">
      <formula>"Cost of Sales"</formula>
    </cfRule>
    <cfRule type="cellIs" dxfId="7725" priority="16554" operator="equal">
      <formula>"Payroll"</formula>
    </cfRule>
    <cfRule type="cellIs" dxfId="7724" priority="16555" operator="equal">
      <formula>"Investment"</formula>
    </cfRule>
    <cfRule type="cellIs" dxfId="7723" priority="16556" operator="equal">
      <formula>"Sunk"</formula>
    </cfRule>
    <cfRule type="cellIs" dxfId="7722" priority="16557" operator="equal">
      <formula>"OpEx"</formula>
    </cfRule>
    <cfRule type="cellIs" dxfId="7721" priority="16558" operator="equal">
      <formula>"CapEx"</formula>
    </cfRule>
  </conditionalFormatting>
  <conditionalFormatting sqref="F80">
    <cfRule type="dataBar" priority="16536">
      <dataBar>
        <cfvo type="min"/>
        <cfvo type="max"/>
        <color rgb="FF638EC6"/>
      </dataBar>
    </cfRule>
    <cfRule type="colorScale" priority="16537">
      <colorScale>
        <cfvo type="min"/>
        <cfvo type="percentile" val="50"/>
        <cfvo type="max"/>
        <color rgb="FFF8696B"/>
        <color rgb="FFFFEB84"/>
        <color rgb="FF63BE7B"/>
      </colorScale>
    </cfRule>
    <cfRule type="cellIs" dxfId="7720" priority="16538" operator="equal">
      <formula>"Tax"</formula>
    </cfRule>
    <cfRule type="cellIs" dxfId="7719" priority="16539" operator="equal">
      <formula>"Cost of Sales"</formula>
    </cfRule>
    <cfRule type="cellIs" dxfId="7718" priority="16540" operator="equal">
      <formula>"Payroll"</formula>
    </cfRule>
    <cfRule type="cellIs" dxfId="7717" priority="16541" operator="equal">
      <formula>"Investment"</formula>
    </cfRule>
    <cfRule type="cellIs" dxfId="7716" priority="16542" operator="equal">
      <formula>"Sunk"</formula>
    </cfRule>
    <cfRule type="cellIs" dxfId="7715" priority="16543" operator="equal">
      <formula>"OpEx"</formula>
    </cfRule>
    <cfRule type="cellIs" dxfId="7714" priority="16544" operator="equal">
      <formula>"CapEx"</formula>
    </cfRule>
    <cfRule type="cellIs" dxfId="7713" priority="16545" operator="equal">
      <formula>"Income"</formula>
    </cfRule>
    <cfRule type="dataBar" priority="16551">
      <dataBar>
        <cfvo type="min"/>
        <cfvo type="max"/>
        <color rgb="FF638EC6"/>
      </dataBar>
    </cfRule>
    <cfRule type="colorScale" priority="16552">
      <colorScale>
        <cfvo type="min"/>
        <cfvo type="percentile" val="50"/>
        <cfvo type="max"/>
        <color rgb="FFF8696B"/>
        <color rgb="FFFFEB84"/>
        <color rgb="FF63BE7B"/>
      </colorScale>
    </cfRule>
    <cfRule type="cellIs" dxfId="7712" priority="16559" operator="equal">
      <formula>"Income"</formula>
    </cfRule>
  </conditionalFormatting>
  <conditionalFormatting sqref="F81">
    <cfRule type="dataBar" priority="16583">
      <dataBar>
        <cfvo type="min"/>
        <cfvo type="max"/>
        <color rgb="FF638EC6"/>
      </dataBar>
    </cfRule>
    <cfRule type="colorScale" priority="16584">
      <colorScale>
        <cfvo type="min"/>
        <cfvo type="percentile" val="50"/>
        <cfvo type="max"/>
        <color rgb="FFF8696B"/>
        <color rgb="FFFFEB84"/>
        <color rgb="FF63BE7B"/>
      </colorScale>
    </cfRule>
    <cfRule type="cellIs" dxfId="7711" priority="16585" operator="equal">
      <formula>"Tax"</formula>
    </cfRule>
    <cfRule type="cellIs" dxfId="7710" priority="16586" operator="equal">
      <formula>"Cost of Sales"</formula>
    </cfRule>
    <cfRule type="cellIs" dxfId="7709" priority="16587" operator="equal">
      <formula>"Payroll"</formula>
    </cfRule>
    <cfRule type="cellIs" dxfId="7708" priority="16588" operator="equal">
      <formula>"Investment"</formula>
    </cfRule>
    <cfRule type="cellIs" dxfId="7707" priority="16589" operator="equal">
      <formula>"Sunk"</formula>
    </cfRule>
    <cfRule type="cellIs" dxfId="7706" priority="16590" operator="equal">
      <formula>"OpEx"</formula>
    </cfRule>
    <cfRule type="cellIs" dxfId="7705" priority="16591" operator="equal">
      <formula>"CapEx"</formula>
    </cfRule>
    <cfRule type="cellIs" dxfId="7704" priority="16592" operator="equal">
      <formula>"Income"</formula>
    </cfRule>
    <cfRule type="dataBar" priority="16612">
      <dataBar>
        <cfvo type="min"/>
        <cfvo type="max"/>
        <color rgb="FF638EC6"/>
      </dataBar>
    </cfRule>
    <cfRule type="colorScale" priority="16613">
      <colorScale>
        <cfvo type="min"/>
        <cfvo type="percentile" val="50"/>
        <cfvo type="max"/>
        <color rgb="FFF8696B"/>
        <color rgb="FFFFEB84"/>
        <color rgb="FF63BE7B"/>
      </colorScale>
    </cfRule>
  </conditionalFormatting>
  <conditionalFormatting sqref="F81:F82">
    <cfRule type="cellIs" dxfId="7703" priority="16614" operator="equal">
      <formula>"Cost of Sales"</formula>
    </cfRule>
    <cfRule type="cellIs" dxfId="7702" priority="16615" operator="equal">
      <formula>"Payroll"</formula>
    </cfRule>
    <cfRule type="cellIs" dxfId="7701" priority="16616" operator="equal">
      <formula>"Investment"</formula>
    </cfRule>
    <cfRule type="cellIs" dxfId="7700" priority="16617" operator="equal">
      <formula>"Sunk"</formula>
    </cfRule>
    <cfRule type="cellIs" dxfId="7699" priority="16618" operator="equal">
      <formula>"OpEx"</formula>
    </cfRule>
    <cfRule type="cellIs" dxfId="7698" priority="16619" operator="equal">
      <formula>"CapEx"</formula>
    </cfRule>
    <cfRule type="cellIs" dxfId="7697" priority="16620" operator="equal">
      <formula>"Income"</formula>
    </cfRule>
  </conditionalFormatting>
  <conditionalFormatting sqref="F83">
    <cfRule type="dataBar" priority="16516">
      <dataBar>
        <cfvo type="min"/>
        <cfvo type="max"/>
        <color rgb="FF638EC6"/>
      </dataBar>
    </cfRule>
    <cfRule type="colorScale" priority="16517">
      <colorScale>
        <cfvo type="min"/>
        <cfvo type="percentile" val="50"/>
        <cfvo type="max"/>
        <color rgb="FFF8696B"/>
        <color rgb="FFFFEB84"/>
        <color rgb="FF63BE7B"/>
      </colorScale>
    </cfRule>
    <cfRule type="cellIs" dxfId="7696" priority="16521" operator="equal">
      <formula>"Tax"</formula>
    </cfRule>
    <cfRule type="dataBar" priority="16522">
      <dataBar>
        <cfvo type="min"/>
        <cfvo type="max"/>
        <color rgb="FF638EC6"/>
      </dataBar>
    </cfRule>
    <cfRule type="colorScale" priority="16523">
      <colorScale>
        <cfvo type="min"/>
        <cfvo type="percentile" val="50"/>
        <cfvo type="max"/>
        <color rgb="FFF8696B"/>
        <color rgb="FFFFEB84"/>
        <color rgb="FF63BE7B"/>
      </colorScale>
    </cfRule>
    <cfRule type="cellIs" dxfId="7695" priority="16524" operator="equal">
      <formula>"Tax"</formula>
    </cfRule>
    <cfRule type="cellIs" dxfId="7694" priority="16525" operator="equal">
      <formula>"Cost of Sales"</formula>
    </cfRule>
    <cfRule type="cellIs" dxfId="7693" priority="16526" operator="equal">
      <formula>"Payroll"</formula>
    </cfRule>
    <cfRule type="cellIs" dxfId="7692" priority="16527" operator="equal">
      <formula>"Investment"</formula>
    </cfRule>
    <cfRule type="cellIs" dxfId="7691" priority="16528" operator="equal">
      <formula>"Sunk"</formula>
    </cfRule>
    <cfRule type="cellIs" dxfId="7690" priority="16529" operator="equal">
      <formula>"OpEx"</formula>
    </cfRule>
    <cfRule type="cellIs" dxfId="7689" priority="16530" operator="equal">
      <formula>"CapEx"</formula>
    </cfRule>
    <cfRule type="cellIs" dxfId="7688" priority="16531" operator="equal">
      <formula>"Income"</formula>
    </cfRule>
  </conditionalFormatting>
  <conditionalFormatting sqref="F83:F84">
    <cfRule type="cellIs" dxfId="7687" priority="16477" operator="equal">
      <formula>"Income"</formula>
    </cfRule>
    <cfRule type="cellIs" dxfId="7686" priority="16478" operator="equal">
      <formula>"Cost of Sales"</formula>
    </cfRule>
    <cfRule type="cellIs" dxfId="7685" priority="16479" operator="equal">
      <formula>"Payroll"</formula>
    </cfRule>
    <cfRule type="cellIs" dxfId="7684" priority="16480" operator="equal">
      <formula>"Investment"</formula>
    </cfRule>
    <cfRule type="cellIs" dxfId="7683" priority="16481" operator="equal">
      <formula>"Sunk"</formula>
    </cfRule>
    <cfRule type="cellIs" dxfId="7682" priority="16482" operator="equal">
      <formula>"OpEx"</formula>
    </cfRule>
    <cfRule type="cellIs" dxfId="7681" priority="16483" operator="equal">
      <formula>"CapEx"</formula>
    </cfRule>
  </conditionalFormatting>
  <conditionalFormatting sqref="F84">
    <cfRule type="dataBar" priority="16474">
      <dataBar>
        <cfvo type="min"/>
        <cfvo type="max"/>
        <color rgb="FF638EC6"/>
      </dataBar>
    </cfRule>
    <cfRule type="colorScale" priority="16475">
      <colorScale>
        <cfvo type="min"/>
        <cfvo type="percentile" val="50"/>
        <cfvo type="max"/>
        <color rgb="FFF8696B"/>
        <color rgb="FFFFEB84"/>
        <color rgb="FF63BE7B"/>
      </colorScale>
    </cfRule>
    <cfRule type="cellIs" dxfId="7680" priority="16476" operator="equal">
      <formula>"Tax"</formula>
    </cfRule>
  </conditionalFormatting>
  <conditionalFormatting sqref="F85">
    <cfRule type="dataBar" priority="16459">
      <dataBar>
        <cfvo type="min"/>
        <cfvo type="max"/>
        <color rgb="FF638EC6"/>
      </dataBar>
    </cfRule>
    <cfRule type="colorScale" priority="16460">
      <colorScale>
        <cfvo type="min"/>
        <cfvo type="percentile" val="50"/>
        <cfvo type="max"/>
        <color rgb="FFF8696B"/>
        <color rgb="FFFFEB84"/>
        <color rgb="FF63BE7B"/>
      </colorScale>
    </cfRule>
    <cfRule type="cellIs" dxfId="7679" priority="16461" operator="equal">
      <formula>"Tax"</formula>
    </cfRule>
    <cfRule type="cellIs" dxfId="7678" priority="16462" operator="equal">
      <formula>"Cost of Sales"</formula>
    </cfRule>
    <cfRule type="cellIs" dxfId="7677" priority="16463" operator="equal">
      <formula>"Payroll"</formula>
    </cfRule>
    <cfRule type="cellIs" dxfId="7676" priority="16464" operator="equal">
      <formula>"Investment"</formula>
    </cfRule>
    <cfRule type="cellIs" dxfId="7675" priority="16465" operator="equal">
      <formula>"Sunk"</formula>
    </cfRule>
    <cfRule type="cellIs" dxfId="7674" priority="16466" operator="equal">
      <formula>"OpEx"</formula>
    </cfRule>
    <cfRule type="cellIs" dxfId="7673" priority="16467" operator="equal">
      <formula>"CapEx"</formula>
    </cfRule>
    <cfRule type="cellIs" dxfId="7672" priority="16468" operator="equal">
      <formula>"Income"</formula>
    </cfRule>
  </conditionalFormatting>
  <conditionalFormatting sqref="F86">
    <cfRule type="dataBar" priority="16435">
      <dataBar>
        <cfvo type="min"/>
        <cfvo type="max"/>
        <color rgb="FF638EC6"/>
      </dataBar>
    </cfRule>
    <cfRule type="colorScale" priority="16436">
      <colorScale>
        <cfvo type="min"/>
        <cfvo type="percentile" val="50"/>
        <cfvo type="max"/>
        <color rgb="FFF8696B"/>
        <color rgb="FFFFEB84"/>
        <color rgb="FF63BE7B"/>
      </colorScale>
    </cfRule>
    <cfRule type="cellIs" dxfId="7671" priority="16437" operator="equal">
      <formula>"Cost of Sales"</formula>
    </cfRule>
    <cfRule type="cellIs" dxfId="7670" priority="16438" operator="equal">
      <formula>"Payroll"</formula>
    </cfRule>
    <cfRule type="cellIs" dxfId="7669" priority="16439" operator="equal">
      <formula>"Investment"</formula>
    </cfRule>
    <cfRule type="cellIs" dxfId="7668" priority="16440" operator="equal">
      <formula>"Sunk"</formula>
    </cfRule>
    <cfRule type="cellIs" dxfId="7667" priority="16441" operator="equal">
      <formula>"OpEx"</formula>
    </cfRule>
    <cfRule type="cellIs" dxfId="7666" priority="16442" operator="equal">
      <formula>"CapEx"</formula>
    </cfRule>
    <cfRule type="cellIs" dxfId="7665" priority="16443" operator="equal">
      <formula>"Income"</formula>
    </cfRule>
  </conditionalFormatting>
  <conditionalFormatting sqref="F86:F88">
    <cfRule type="cellIs" dxfId="7664" priority="16400" operator="equal">
      <formula>"Tax"</formula>
    </cfRule>
  </conditionalFormatting>
  <conditionalFormatting sqref="F87">
    <cfRule type="dataBar" priority="16414">
      <dataBar>
        <cfvo type="min"/>
        <cfvo type="max"/>
        <color rgb="FF638EC6"/>
      </dataBar>
    </cfRule>
    <cfRule type="colorScale" priority="16415">
      <colorScale>
        <cfvo type="min"/>
        <cfvo type="percentile" val="50"/>
        <cfvo type="max"/>
        <color rgb="FFF8696B"/>
        <color rgb="FFFFEB84"/>
        <color rgb="FF63BE7B"/>
      </colorScale>
    </cfRule>
    <cfRule type="cellIs" dxfId="7663" priority="16416" operator="equal">
      <formula>"Cost of Sales"</formula>
    </cfRule>
    <cfRule type="cellIs" dxfId="7662" priority="16417" operator="equal">
      <formula>"Payroll"</formula>
    </cfRule>
    <cfRule type="cellIs" dxfId="7661" priority="16418" operator="equal">
      <formula>"Investment"</formula>
    </cfRule>
    <cfRule type="cellIs" dxfId="7660" priority="16419" operator="equal">
      <formula>"Sunk"</formula>
    </cfRule>
    <cfRule type="cellIs" dxfId="7659" priority="16420" operator="equal">
      <formula>"OpEx"</formula>
    </cfRule>
    <cfRule type="cellIs" dxfId="7658" priority="16421" operator="equal">
      <formula>"CapEx"</formula>
    </cfRule>
    <cfRule type="cellIs" dxfId="7657" priority="16422" operator="equal">
      <formula>"Income"</formula>
    </cfRule>
  </conditionalFormatting>
  <conditionalFormatting sqref="F88">
    <cfRule type="dataBar" priority="16398">
      <dataBar>
        <cfvo type="min"/>
        <cfvo type="max"/>
        <color rgb="FF638EC6"/>
      </dataBar>
    </cfRule>
    <cfRule type="colorScale" priority="16399">
      <colorScale>
        <cfvo type="min"/>
        <cfvo type="percentile" val="50"/>
        <cfvo type="max"/>
        <color rgb="FFF8696B"/>
        <color rgb="FFFFEB84"/>
        <color rgb="FF63BE7B"/>
      </colorScale>
    </cfRule>
  </conditionalFormatting>
  <conditionalFormatting sqref="F88:F90">
    <cfRule type="cellIs" dxfId="7656" priority="16392" operator="equal">
      <formula>"Cost of Sales"</formula>
    </cfRule>
    <cfRule type="cellIs" dxfId="7655" priority="16393" operator="equal">
      <formula>"Payroll"</formula>
    </cfRule>
    <cfRule type="cellIs" dxfId="7654" priority="16394" operator="equal">
      <formula>"Investment"</formula>
    </cfRule>
    <cfRule type="cellIs" dxfId="7653" priority="16395" operator="equal">
      <formula>"Sunk"</formula>
    </cfRule>
    <cfRule type="cellIs" dxfId="7652" priority="16396" operator="equal">
      <formula>"OpEx"</formula>
    </cfRule>
    <cfRule type="cellIs" dxfId="7651" priority="16397" operator="equal">
      <formula>"CapEx"</formula>
    </cfRule>
    <cfRule type="cellIs" dxfId="7650" priority="16401" operator="equal">
      <formula>"Income"</formula>
    </cfRule>
  </conditionalFormatting>
  <conditionalFormatting sqref="F89">
    <cfRule type="dataBar" priority="16389">
      <dataBar>
        <cfvo type="min"/>
        <cfvo type="max"/>
        <color rgb="FF638EC6"/>
      </dataBar>
    </cfRule>
    <cfRule type="colorScale" priority="16390">
      <colorScale>
        <cfvo type="min"/>
        <cfvo type="percentile" val="50"/>
        <cfvo type="max"/>
        <color rgb="FFF8696B"/>
        <color rgb="FFFFEB84"/>
        <color rgb="FF63BE7B"/>
      </colorScale>
    </cfRule>
    <cfRule type="cellIs" dxfId="7649" priority="16391" operator="equal">
      <formula>"Tax"</formula>
    </cfRule>
  </conditionalFormatting>
  <conditionalFormatting sqref="F90">
    <cfRule type="dataBar" priority="16386">
      <dataBar>
        <cfvo type="min"/>
        <cfvo type="max"/>
        <color rgb="FF638EC6"/>
      </dataBar>
    </cfRule>
    <cfRule type="colorScale" priority="16387">
      <colorScale>
        <cfvo type="min"/>
        <cfvo type="percentile" val="50"/>
        <cfvo type="max"/>
        <color rgb="FFF8696B"/>
        <color rgb="FFFFEB84"/>
        <color rgb="FF63BE7B"/>
      </colorScale>
    </cfRule>
    <cfRule type="cellIs" dxfId="7648" priority="16388" operator="equal">
      <formula>"Tax"</formula>
    </cfRule>
  </conditionalFormatting>
  <conditionalFormatting sqref="F91">
    <cfRule type="dataBar" priority="16359">
      <dataBar>
        <cfvo type="min"/>
        <cfvo type="max"/>
        <color rgb="FF638EC6"/>
      </dataBar>
    </cfRule>
    <cfRule type="colorScale" priority="16360">
      <colorScale>
        <cfvo type="min"/>
        <cfvo type="percentile" val="50"/>
        <cfvo type="max"/>
        <color rgb="FFF8696B"/>
        <color rgb="FFFFEB84"/>
        <color rgb="FF63BE7B"/>
      </colorScale>
    </cfRule>
    <cfRule type="cellIs" dxfId="7647" priority="16364" operator="equal">
      <formula>"Tax"</formula>
    </cfRule>
    <cfRule type="dataBar" priority="16365">
      <dataBar>
        <cfvo type="min"/>
        <cfvo type="max"/>
        <color rgb="FF638EC6"/>
      </dataBar>
    </cfRule>
    <cfRule type="colorScale" priority="16366">
      <colorScale>
        <cfvo type="min"/>
        <cfvo type="percentile" val="50"/>
        <cfvo type="max"/>
        <color rgb="FFF8696B"/>
        <color rgb="FFFFEB84"/>
        <color rgb="FF63BE7B"/>
      </colorScale>
    </cfRule>
    <cfRule type="cellIs" dxfId="7646" priority="16367" operator="equal">
      <formula>"Tax"</formula>
    </cfRule>
    <cfRule type="cellIs" dxfId="7645" priority="16368" operator="equal">
      <formula>"Cost of Sales"</formula>
    </cfRule>
    <cfRule type="cellIs" dxfId="7644" priority="16369" operator="equal">
      <formula>"Payroll"</formula>
    </cfRule>
    <cfRule type="cellIs" dxfId="7643" priority="16370" operator="equal">
      <formula>"Investment"</formula>
    </cfRule>
    <cfRule type="cellIs" dxfId="7642" priority="16371" operator="equal">
      <formula>"Sunk"</formula>
    </cfRule>
    <cfRule type="cellIs" dxfId="7641" priority="16372" operator="equal">
      <formula>"OpEx"</formula>
    </cfRule>
    <cfRule type="cellIs" dxfId="7640" priority="16373" operator="equal">
      <formula>"CapEx"</formula>
    </cfRule>
    <cfRule type="cellIs" dxfId="7639" priority="16374" operator="equal">
      <formula>"Income"</formula>
    </cfRule>
  </conditionalFormatting>
  <conditionalFormatting sqref="F91:F93">
    <cfRule type="cellIs" dxfId="7638" priority="16303" operator="equal">
      <formula>"Income"</formula>
    </cfRule>
    <cfRule type="cellIs" dxfId="7637" priority="16304" operator="equal">
      <formula>"Cost of Sales"</formula>
    </cfRule>
    <cfRule type="cellIs" dxfId="7636" priority="16305" operator="equal">
      <formula>"Payroll"</formula>
    </cfRule>
    <cfRule type="cellIs" dxfId="7635" priority="16306" operator="equal">
      <formula>"Investment"</formula>
    </cfRule>
    <cfRule type="cellIs" dxfId="7634" priority="16307" operator="equal">
      <formula>"Sunk"</formula>
    </cfRule>
    <cfRule type="cellIs" dxfId="7633" priority="16308" operator="equal">
      <formula>"OpEx"</formula>
    </cfRule>
    <cfRule type="cellIs" dxfId="7632" priority="16309" operator="equal">
      <formula>"CapEx"</formula>
    </cfRule>
  </conditionalFormatting>
  <conditionalFormatting sqref="F92">
    <cfRule type="dataBar" priority="16330">
      <dataBar>
        <cfvo type="min"/>
        <cfvo type="max"/>
        <color rgb="FF638EC6"/>
      </dataBar>
    </cfRule>
    <cfRule type="colorScale" priority="16331">
      <colorScale>
        <cfvo type="min"/>
        <cfvo type="percentile" val="50"/>
        <cfvo type="max"/>
        <color rgb="FFF8696B"/>
        <color rgb="FFFFEB84"/>
        <color rgb="FF63BE7B"/>
      </colorScale>
    </cfRule>
    <cfRule type="cellIs" dxfId="7631" priority="16332" operator="equal">
      <formula>"Tax"</formula>
    </cfRule>
  </conditionalFormatting>
  <conditionalFormatting sqref="F93">
    <cfRule type="dataBar" priority="16300">
      <dataBar>
        <cfvo type="min"/>
        <cfvo type="max"/>
        <color rgb="FF638EC6"/>
      </dataBar>
    </cfRule>
    <cfRule type="colorScale" priority="16301">
      <colorScale>
        <cfvo type="min"/>
        <cfvo type="percentile" val="50"/>
        <cfvo type="max"/>
        <color rgb="FFF8696B"/>
        <color rgb="FFFFEB84"/>
        <color rgb="FF63BE7B"/>
      </colorScale>
    </cfRule>
    <cfRule type="cellIs" dxfId="7630" priority="16302" operator="equal">
      <formula>"Tax"</formula>
    </cfRule>
  </conditionalFormatting>
  <conditionalFormatting sqref="F94">
    <cfRule type="dataBar" priority="16279">
      <dataBar>
        <cfvo type="min"/>
        <cfvo type="max"/>
        <color rgb="FF638EC6"/>
      </dataBar>
    </cfRule>
    <cfRule type="colorScale" priority="16280">
      <colorScale>
        <cfvo type="min"/>
        <cfvo type="percentile" val="50"/>
        <cfvo type="max"/>
        <color rgb="FFF8696B"/>
        <color rgb="FFFFEB84"/>
        <color rgb="FF63BE7B"/>
      </colorScale>
    </cfRule>
    <cfRule type="cellIs" dxfId="7629" priority="16281" operator="equal">
      <formula>"Tax"</formula>
    </cfRule>
    <cfRule type="cellIs" dxfId="7628" priority="16282" operator="equal">
      <formula>"Income"</formula>
    </cfRule>
    <cfRule type="cellIs" dxfId="7627" priority="16283" operator="equal">
      <formula>"Cost of Sales"</formula>
    </cfRule>
    <cfRule type="cellIs" dxfId="7626" priority="16284" operator="equal">
      <formula>"Payroll"</formula>
    </cfRule>
    <cfRule type="cellIs" dxfId="7625" priority="16285" operator="equal">
      <formula>"Investment"</formula>
    </cfRule>
    <cfRule type="cellIs" dxfId="7624" priority="16286" operator="equal">
      <formula>"Sunk"</formula>
    </cfRule>
    <cfRule type="cellIs" dxfId="7623" priority="16287" operator="equal">
      <formula>"OpEx"</formula>
    </cfRule>
    <cfRule type="cellIs" dxfId="7622" priority="16288" operator="equal">
      <formula>"CapEx"</formula>
    </cfRule>
  </conditionalFormatting>
  <conditionalFormatting sqref="F95">
    <cfRule type="dataBar" priority="16262">
      <dataBar>
        <cfvo type="min"/>
        <cfvo type="max"/>
        <color rgb="FF638EC6"/>
      </dataBar>
    </cfRule>
    <cfRule type="colorScale" priority="16263">
      <colorScale>
        <cfvo type="min"/>
        <cfvo type="percentile" val="50"/>
        <cfvo type="max"/>
        <color rgb="FFF8696B"/>
        <color rgb="FFFFEB84"/>
        <color rgb="FF63BE7B"/>
      </colorScale>
    </cfRule>
    <cfRule type="cellIs" dxfId="7621" priority="16264" operator="equal">
      <formula>"Tax"</formula>
    </cfRule>
    <cfRule type="cellIs" dxfId="7620" priority="16265" operator="equal">
      <formula>"Income"</formula>
    </cfRule>
    <cfRule type="cellIs" dxfId="7619" priority="16266" operator="equal">
      <formula>"Cost of Sales"</formula>
    </cfRule>
    <cfRule type="cellIs" dxfId="7618" priority="16267" operator="equal">
      <formula>"Payroll"</formula>
    </cfRule>
    <cfRule type="cellIs" dxfId="7617" priority="16268" operator="equal">
      <formula>"Investment"</formula>
    </cfRule>
    <cfRule type="cellIs" dxfId="7616" priority="16269" operator="equal">
      <formula>"Sunk"</formula>
    </cfRule>
    <cfRule type="cellIs" dxfId="7615" priority="16270" operator="equal">
      <formula>"OpEx"</formula>
    </cfRule>
    <cfRule type="cellIs" dxfId="7614" priority="16271" operator="equal">
      <formula>"CapEx"</formula>
    </cfRule>
  </conditionalFormatting>
  <conditionalFormatting sqref="F96">
    <cfRule type="dataBar" priority="16240">
      <dataBar>
        <cfvo type="min"/>
        <cfvo type="max"/>
        <color rgb="FF638EC6"/>
      </dataBar>
    </cfRule>
    <cfRule type="colorScale" priority="16241">
      <colorScale>
        <cfvo type="min"/>
        <cfvo type="percentile" val="50"/>
        <cfvo type="max"/>
        <color rgb="FFF8696B"/>
        <color rgb="FFFFEB84"/>
        <color rgb="FF63BE7B"/>
      </colorScale>
    </cfRule>
    <cfRule type="cellIs" dxfId="7613" priority="16242" operator="equal">
      <formula>"Tax"</formula>
    </cfRule>
    <cfRule type="cellIs" dxfId="7612" priority="16243" operator="equal">
      <formula>"Income"</formula>
    </cfRule>
    <cfRule type="cellIs" dxfId="7611" priority="16244" operator="equal">
      <formula>"Cost of Sales"</formula>
    </cfRule>
    <cfRule type="cellIs" dxfId="7610" priority="16245" operator="equal">
      <formula>"Payroll"</formula>
    </cfRule>
    <cfRule type="cellIs" dxfId="7609" priority="16246" operator="equal">
      <formula>"Investment"</formula>
    </cfRule>
    <cfRule type="cellIs" dxfId="7608" priority="16247" operator="equal">
      <formula>"Sunk"</formula>
    </cfRule>
    <cfRule type="cellIs" dxfId="7607" priority="16248" operator="equal">
      <formula>"OpEx"</formula>
    </cfRule>
    <cfRule type="cellIs" dxfId="7606" priority="16249" operator="equal">
      <formula>"CapEx"</formula>
    </cfRule>
  </conditionalFormatting>
  <conditionalFormatting sqref="F97">
    <cfRule type="dataBar" priority="16202">
      <dataBar>
        <cfvo type="min"/>
        <cfvo type="max"/>
        <color rgb="FF638EC6"/>
      </dataBar>
    </cfRule>
    <cfRule type="colorScale" priority="16203">
      <colorScale>
        <cfvo type="min"/>
        <cfvo type="percentile" val="50"/>
        <cfvo type="max"/>
        <color rgb="FFF8696B"/>
        <color rgb="FFFFEB84"/>
        <color rgb="FF63BE7B"/>
      </colorScale>
    </cfRule>
    <cfRule type="cellIs" dxfId="7605" priority="16204" operator="equal">
      <formula>"Tax"</formula>
    </cfRule>
  </conditionalFormatting>
  <conditionalFormatting sqref="F97:F98">
    <cfRule type="cellIs" dxfId="7604" priority="16205" operator="equal">
      <formula>"Income"</formula>
    </cfRule>
    <cfRule type="cellIs" dxfId="7603" priority="16206" operator="equal">
      <formula>"Cost of Sales"</formula>
    </cfRule>
    <cfRule type="cellIs" dxfId="7602" priority="16207" operator="equal">
      <formula>"Payroll"</formula>
    </cfRule>
    <cfRule type="cellIs" dxfId="7601" priority="16208" operator="equal">
      <formula>"Investment"</formula>
    </cfRule>
    <cfRule type="cellIs" dxfId="7600" priority="16209" operator="equal">
      <formula>"Sunk"</formula>
    </cfRule>
    <cfRule type="cellIs" dxfId="7599" priority="16210" operator="equal">
      <formula>"OpEx"</formula>
    </cfRule>
    <cfRule type="cellIs" dxfId="7598" priority="16211" operator="equal">
      <formula>"CapEx"</formula>
    </cfRule>
  </conditionalFormatting>
  <conditionalFormatting sqref="F98">
    <cfRule type="dataBar" priority="16199">
      <dataBar>
        <cfvo type="min"/>
        <cfvo type="max"/>
        <color rgb="FF638EC6"/>
      </dataBar>
    </cfRule>
    <cfRule type="colorScale" priority="16200">
      <colorScale>
        <cfvo type="min"/>
        <cfvo type="percentile" val="50"/>
        <cfvo type="max"/>
        <color rgb="FFF8696B"/>
        <color rgb="FFFFEB84"/>
        <color rgb="FF63BE7B"/>
      </colorScale>
    </cfRule>
    <cfRule type="cellIs" dxfId="7597" priority="16201" operator="equal">
      <formula>"Tax"</formula>
    </cfRule>
  </conditionalFormatting>
  <conditionalFormatting sqref="F99">
    <cfRule type="dataBar" priority="16223">
      <dataBar>
        <cfvo type="min"/>
        <cfvo type="max"/>
        <color rgb="FF638EC6"/>
      </dataBar>
    </cfRule>
    <cfRule type="colorScale" priority="16224">
      <colorScale>
        <cfvo type="min"/>
        <cfvo type="percentile" val="50"/>
        <cfvo type="max"/>
        <color rgb="FFF8696B"/>
        <color rgb="FFFFEB84"/>
        <color rgb="FF63BE7B"/>
      </colorScale>
    </cfRule>
    <cfRule type="cellIs" dxfId="7596" priority="16225" operator="equal">
      <formula>"Tax"</formula>
    </cfRule>
    <cfRule type="cellIs" dxfId="7595" priority="16226" operator="equal">
      <formula>"Income"</formula>
    </cfRule>
    <cfRule type="cellIs" dxfId="7594" priority="16227" operator="equal">
      <formula>"Cost of Sales"</formula>
    </cfRule>
    <cfRule type="cellIs" dxfId="7593" priority="16228" operator="equal">
      <formula>"Payroll"</formula>
    </cfRule>
    <cfRule type="cellIs" dxfId="7592" priority="16229" operator="equal">
      <formula>"Investment"</formula>
    </cfRule>
    <cfRule type="cellIs" dxfId="7591" priority="16230" operator="equal">
      <formula>"Sunk"</formula>
    </cfRule>
    <cfRule type="cellIs" dxfId="7590" priority="16231" operator="equal">
      <formula>"OpEx"</formula>
    </cfRule>
    <cfRule type="cellIs" dxfId="7589" priority="16232" operator="equal">
      <formula>"CapEx"</formula>
    </cfRule>
  </conditionalFormatting>
  <conditionalFormatting sqref="F100">
    <cfRule type="dataBar" priority="16175">
      <dataBar>
        <cfvo type="min"/>
        <cfvo type="max"/>
        <color rgb="FF638EC6"/>
      </dataBar>
    </cfRule>
    <cfRule type="colorScale" priority="16176">
      <colorScale>
        <cfvo type="min"/>
        <cfvo type="percentile" val="50"/>
        <cfvo type="max"/>
        <color rgb="FFF8696B"/>
        <color rgb="FFFFEB84"/>
        <color rgb="FF63BE7B"/>
      </colorScale>
    </cfRule>
    <cfRule type="cellIs" dxfId="7588" priority="16177" operator="equal">
      <formula>"Tax"</formula>
    </cfRule>
    <cfRule type="cellIs" dxfId="7587" priority="16178" operator="equal">
      <formula>"Income"</formula>
    </cfRule>
    <cfRule type="cellIs" dxfId="7586" priority="16179" operator="equal">
      <formula>"Cost of Sales"</formula>
    </cfRule>
    <cfRule type="cellIs" dxfId="7585" priority="16180" operator="equal">
      <formula>"Payroll"</formula>
    </cfRule>
    <cfRule type="cellIs" dxfId="7584" priority="16181" operator="equal">
      <formula>"Investment"</formula>
    </cfRule>
    <cfRule type="cellIs" dxfId="7583" priority="16182" operator="equal">
      <formula>"Sunk"</formula>
    </cfRule>
    <cfRule type="cellIs" dxfId="7582" priority="16183" operator="equal">
      <formula>"OpEx"</formula>
    </cfRule>
    <cfRule type="cellIs" dxfId="7581" priority="16184" operator="equal">
      <formula>"CapEx"</formula>
    </cfRule>
  </conditionalFormatting>
  <conditionalFormatting sqref="F101">
    <cfRule type="dataBar" priority="16159">
      <dataBar>
        <cfvo type="min"/>
        <cfvo type="max"/>
        <color rgb="FF638EC6"/>
      </dataBar>
    </cfRule>
    <cfRule type="colorScale" priority="16160">
      <colorScale>
        <cfvo type="min"/>
        <cfvo type="percentile" val="50"/>
        <cfvo type="max"/>
        <color rgb="FFF8696B"/>
        <color rgb="FFFFEB84"/>
        <color rgb="FF63BE7B"/>
      </colorScale>
    </cfRule>
    <cfRule type="cellIs" dxfId="7580" priority="16161" operator="equal">
      <formula>"Tax"</formula>
    </cfRule>
    <cfRule type="cellIs" dxfId="7579" priority="16162" operator="equal">
      <formula>"Income"</formula>
    </cfRule>
  </conditionalFormatting>
  <conditionalFormatting sqref="F101:F102">
    <cfRule type="cellIs" dxfId="7578" priority="16129" operator="equal">
      <formula>"Cost of Sales"</formula>
    </cfRule>
    <cfRule type="cellIs" dxfId="7577" priority="16130" operator="equal">
      <formula>"Payroll"</formula>
    </cfRule>
    <cfRule type="cellIs" dxfId="7576" priority="16131" operator="equal">
      <formula>"Investment"</formula>
    </cfRule>
    <cfRule type="cellIs" dxfId="7575" priority="16132" operator="equal">
      <formula>"Sunk"</formula>
    </cfRule>
    <cfRule type="cellIs" dxfId="7574" priority="16133" operator="equal">
      <formula>"OpEx"</formula>
    </cfRule>
    <cfRule type="cellIs" dxfId="7573" priority="16134" operator="equal">
      <formula>"CapEx"</formula>
    </cfRule>
  </conditionalFormatting>
  <conditionalFormatting sqref="F102">
    <cfRule type="dataBar" priority="16125">
      <dataBar>
        <cfvo type="min"/>
        <cfvo type="max"/>
        <color rgb="FF638EC6"/>
      </dataBar>
    </cfRule>
    <cfRule type="colorScale" priority="16126">
      <colorScale>
        <cfvo type="min"/>
        <cfvo type="percentile" val="50"/>
        <cfvo type="max"/>
        <color rgb="FFF8696B"/>
        <color rgb="FFFFEB84"/>
        <color rgb="FF63BE7B"/>
      </colorScale>
    </cfRule>
    <cfRule type="cellIs" dxfId="7572" priority="16127" operator="equal">
      <formula>"Tax"</formula>
    </cfRule>
    <cfRule type="cellIs" dxfId="7571" priority="16128" operator="equal">
      <formula>"Income"</formula>
    </cfRule>
  </conditionalFormatting>
  <conditionalFormatting sqref="F103">
    <cfRule type="dataBar" priority="16111">
      <dataBar>
        <cfvo type="min"/>
        <cfvo type="max"/>
        <color rgb="FF638EC6"/>
      </dataBar>
    </cfRule>
    <cfRule type="colorScale" priority="16112">
      <colorScale>
        <cfvo type="min"/>
        <cfvo type="percentile" val="50"/>
        <cfvo type="max"/>
        <color rgb="FFF8696B"/>
        <color rgb="FFFFEB84"/>
        <color rgb="FF63BE7B"/>
      </colorScale>
    </cfRule>
    <cfRule type="cellIs" dxfId="7570" priority="16113" operator="equal">
      <formula>"Cost of Sales"</formula>
    </cfRule>
    <cfRule type="cellIs" dxfId="7569" priority="16114" operator="equal">
      <formula>"Payroll"</formula>
    </cfRule>
    <cfRule type="cellIs" dxfId="7568" priority="16115" operator="equal">
      <formula>"Investment"</formula>
    </cfRule>
    <cfRule type="cellIs" dxfId="7567" priority="16116" operator="equal">
      <formula>"Sunk"</formula>
    </cfRule>
    <cfRule type="cellIs" dxfId="7566" priority="16117" operator="equal">
      <formula>"OpEx"</formula>
    </cfRule>
    <cfRule type="cellIs" dxfId="7565" priority="16118" operator="equal">
      <formula>"CapEx"</formula>
    </cfRule>
    <cfRule type="cellIs" dxfId="7564" priority="16119" operator="equal">
      <formula>"Income"</formula>
    </cfRule>
  </conditionalFormatting>
  <conditionalFormatting sqref="F103:F104">
    <cfRule type="cellIs" dxfId="7563" priority="16090" operator="equal">
      <formula>"Tax"</formula>
    </cfRule>
  </conditionalFormatting>
  <conditionalFormatting sqref="F104">
    <cfRule type="dataBar" priority="16082">
      <dataBar>
        <cfvo type="min"/>
        <cfvo type="max"/>
        <color rgb="FF638EC6"/>
      </dataBar>
    </cfRule>
    <cfRule type="colorScale" priority="16083">
      <colorScale>
        <cfvo type="min"/>
        <cfvo type="percentile" val="50"/>
        <cfvo type="max"/>
        <color rgb="FFF8696B"/>
        <color rgb="FFFFEB84"/>
        <color rgb="FF63BE7B"/>
      </colorScale>
    </cfRule>
    <cfRule type="cellIs" dxfId="7562" priority="16087" operator="equal">
      <formula>"Tax"</formula>
    </cfRule>
    <cfRule type="dataBar" priority="16088">
      <dataBar>
        <cfvo type="min"/>
        <cfvo type="max"/>
        <color rgb="FF638EC6"/>
      </dataBar>
    </cfRule>
    <cfRule type="colorScale" priority="16089">
      <colorScale>
        <cfvo type="min"/>
        <cfvo type="percentile" val="50"/>
        <cfvo type="max"/>
        <color rgb="FFF8696B"/>
        <color rgb="FFFFEB84"/>
        <color rgb="FF63BE7B"/>
      </colorScale>
    </cfRule>
    <cfRule type="cellIs" dxfId="7561" priority="16091" operator="equal">
      <formula>"Cost of Sales"</formula>
    </cfRule>
    <cfRule type="cellIs" dxfId="7560" priority="16092" operator="equal">
      <formula>"Payroll"</formula>
    </cfRule>
    <cfRule type="cellIs" dxfId="7559" priority="16093" operator="equal">
      <formula>"Investment"</formula>
    </cfRule>
    <cfRule type="cellIs" dxfId="7558" priority="16094" operator="equal">
      <formula>"Sunk"</formula>
    </cfRule>
    <cfRule type="cellIs" dxfId="7557" priority="16095" operator="equal">
      <formula>"OpEx"</formula>
    </cfRule>
    <cfRule type="cellIs" dxfId="7556" priority="16096" operator="equal">
      <formula>"CapEx"</formula>
    </cfRule>
    <cfRule type="cellIs" dxfId="7555" priority="16097" operator="equal">
      <formula>"Income"</formula>
    </cfRule>
  </conditionalFormatting>
  <conditionalFormatting sqref="F104:F105">
    <cfRule type="cellIs" dxfId="7554" priority="16049" operator="equal">
      <formula>"Cost of Sales"</formula>
    </cfRule>
    <cfRule type="cellIs" dxfId="7553" priority="16050" operator="equal">
      <formula>"Payroll"</formula>
    </cfRule>
    <cfRule type="cellIs" dxfId="7552" priority="16051" operator="equal">
      <formula>"Investment"</formula>
    </cfRule>
    <cfRule type="cellIs" dxfId="7551" priority="16052" operator="equal">
      <formula>"Sunk"</formula>
    </cfRule>
    <cfRule type="cellIs" dxfId="7550" priority="16053" operator="equal">
      <formula>"OpEx"</formula>
    </cfRule>
    <cfRule type="cellIs" dxfId="7549" priority="16054" operator="equal">
      <formula>"CapEx"</formula>
    </cfRule>
    <cfRule type="cellIs" dxfId="7548" priority="16055" operator="equal">
      <formula>"Income"</formula>
    </cfRule>
  </conditionalFormatting>
  <conditionalFormatting sqref="F105">
    <cfRule type="dataBar" priority="16040">
      <dataBar>
        <cfvo type="min"/>
        <cfvo type="max"/>
        <color rgb="FF638EC6"/>
      </dataBar>
    </cfRule>
    <cfRule type="colorScale" priority="16041">
      <colorScale>
        <cfvo type="min"/>
        <cfvo type="percentile" val="50"/>
        <cfvo type="max"/>
        <color rgb="FFF8696B"/>
        <color rgb="FFFFEB84"/>
        <color rgb="FF63BE7B"/>
      </colorScale>
    </cfRule>
    <cfRule type="cellIs" dxfId="7547" priority="16045" operator="equal">
      <formula>"Tax"</formula>
    </cfRule>
    <cfRule type="dataBar" priority="16046">
      <dataBar>
        <cfvo type="min"/>
        <cfvo type="max"/>
        <color rgb="FF638EC6"/>
      </dataBar>
    </cfRule>
    <cfRule type="colorScale" priority="16047">
      <colorScale>
        <cfvo type="min"/>
        <cfvo type="percentile" val="50"/>
        <cfvo type="max"/>
        <color rgb="FFF8696B"/>
        <color rgb="FFFFEB84"/>
        <color rgb="FF63BE7B"/>
      </colorScale>
    </cfRule>
    <cfRule type="cellIs" dxfId="7546" priority="16048" operator="equal">
      <formula>"Tax"</formula>
    </cfRule>
  </conditionalFormatting>
  <conditionalFormatting sqref="F105:F106">
    <cfRule type="cellIs" dxfId="7545" priority="16007" operator="equal">
      <formula>"Income"</formula>
    </cfRule>
    <cfRule type="cellIs" dxfId="7544" priority="16008" operator="equal">
      <formula>"Cost of Sales"</formula>
    </cfRule>
    <cfRule type="cellIs" dxfId="7543" priority="16009" operator="equal">
      <formula>"Payroll"</formula>
    </cfRule>
    <cfRule type="cellIs" dxfId="7542" priority="16010" operator="equal">
      <formula>"Investment"</formula>
    </cfRule>
    <cfRule type="cellIs" dxfId="7541" priority="16011" operator="equal">
      <formula>"Sunk"</formula>
    </cfRule>
    <cfRule type="cellIs" dxfId="7540" priority="16012" operator="equal">
      <formula>"OpEx"</formula>
    </cfRule>
    <cfRule type="cellIs" dxfId="7539" priority="16013" operator="equal">
      <formula>"CapEx"</formula>
    </cfRule>
  </conditionalFormatting>
  <conditionalFormatting sqref="F106">
    <cfRule type="dataBar" priority="16004">
      <dataBar>
        <cfvo type="min"/>
        <cfvo type="max"/>
        <color rgb="FF638EC6"/>
      </dataBar>
    </cfRule>
    <cfRule type="colorScale" priority="16005">
      <colorScale>
        <cfvo type="min"/>
        <cfvo type="percentile" val="50"/>
        <cfvo type="max"/>
        <color rgb="FFF8696B"/>
        <color rgb="FFFFEB84"/>
        <color rgb="FF63BE7B"/>
      </colorScale>
    </cfRule>
    <cfRule type="cellIs" dxfId="7538" priority="16006" operator="equal">
      <formula>"Tax"</formula>
    </cfRule>
  </conditionalFormatting>
  <conditionalFormatting sqref="F107">
    <cfRule type="dataBar" priority="15922">
      <dataBar>
        <cfvo type="min"/>
        <cfvo type="max"/>
        <color rgb="FF638EC6"/>
      </dataBar>
    </cfRule>
    <cfRule type="colorScale" priority="15923">
      <colorScale>
        <cfvo type="min"/>
        <cfvo type="percentile" val="50"/>
        <cfvo type="max"/>
        <color rgb="FFF8696B"/>
        <color rgb="FFFFEB84"/>
        <color rgb="FF63BE7B"/>
      </colorScale>
    </cfRule>
  </conditionalFormatting>
  <conditionalFormatting sqref="F107:F109">
    <cfRule type="cellIs" dxfId="7537" priority="15916" operator="equal">
      <formula>"Cost of Sales"</formula>
    </cfRule>
    <cfRule type="cellIs" dxfId="7536" priority="15917" operator="equal">
      <formula>"Payroll"</formula>
    </cfRule>
    <cfRule type="cellIs" dxfId="7535" priority="15918" operator="equal">
      <formula>"Investment"</formula>
    </cfRule>
    <cfRule type="cellIs" dxfId="7534" priority="15919" operator="equal">
      <formula>"Sunk"</formula>
    </cfRule>
    <cfRule type="cellIs" dxfId="7533" priority="15920" operator="equal">
      <formula>"OpEx"</formula>
    </cfRule>
    <cfRule type="cellIs" dxfId="7532" priority="15921" operator="equal">
      <formula>"CapEx"</formula>
    </cfRule>
    <cfRule type="cellIs" dxfId="7531" priority="15924" operator="equal">
      <formula>"Tax"</formula>
    </cfRule>
    <cfRule type="cellIs" dxfId="7530" priority="15925" operator="equal">
      <formula>"Income"</formula>
    </cfRule>
    <cfRule type="dataBar" priority="15945">
      <dataBar>
        <cfvo type="min"/>
        <cfvo type="max"/>
        <color rgb="FF638EC6"/>
      </dataBar>
    </cfRule>
    <cfRule type="colorScale" priority="15946">
      <colorScale>
        <cfvo type="min"/>
        <cfvo type="percentile" val="50"/>
        <cfvo type="max"/>
        <color rgb="FFF8696B"/>
        <color rgb="FFFFEB84"/>
        <color rgb="FF63BE7B"/>
      </colorScale>
    </cfRule>
    <cfRule type="cellIs" dxfId="7529" priority="15947" operator="equal">
      <formula>"Cost of Sales"</formula>
    </cfRule>
    <cfRule type="cellIs" dxfId="7528" priority="15948" operator="equal">
      <formula>"Payroll"</formula>
    </cfRule>
    <cfRule type="cellIs" dxfId="7527" priority="15949" operator="equal">
      <formula>"Investment"</formula>
    </cfRule>
    <cfRule type="cellIs" dxfId="7526" priority="15950" operator="equal">
      <formula>"Sunk"</formula>
    </cfRule>
    <cfRule type="cellIs" dxfId="7525" priority="15951" operator="equal">
      <formula>"OpEx"</formula>
    </cfRule>
    <cfRule type="cellIs" dxfId="7524" priority="15952" operator="equal">
      <formula>"CapEx"</formula>
    </cfRule>
    <cfRule type="cellIs" dxfId="7523" priority="15953" operator="equal">
      <formula>"Income"</formula>
    </cfRule>
  </conditionalFormatting>
  <conditionalFormatting sqref="F108">
    <cfRule type="dataBar" priority="15913">
      <dataBar>
        <cfvo type="min"/>
        <cfvo type="max"/>
        <color rgb="FF638EC6"/>
      </dataBar>
    </cfRule>
    <cfRule type="colorScale" priority="15914">
      <colorScale>
        <cfvo type="min"/>
        <cfvo type="percentile" val="50"/>
        <cfvo type="max"/>
        <color rgb="FFF8696B"/>
        <color rgb="FFFFEB84"/>
        <color rgb="FF63BE7B"/>
      </colorScale>
    </cfRule>
    <cfRule type="cellIs" dxfId="7522" priority="15915" operator="equal">
      <formula>"Tax"</formula>
    </cfRule>
  </conditionalFormatting>
  <conditionalFormatting sqref="F109">
    <cfRule type="dataBar" priority="15910">
      <dataBar>
        <cfvo type="min"/>
        <cfvo type="max"/>
        <color rgb="FF638EC6"/>
      </dataBar>
    </cfRule>
    <cfRule type="colorScale" priority="15911">
      <colorScale>
        <cfvo type="min"/>
        <cfvo type="percentile" val="50"/>
        <cfvo type="max"/>
        <color rgb="FFF8696B"/>
        <color rgb="FFFFEB84"/>
        <color rgb="FF63BE7B"/>
      </colorScale>
    </cfRule>
    <cfRule type="cellIs" dxfId="7521" priority="15912" operator="equal">
      <formula>"Tax"</formula>
    </cfRule>
  </conditionalFormatting>
  <conditionalFormatting sqref="F110">
    <cfRule type="dataBar" priority="15854">
      <dataBar>
        <cfvo type="min"/>
        <cfvo type="max"/>
        <color rgb="FF638EC6"/>
      </dataBar>
    </cfRule>
    <cfRule type="colorScale" priority="15855">
      <colorScale>
        <cfvo type="min"/>
        <cfvo type="percentile" val="50"/>
        <cfvo type="max"/>
        <color rgb="FFF8696B"/>
        <color rgb="FFFFEB84"/>
        <color rgb="FF63BE7B"/>
      </colorScale>
    </cfRule>
    <cfRule type="cellIs" dxfId="7520" priority="15856" operator="equal">
      <formula>"Tax"</formula>
    </cfRule>
    <cfRule type="cellIs" dxfId="7519" priority="15857" operator="equal">
      <formula>"Income"</formula>
    </cfRule>
    <cfRule type="dataBar" priority="15859">
      <dataBar>
        <cfvo type="min"/>
        <cfvo type="max"/>
        <color rgb="FF638EC6"/>
      </dataBar>
    </cfRule>
    <cfRule type="colorScale" priority="15860">
      <colorScale>
        <cfvo type="min"/>
        <cfvo type="percentile" val="50"/>
        <cfvo type="max"/>
        <color rgb="FFF8696B"/>
        <color rgb="FFFFEB84"/>
        <color rgb="FF63BE7B"/>
      </colorScale>
    </cfRule>
    <cfRule type="cellIs" dxfId="7518" priority="15861" operator="equal">
      <formula>"Cost of Sales"</formula>
    </cfRule>
    <cfRule type="cellIs" dxfId="7517" priority="15862" operator="equal">
      <formula>"Payroll"</formula>
    </cfRule>
    <cfRule type="cellIs" dxfId="7516" priority="15863" operator="equal">
      <formula>"Investment"</formula>
    </cfRule>
    <cfRule type="cellIs" dxfId="7515" priority="15864" operator="equal">
      <formula>"Sunk"</formula>
    </cfRule>
    <cfRule type="cellIs" dxfId="7514" priority="15865" operator="equal">
      <formula>"OpEx"</formula>
    </cfRule>
    <cfRule type="cellIs" dxfId="7513" priority="15866" operator="equal">
      <formula>"CapEx"</formula>
    </cfRule>
    <cfRule type="cellIs" dxfId="7512" priority="15867" operator="equal">
      <formula>"Income"</formula>
    </cfRule>
  </conditionalFormatting>
  <conditionalFormatting sqref="F110:F111">
    <cfRule type="cellIs" dxfId="7511" priority="15841" operator="equal">
      <formula>"Cost of Sales"</formula>
    </cfRule>
    <cfRule type="cellIs" dxfId="7510" priority="15842" operator="equal">
      <formula>"Payroll"</formula>
    </cfRule>
    <cfRule type="cellIs" dxfId="7509" priority="15843" operator="equal">
      <formula>"Investment"</formula>
    </cfRule>
    <cfRule type="cellIs" dxfId="7508" priority="15844" operator="equal">
      <formula>"Sunk"</formula>
    </cfRule>
    <cfRule type="cellIs" dxfId="7507" priority="15845" operator="equal">
      <formula>"OpEx"</formula>
    </cfRule>
    <cfRule type="cellIs" dxfId="7506" priority="15846" operator="equal">
      <formula>"CapEx"</formula>
    </cfRule>
  </conditionalFormatting>
  <conditionalFormatting sqref="F111">
    <cfRule type="dataBar" priority="15824">
      <dataBar>
        <cfvo type="min"/>
        <cfvo type="max"/>
        <color rgb="FF638EC6"/>
      </dataBar>
    </cfRule>
    <cfRule type="colorScale" priority="15825">
      <colorScale>
        <cfvo type="min"/>
        <cfvo type="percentile" val="50"/>
        <cfvo type="max"/>
        <color rgb="FFF8696B"/>
        <color rgb="FFFFEB84"/>
        <color rgb="FF63BE7B"/>
      </colorScale>
    </cfRule>
    <cfRule type="cellIs" dxfId="7505" priority="15826" operator="equal">
      <formula>"Tax"</formula>
    </cfRule>
    <cfRule type="cellIs" dxfId="7504" priority="15827" operator="equal">
      <formula>"Cost of Sales"</formula>
    </cfRule>
    <cfRule type="cellIs" dxfId="7503" priority="15828" operator="equal">
      <formula>"Payroll"</formula>
    </cfRule>
    <cfRule type="cellIs" dxfId="7502" priority="15829" operator="equal">
      <formula>"Investment"</formula>
    </cfRule>
    <cfRule type="cellIs" dxfId="7501" priority="15830" operator="equal">
      <formula>"Sunk"</formula>
    </cfRule>
    <cfRule type="cellIs" dxfId="7500" priority="15831" operator="equal">
      <formula>"OpEx"</formula>
    </cfRule>
    <cfRule type="cellIs" dxfId="7499" priority="15832" operator="equal">
      <formula>"CapEx"</formula>
    </cfRule>
    <cfRule type="cellIs" dxfId="7498" priority="15833" operator="equal">
      <formula>"Income"</formula>
    </cfRule>
    <cfRule type="dataBar" priority="15839">
      <dataBar>
        <cfvo type="min"/>
        <cfvo type="max"/>
        <color rgb="FF638EC6"/>
      </dataBar>
    </cfRule>
    <cfRule type="colorScale" priority="15840">
      <colorScale>
        <cfvo type="min"/>
        <cfvo type="percentile" val="50"/>
        <cfvo type="max"/>
        <color rgb="FFF8696B"/>
        <color rgb="FFFFEB84"/>
        <color rgb="FF63BE7B"/>
      </colorScale>
    </cfRule>
    <cfRule type="cellIs" dxfId="7497" priority="15847" operator="equal">
      <formula>"Income"</formula>
    </cfRule>
  </conditionalFormatting>
  <conditionalFormatting sqref="F112">
    <cfRule type="dataBar" priority="15868">
      <dataBar>
        <cfvo type="min"/>
        <cfvo type="max"/>
        <color rgb="FF638EC6"/>
      </dataBar>
    </cfRule>
    <cfRule type="colorScale" priority="15869">
      <colorScale>
        <cfvo type="min"/>
        <cfvo type="percentile" val="50"/>
        <cfvo type="max"/>
        <color rgb="FFF8696B"/>
        <color rgb="FFFFEB84"/>
        <color rgb="FF63BE7B"/>
      </colorScale>
    </cfRule>
    <cfRule type="cellIs" dxfId="7496" priority="15870" operator="equal">
      <formula>"Tax"</formula>
    </cfRule>
    <cfRule type="cellIs" dxfId="7495" priority="15871" operator="equal">
      <formula>"Cost of Sales"</formula>
    </cfRule>
    <cfRule type="cellIs" dxfId="7494" priority="15872" operator="equal">
      <formula>"Payroll"</formula>
    </cfRule>
    <cfRule type="cellIs" dxfId="7493" priority="15873" operator="equal">
      <formula>"Investment"</formula>
    </cfRule>
    <cfRule type="cellIs" dxfId="7492" priority="15874" operator="equal">
      <formula>"Sunk"</formula>
    </cfRule>
    <cfRule type="cellIs" dxfId="7491" priority="15875" operator="equal">
      <formula>"OpEx"</formula>
    </cfRule>
    <cfRule type="cellIs" dxfId="7490" priority="15876" operator="equal">
      <formula>"CapEx"</formula>
    </cfRule>
    <cfRule type="cellIs" dxfId="7489" priority="15877" operator="equal">
      <formula>"Income"</formula>
    </cfRule>
    <cfRule type="dataBar" priority="15897">
      <dataBar>
        <cfvo type="min"/>
        <cfvo type="max"/>
        <color rgb="FF638EC6"/>
      </dataBar>
    </cfRule>
    <cfRule type="colorScale" priority="15898">
      <colorScale>
        <cfvo type="min"/>
        <cfvo type="percentile" val="50"/>
        <cfvo type="max"/>
        <color rgb="FFF8696B"/>
        <color rgb="FFFFEB84"/>
        <color rgb="FF63BE7B"/>
      </colorScale>
    </cfRule>
  </conditionalFormatting>
  <conditionalFormatting sqref="F112:F113">
    <cfRule type="cellIs" dxfId="7488" priority="15899" operator="equal">
      <formula>"Cost of Sales"</formula>
    </cfRule>
    <cfRule type="cellIs" dxfId="7487" priority="15900" operator="equal">
      <formula>"Payroll"</formula>
    </cfRule>
    <cfRule type="cellIs" dxfId="7486" priority="15901" operator="equal">
      <formula>"Investment"</formula>
    </cfRule>
    <cfRule type="cellIs" dxfId="7485" priority="15902" operator="equal">
      <formula>"Sunk"</formula>
    </cfRule>
    <cfRule type="cellIs" dxfId="7484" priority="15903" operator="equal">
      <formula>"OpEx"</formula>
    </cfRule>
    <cfRule type="cellIs" dxfId="7483" priority="15904" operator="equal">
      <formula>"CapEx"</formula>
    </cfRule>
    <cfRule type="cellIs" dxfId="7482" priority="15905" operator="equal">
      <formula>"Income"</formula>
    </cfRule>
  </conditionalFormatting>
  <conditionalFormatting sqref="F113">
    <cfRule type="dataBar" priority="15980">
      <dataBar>
        <cfvo type="min"/>
        <cfvo type="max"/>
        <color rgb="FF638EC6"/>
      </dataBar>
    </cfRule>
    <cfRule type="colorScale" priority="15981">
      <colorScale>
        <cfvo type="min"/>
        <cfvo type="percentile" val="50"/>
        <cfvo type="max"/>
        <color rgb="FFF8696B"/>
        <color rgb="FFFFEB84"/>
        <color rgb="FF63BE7B"/>
      </colorScale>
    </cfRule>
    <cfRule type="cellIs" dxfId="7481" priority="15985" operator="equal">
      <formula>"Tax"</formula>
    </cfRule>
    <cfRule type="dataBar" priority="15986">
      <dataBar>
        <cfvo type="min"/>
        <cfvo type="max"/>
        <color rgb="FF638EC6"/>
      </dataBar>
    </cfRule>
    <cfRule type="colorScale" priority="15987">
      <colorScale>
        <cfvo type="min"/>
        <cfvo type="percentile" val="50"/>
        <cfvo type="max"/>
        <color rgb="FFF8696B"/>
        <color rgb="FFFFEB84"/>
        <color rgb="FF63BE7B"/>
      </colorScale>
    </cfRule>
    <cfRule type="cellIs" dxfId="7480" priority="15988" operator="equal">
      <formula>"Tax"</formula>
    </cfRule>
    <cfRule type="cellIs" dxfId="7479" priority="15989" operator="equal">
      <formula>"Cost of Sales"</formula>
    </cfRule>
    <cfRule type="cellIs" dxfId="7478" priority="15990" operator="equal">
      <formula>"Payroll"</formula>
    </cfRule>
    <cfRule type="cellIs" dxfId="7477" priority="15991" operator="equal">
      <formula>"Investment"</formula>
    </cfRule>
    <cfRule type="cellIs" dxfId="7476" priority="15992" operator="equal">
      <formula>"Sunk"</formula>
    </cfRule>
    <cfRule type="cellIs" dxfId="7475" priority="15993" operator="equal">
      <formula>"OpEx"</formula>
    </cfRule>
    <cfRule type="cellIs" dxfId="7474" priority="15994" operator="equal">
      <formula>"CapEx"</formula>
    </cfRule>
    <cfRule type="cellIs" dxfId="7473" priority="15995" operator="equal">
      <formula>"Income"</formula>
    </cfRule>
  </conditionalFormatting>
  <conditionalFormatting sqref="F114">
    <cfRule type="dataBar" priority="15804">
      <dataBar>
        <cfvo type="min"/>
        <cfvo type="max"/>
        <color rgb="FF638EC6"/>
      </dataBar>
    </cfRule>
    <cfRule type="colorScale" priority="15805">
      <colorScale>
        <cfvo type="min"/>
        <cfvo type="percentile" val="50"/>
        <cfvo type="max"/>
        <color rgb="FFF8696B"/>
        <color rgb="FFFFEB84"/>
        <color rgb="FF63BE7B"/>
      </colorScale>
    </cfRule>
    <cfRule type="cellIs" dxfId="7472" priority="15809" operator="equal">
      <formula>"Tax"</formula>
    </cfRule>
    <cfRule type="dataBar" priority="15810">
      <dataBar>
        <cfvo type="min"/>
        <cfvo type="max"/>
        <color rgb="FF638EC6"/>
      </dataBar>
    </cfRule>
    <cfRule type="colorScale" priority="15811">
      <colorScale>
        <cfvo type="min"/>
        <cfvo type="percentile" val="50"/>
        <cfvo type="max"/>
        <color rgb="FFF8696B"/>
        <color rgb="FFFFEB84"/>
        <color rgb="FF63BE7B"/>
      </colorScale>
    </cfRule>
    <cfRule type="cellIs" dxfId="7471" priority="15812" operator="equal">
      <formula>"Tax"</formula>
    </cfRule>
    <cfRule type="cellIs" dxfId="7470" priority="15813" operator="equal">
      <formula>"Cost of Sales"</formula>
    </cfRule>
    <cfRule type="cellIs" dxfId="7469" priority="15814" operator="equal">
      <formula>"Payroll"</formula>
    </cfRule>
    <cfRule type="cellIs" dxfId="7468" priority="15815" operator="equal">
      <formula>"Investment"</formula>
    </cfRule>
    <cfRule type="cellIs" dxfId="7467" priority="15816" operator="equal">
      <formula>"Sunk"</formula>
    </cfRule>
    <cfRule type="cellIs" dxfId="7466" priority="15817" operator="equal">
      <formula>"OpEx"</formula>
    </cfRule>
    <cfRule type="cellIs" dxfId="7465" priority="15818" operator="equal">
      <formula>"CapEx"</formula>
    </cfRule>
    <cfRule type="cellIs" dxfId="7464" priority="15819" operator="equal">
      <formula>"Income"</formula>
    </cfRule>
  </conditionalFormatting>
  <conditionalFormatting sqref="F114:F115">
    <cfRule type="cellIs" dxfId="7463" priority="15766" operator="equal">
      <formula>"Cost of Sales"</formula>
    </cfRule>
    <cfRule type="cellIs" dxfId="7462" priority="15767" operator="equal">
      <formula>"Payroll"</formula>
    </cfRule>
    <cfRule type="cellIs" dxfId="7461" priority="15768" operator="equal">
      <formula>"Investment"</formula>
    </cfRule>
    <cfRule type="cellIs" dxfId="7460" priority="15769" operator="equal">
      <formula>"Sunk"</formula>
    </cfRule>
    <cfRule type="cellIs" dxfId="7459" priority="15770" operator="equal">
      <formula>"OpEx"</formula>
    </cfRule>
    <cfRule type="cellIs" dxfId="7458" priority="15771" operator="equal">
      <formula>"CapEx"</formula>
    </cfRule>
    <cfRule type="cellIs" dxfId="7457" priority="15775" operator="equal">
      <formula>"Income"</formula>
    </cfRule>
  </conditionalFormatting>
  <conditionalFormatting sqref="F115">
    <cfRule type="dataBar" priority="15763">
      <dataBar>
        <cfvo type="min"/>
        <cfvo type="max"/>
        <color rgb="FF638EC6"/>
      </dataBar>
    </cfRule>
    <cfRule type="colorScale" priority="15764">
      <colorScale>
        <cfvo type="min"/>
        <cfvo type="percentile" val="50"/>
        <cfvo type="max"/>
        <color rgb="FFF8696B"/>
        <color rgb="FFFFEB84"/>
        <color rgb="FF63BE7B"/>
      </colorScale>
    </cfRule>
    <cfRule type="cellIs" dxfId="7456" priority="15765" operator="equal">
      <formula>"Tax"</formula>
    </cfRule>
    <cfRule type="dataBar" priority="15772">
      <dataBar>
        <cfvo type="min"/>
        <cfvo type="max"/>
        <color rgb="FF638EC6"/>
      </dataBar>
    </cfRule>
    <cfRule type="colorScale" priority="15773">
      <colorScale>
        <cfvo type="min"/>
        <cfvo type="percentile" val="50"/>
        <cfvo type="max"/>
        <color rgb="FFF8696B"/>
        <color rgb="FFFFEB84"/>
        <color rgb="FF63BE7B"/>
      </colorScale>
    </cfRule>
    <cfRule type="cellIs" dxfId="7455" priority="15774" operator="equal">
      <formula>"Tax"</formula>
    </cfRule>
  </conditionalFormatting>
  <conditionalFormatting sqref="F115:F116">
    <cfRule type="cellIs" dxfId="7454" priority="15737" operator="equal">
      <formula>"Cost of Sales"</formula>
    </cfRule>
    <cfRule type="cellIs" dxfId="7453" priority="15738" operator="equal">
      <formula>"Payroll"</formula>
    </cfRule>
    <cfRule type="cellIs" dxfId="7452" priority="15739" operator="equal">
      <formula>"Investment"</formula>
    </cfRule>
    <cfRule type="cellIs" dxfId="7451" priority="15740" operator="equal">
      <formula>"Sunk"</formula>
    </cfRule>
    <cfRule type="cellIs" dxfId="7450" priority="15741" operator="equal">
      <formula>"OpEx"</formula>
    </cfRule>
    <cfRule type="cellIs" dxfId="7449" priority="15742" operator="equal">
      <formula>"CapEx"</formula>
    </cfRule>
  </conditionalFormatting>
  <conditionalFormatting sqref="F115:F117">
    <cfRule type="cellIs" dxfId="7448" priority="15702" operator="equal">
      <formula>"Income"</formula>
    </cfRule>
  </conditionalFormatting>
  <conditionalFormatting sqref="F116">
    <cfRule type="dataBar" priority="15734">
      <dataBar>
        <cfvo type="min"/>
        <cfvo type="max"/>
        <color rgb="FF638EC6"/>
      </dataBar>
    </cfRule>
    <cfRule type="colorScale" priority="15735">
      <colorScale>
        <cfvo type="min"/>
        <cfvo type="percentile" val="50"/>
        <cfvo type="max"/>
        <color rgb="FFF8696B"/>
        <color rgb="FFFFEB84"/>
        <color rgb="FF63BE7B"/>
      </colorScale>
    </cfRule>
    <cfRule type="cellIs" dxfId="7447" priority="15736" operator="equal">
      <formula>"Tax"</formula>
    </cfRule>
  </conditionalFormatting>
  <conditionalFormatting sqref="F117">
    <cfRule type="dataBar" priority="15699">
      <dataBar>
        <cfvo type="min"/>
        <cfvo type="max"/>
        <color rgb="FF638EC6"/>
      </dataBar>
    </cfRule>
    <cfRule type="colorScale" priority="15700">
      <colorScale>
        <cfvo type="min"/>
        <cfvo type="percentile" val="50"/>
        <cfvo type="max"/>
        <color rgb="FFF8696B"/>
        <color rgb="FFFFEB84"/>
        <color rgb="FF63BE7B"/>
      </colorScale>
    </cfRule>
    <cfRule type="cellIs" dxfId="7446" priority="15701" operator="equal">
      <formula>"Tax"</formula>
    </cfRule>
    <cfRule type="cellIs" dxfId="7445" priority="15703" operator="equal">
      <formula>"Cost of Sales"</formula>
    </cfRule>
    <cfRule type="cellIs" dxfId="7444" priority="15704" operator="equal">
      <formula>"Payroll"</formula>
    </cfRule>
    <cfRule type="cellIs" dxfId="7443" priority="15705" operator="equal">
      <formula>"Investment"</formula>
    </cfRule>
    <cfRule type="cellIs" dxfId="7442" priority="15706" operator="equal">
      <formula>"Sunk"</formula>
    </cfRule>
    <cfRule type="cellIs" dxfId="7441" priority="15707" operator="equal">
      <formula>"OpEx"</formula>
    </cfRule>
    <cfRule type="cellIs" dxfId="7440" priority="15708" operator="equal">
      <formula>"CapEx"</formula>
    </cfRule>
  </conditionalFormatting>
  <conditionalFormatting sqref="F118">
    <cfRule type="dataBar" priority="15689">
      <dataBar>
        <cfvo type="min"/>
        <cfvo type="max"/>
        <color rgb="FF638EC6"/>
      </dataBar>
    </cfRule>
    <cfRule type="colorScale" priority="15690">
      <colorScale>
        <cfvo type="min"/>
        <cfvo type="percentile" val="50"/>
        <cfvo type="max"/>
        <color rgb="FFF8696B"/>
        <color rgb="FFFFEB84"/>
        <color rgb="FF63BE7B"/>
      </colorScale>
    </cfRule>
    <cfRule type="cellIs" dxfId="7439" priority="15691" operator="equal">
      <formula>"Tax"</formula>
    </cfRule>
  </conditionalFormatting>
  <conditionalFormatting sqref="F118:F121">
    <cfRule type="cellIs" dxfId="7438" priority="15675" operator="equal">
      <formula>"Cost of Sales"</formula>
    </cfRule>
    <cfRule type="cellIs" dxfId="7437" priority="15676" operator="equal">
      <formula>"Payroll"</formula>
    </cfRule>
    <cfRule type="cellIs" dxfId="7436" priority="15677" operator="equal">
      <formula>"Investment"</formula>
    </cfRule>
    <cfRule type="cellIs" dxfId="7435" priority="15678" operator="equal">
      <formula>"Sunk"</formula>
    </cfRule>
    <cfRule type="cellIs" dxfId="7434" priority="15679" operator="equal">
      <formula>"OpEx"</formula>
    </cfRule>
    <cfRule type="cellIs" dxfId="7433" priority="15680" operator="equal">
      <formula>"CapEx"</formula>
    </cfRule>
    <cfRule type="cellIs" dxfId="7432" priority="15681" operator="equal">
      <formula>"Income"</formula>
    </cfRule>
  </conditionalFormatting>
  <conditionalFormatting sqref="F119">
    <cfRule type="dataBar" priority="15657">
      <dataBar>
        <cfvo type="min"/>
        <cfvo type="max"/>
        <color rgb="FF638EC6"/>
      </dataBar>
    </cfRule>
    <cfRule type="colorScale" priority="15658">
      <colorScale>
        <cfvo type="min"/>
        <cfvo type="percentile" val="50"/>
        <cfvo type="max"/>
        <color rgb="FFF8696B"/>
        <color rgb="FFFFEB84"/>
        <color rgb="FF63BE7B"/>
      </colorScale>
    </cfRule>
    <cfRule type="cellIs" dxfId="7431" priority="15659" operator="equal">
      <formula>"Tax"</formula>
    </cfRule>
    <cfRule type="dataBar" priority="15673">
      <dataBar>
        <cfvo type="min"/>
        <cfvo type="max"/>
        <color rgb="FF638EC6"/>
      </dataBar>
    </cfRule>
    <cfRule type="colorScale" priority="15674">
      <colorScale>
        <cfvo type="min"/>
        <cfvo type="percentile" val="50"/>
        <cfvo type="max"/>
        <color rgb="FFF8696B"/>
        <color rgb="FFFFEB84"/>
        <color rgb="FF63BE7B"/>
      </colorScale>
    </cfRule>
  </conditionalFormatting>
  <conditionalFormatting sqref="F119:F120">
    <cfRule type="cellIs" dxfId="7430" priority="15672" operator="equal">
      <formula>"Tax"</formula>
    </cfRule>
  </conditionalFormatting>
  <conditionalFormatting sqref="F120">
    <cfRule type="dataBar" priority="15654">
      <dataBar>
        <cfvo type="min"/>
        <cfvo type="max"/>
        <color rgb="FF638EC6"/>
      </dataBar>
    </cfRule>
    <cfRule type="colorScale" priority="15655">
      <colorScale>
        <cfvo type="min"/>
        <cfvo type="percentile" val="50"/>
        <cfvo type="max"/>
        <color rgb="FFF8696B"/>
        <color rgb="FFFFEB84"/>
        <color rgb="FF63BE7B"/>
      </colorScale>
    </cfRule>
    <cfRule type="cellIs" dxfId="7429" priority="15656" operator="equal">
      <formula>"Tax"</formula>
    </cfRule>
    <cfRule type="dataBar" priority="15670">
      <dataBar>
        <cfvo type="min"/>
        <cfvo type="max"/>
        <color rgb="FF638EC6"/>
      </dataBar>
    </cfRule>
    <cfRule type="colorScale" priority="15671">
      <colorScale>
        <cfvo type="min"/>
        <cfvo type="percentile" val="50"/>
        <cfvo type="max"/>
        <color rgb="FFF8696B"/>
        <color rgb="FFFFEB84"/>
        <color rgb="FF63BE7B"/>
      </colorScale>
    </cfRule>
  </conditionalFormatting>
  <conditionalFormatting sqref="F121 F128">
    <cfRule type="cellIs" dxfId="7428" priority="191595" operator="equal">
      <formula>"Tax"</formula>
    </cfRule>
    <cfRule type="cellIs" dxfId="7427" priority="191598" operator="equal">
      <formula>"Tax"</formula>
    </cfRule>
  </conditionalFormatting>
  <conditionalFormatting sqref="F122">
    <cfRule type="dataBar" priority="15619">
      <dataBar>
        <cfvo type="min"/>
        <cfvo type="max"/>
        <color rgb="FF638EC6"/>
      </dataBar>
    </cfRule>
    <cfRule type="colorScale" priority="15620">
      <colorScale>
        <cfvo type="min"/>
        <cfvo type="percentile" val="50"/>
        <cfvo type="max"/>
        <color rgb="FFF8696B"/>
        <color rgb="FFFFEB84"/>
        <color rgb="FF63BE7B"/>
      </colorScale>
    </cfRule>
    <cfRule type="cellIs" dxfId="7426" priority="15621" operator="equal">
      <formula>"Tax"</formula>
    </cfRule>
  </conditionalFormatting>
  <conditionalFormatting sqref="F122:F128">
    <cfRule type="cellIs" dxfId="7425" priority="15497" operator="equal">
      <formula>"Income"</formula>
    </cfRule>
    <cfRule type="cellIs" dxfId="7424" priority="15498" operator="equal">
      <formula>"Cost of Sales"</formula>
    </cfRule>
    <cfRule type="cellIs" dxfId="7423" priority="15499" operator="equal">
      <formula>"Payroll"</formula>
    </cfRule>
    <cfRule type="cellIs" dxfId="7422" priority="15500" operator="equal">
      <formula>"Investment"</formula>
    </cfRule>
    <cfRule type="cellIs" dxfId="7421" priority="15501" operator="equal">
      <formula>"Sunk"</formula>
    </cfRule>
    <cfRule type="cellIs" dxfId="7420" priority="15502" operator="equal">
      <formula>"OpEx"</formula>
    </cfRule>
    <cfRule type="cellIs" dxfId="7419" priority="15503" operator="equal">
      <formula>"CapEx"</formula>
    </cfRule>
  </conditionalFormatting>
  <conditionalFormatting sqref="F123">
    <cfRule type="dataBar" priority="15602">
      <dataBar>
        <cfvo type="min"/>
        <cfvo type="max"/>
        <color rgb="FF638EC6"/>
      </dataBar>
    </cfRule>
    <cfRule type="colorScale" priority="15603">
      <colorScale>
        <cfvo type="min"/>
        <cfvo type="percentile" val="50"/>
        <cfvo type="max"/>
        <color rgb="FFF8696B"/>
        <color rgb="FFFFEB84"/>
        <color rgb="FF63BE7B"/>
      </colorScale>
    </cfRule>
    <cfRule type="cellIs" dxfId="7418" priority="15604" operator="equal">
      <formula>"Tax"</formula>
    </cfRule>
  </conditionalFormatting>
  <conditionalFormatting sqref="F124">
    <cfRule type="dataBar" priority="15581">
      <dataBar>
        <cfvo type="min"/>
        <cfvo type="max"/>
        <color rgb="FF638EC6"/>
      </dataBar>
    </cfRule>
    <cfRule type="colorScale" priority="15582">
      <colorScale>
        <cfvo type="min"/>
        <cfvo type="percentile" val="50"/>
        <cfvo type="max"/>
        <color rgb="FFF8696B"/>
        <color rgb="FFFFEB84"/>
        <color rgb="FF63BE7B"/>
      </colorScale>
    </cfRule>
    <cfRule type="cellIs" dxfId="7417" priority="15583" operator="equal">
      <formula>"Tax"</formula>
    </cfRule>
  </conditionalFormatting>
  <conditionalFormatting sqref="F125">
    <cfRule type="dataBar" priority="15535">
      <dataBar>
        <cfvo type="min"/>
        <cfvo type="max"/>
        <color rgb="FF638EC6"/>
      </dataBar>
    </cfRule>
    <cfRule type="colorScale" priority="15536">
      <colorScale>
        <cfvo type="min"/>
        <cfvo type="percentile" val="50"/>
        <cfvo type="max"/>
        <color rgb="FFF8696B"/>
        <color rgb="FFFFEB84"/>
        <color rgb="FF63BE7B"/>
      </colorScale>
    </cfRule>
    <cfRule type="cellIs" dxfId="7416" priority="15537" operator="equal">
      <formula>"Tax"</formula>
    </cfRule>
  </conditionalFormatting>
  <conditionalFormatting sqref="F126">
    <cfRule type="dataBar" priority="15518">
      <dataBar>
        <cfvo type="min"/>
        <cfvo type="max"/>
        <color rgb="FF638EC6"/>
      </dataBar>
    </cfRule>
    <cfRule type="colorScale" priority="15519">
      <colorScale>
        <cfvo type="min"/>
        <cfvo type="percentile" val="50"/>
        <cfvo type="max"/>
        <color rgb="FFF8696B"/>
        <color rgb="FFFFEB84"/>
        <color rgb="FF63BE7B"/>
      </colorScale>
    </cfRule>
    <cfRule type="cellIs" dxfId="7415" priority="15520" operator="equal">
      <formula>"Tax"</formula>
    </cfRule>
  </conditionalFormatting>
  <conditionalFormatting sqref="F127">
    <cfRule type="dataBar" priority="15494">
      <dataBar>
        <cfvo type="min"/>
        <cfvo type="max"/>
        <color rgb="FF638EC6"/>
      </dataBar>
    </cfRule>
    <cfRule type="colorScale" priority="15495">
      <colorScale>
        <cfvo type="min"/>
        <cfvo type="percentile" val="50"/>
        <cfvo type="max"/>
        <color rgb="FFF8696B"/>
        <color rgb="FFFFEB84"/>
        <color rgb="FF63BE7B"/>
      </colorScale>
    </cfRule>
  </conditionalFormatting>
  <conditionalFormatting sqref="F127:F128">
    <cfRule type="cellIs" dxfId="7414" priority="15496" operator="equal">
      <formula>"Tax"</formula>
    </cfRule>
  </conditionalFormatting>
  <conditionalFormatting sqref="F128 F121">
    <cfRule type="dataBar" priority="191593">
      <dataBar>
        <cfvo type="min"/>
        <cfvo type="max"/>
        <color rgb="FF638EC6"/>
      </dataBar>
    </cfRule>
    <cfRule type="colorScale" priority="191594">
      <colorScale>
        <cfvo type="min"/>
        <cfvo type="percentile" val="50"/>
        <cfvo type="max"/>
        <color rgb="FFF8696B"/>
        <color rgb="FFFFEB84"/>
        <color rgb="FF63BE7B"/>
      </colorScale>
    </cfRule>
    <cfRule type="dataBar" priority="191596">
      <dataBar>
        <cfvo type="min"/>
        <cfvo type="max"/>
        <color rgb="FF638EC6"/>
      </dataBar>
    </cfRule>
    <cfRule type="colorScale" priority="191597">
      <colorScale>
        <cfvo type="min"/>
        <cfvo type="percentile" val="50"/>
        <cfvo type="max"/>
        <color rgb="FFF8696B"/>
        <color rgb="FFFFEB84"/>
        <color rgb="FF63BE7B"/>
      </colorScale>
    </cfRule>
  </conditionalFormatting>
  <conditionalFormatting sqref="F129:F130">
    <cfRule type="dataBar" priority="15428">
      <dataBar>
        <cfvo type="min"/>
        <cfvo type="max"/>
        <color rgb="FF638EC6"/>
      </dataBar>
    </cfRule>
    <cfRule type="colorScale" priority="15429">
      <colorScale>
        <cfvo type="min"/>
        <cfvo type="percentile" val="50"/>
        <cfvo type="max"/>
        <color rgb="FFF8696B"/>
        <color rgb="FFFFEB84"/>
        <color rgb="FF63BE7B"/>
      </colorScale>
    </cfRule>
    <cfRule type="cellIs" dxfId="7413" priority="15430" operator="equal">
      <formula>"Tax"</formula>
    </cfRule>
  </conditionalFormatting>
  <conditionalFormatting sqref="F129:F131">
    <cfRule type="cellIs" dxfId="7412" priority="15421" operator="equal">
      <formula>"Income"</formula>
    </cfRule>
    <cfRule type="cellIs" dxfId="7411" priority="15422" operator="equal">
      <formula>"Cost of Sales"</formula>
    </cfRule>
    <cfRule type="cellIs" dxfId="7410" priority="15423" operator="equal">
      <formula>"Payroll"</formula>
    </cfRule>
    <cfRule type="cellIs" dxfId="7409" priority="15424" operator="equal">
      <formula>"Investment"</formula>
    </cfRule>
    <cfRule type="cellIs" dxfId="7408" priority="15425" operator="equal">
      <formula>"Sunk"</formula>
    </cfRule>
    <cfRule type="cellIs" dxfId="7407" priority="15426" operator="equal">
      <formula>"OpEx"</formula>
    </cfRule>
    <cfRule type="cellIs" dxfId="7406" priority="15427" operator="equal">
      <formula>"CapEx"</formula>
    </cfRule>
  </conditionalFormatting>
  <conditionalFormatting sqref="F131">
    <cfRule type="dataBar" priority="15418">
      <dataBar>
        <cfvo type="min"/>
        <cfvo type="max"/>
        <color rgb="FF638EC6"/>
      </dataBar>
    </cfRule>
    <cfRule type="colorScale" priority="15419">
      <colorScale>
        <cfvo type="min"/>
        <cfvo type="percentile" val="50"/>
        <cfvo type="max"/>
        <color rgb="FFF8696B"/>
        <color rgb="FFFFEB84"/>
        <color rgb="FF63BE7B"/>
      </colorScale>
    </cfRule>
    <cfRule type="cellIs" dxfId="7405" priority="15420" operator="equal">
      <formula>"Tax"</formula>
    </cfRule>
  </conditionalFormatting>
  <conditionalFormatting sqref="F132">
    <cfRule type="dataBar" priority="15462">
      <dataBar>
        <cfvo type="min"/>
        <cfvo type="max"/>
        <color rgb="FF638EC6"/>
      </dataBar>
    </cfRule>
    <cfRule type="colorScale" priority="15463">
      <colorScale>
        <cfvo type="min"/>
        <cfvo type="percentile" val="50"/>
        <cfvo type="max"/>
        <color rgb="FFF8696B"/>
        <color rgb="FFFFEB84"/>
        <color rgb="FF63BE7B"/>
      </colorScale>
    </cfRule>
    <cfRule type="cellIs" dxfId="7404" priority="15464" operator="equal">
      <formula>"Tax"</formula>
    </cfRule>
  </conditionalFormatting>
  <conditionalFormatting sqref="F132:F134">
    <cfRule type="cellIs" dxfId="7403" priority="15437" operator="equal">
      <formula>"Cost of Sales"</formula>
    </cfRule>
    <cfRule type="cellIs" dxfId="7402" priority="15438" operator="equal">
      <formula>"Payroll"</formula>
    </cfRule>
    <cfRule type="cellIs" dxfId="7401" priority="15439" operator="equal">
      <formula>"Investment"</formula>
    </cfRule>
    <cfRule type="cellIs" dxfId="7400" priority="15440" operator="equal">
      <formula>"Sunk"</formula>
    </cfRule>
    <cfRule type="cellIs" dxfId="7399" priority="15441" operator="equal">
      <formula>"OpEx"</formula>
    </cfRule>
    <cfRule type="cellIs" dxfId="7398" priority="15442" operator="equal">
      <formula>"CapEx"</formula>
    </cfRule>
    <cfRule type="cellIs" dxfId="7397" priority="15443" operator="equal">
      <formula>"Income"</formula>
    </cfRule>
  </conditionalFormatting>
  <conditionalFormatting sqref="F133">
    <cfRule type="dataBar" priority="15434">
      <dataBar>
        <cfvo type="min"/>
        <cfvo type="max"/>
        <color rgb="FF638EC6"/>
      </dataBar>
    </cfRule>
    <cfRule type="colorScale" priority="15435">
      <colorScale>
        <cfvo type="min"/>
        <cfvo type="percentile" val="50"/>
        <cfvo type="max"/>
        <color rgb="FFF8696B"/>
        <color rgb="FFFFEB84"/>
        <color rgb="FF63BE7B"/>
      </colorScale>
    </cfRule>
    <cfRule type="cellIs" dxfId="7396" priority="15436" operator="equal">
      <formula>"Tax"</formula>
    </cfRule>
  </conditionalFormatting>
  <conditionalFormatting sqref="F134">
    <cfRule type="dataBar" priority="15431">
      <dataBar>
        <cfvo type="min"/>
        <cfvo type="max"/>
        <color rgb="FF638EC6"/>
      </dataBar>
    </cfRule>
    <cfRule type="colorScale" priority="15432">
      <colorScale>
        <cfvo type="min"/>
        <cfvo type="percentile" val="50"/>
        <cfvo type="max"/>
        <color rgb="FFF8696B"/>
        <color rgb="FFFFEB84"/>
        <color rgb="FF63BE7B"/>
      </colorScale>
    </cfRule>
    <cfRule type="cellIs" dxfId="7395" priority="15433" operator="equal">
      <formula>"Tax"</formula>
    </cfRule>
  </conditionalFormatting>
  <conditionalFormatting sqref="F135">
    <cfRule type="dataBar" priority="15404">
      <dataBar>
        <cfvo type="min"/>
        <cfvo type="max"/>
        <color rgb="FF638EC6"/>
      </dataBar>
    </cfRule>
    <cfRule type="colorScale" priority="15405">
      <colorScale>
        <cfvo type="min"/>
        <cfvo type="percentile" val="50"/>
        <cfvo type="max"/>
        <color rgb="FFF8696B"/>
        <color rgb="FFFFEB84"/>
        <color rgb="FF63BE7B"/>
      </colorScale>
    </cfRule>
    <cfRule type="cellIs" dxfId="7394" priority="15406" operator="equal">
      <formula>"Tax"</formula>
    </cfRule>
  </conditionalFormatting>
  <conditionalFormatting sqref="F135:F136 F138 F145 F160:F161">
    <cfRule type="cellIs" dxfId="7393" priority="15376" operator="equal">
      <formula>"Income"</formula>
    </cfRule>
    <cfRule type="cellIs" dxfId="7392" priority="15377" operator="equal">
      <formula>"Cost of Sales"</formula>
    </cfRule>
    <cfRule type="cellIs" dxfId="7391" priority="15378" operator="equal">
      <formula>"Payroll"</formula>
    </cfRule>
    <cfRule type="cellIs" dxfId="7390" priority="15379" operator="equal">
      <formula>"Investment"</formula>
    </cfRule>
    <cfRule type="cellIs" dxfId="7389" priority="15380" operator="equal">
      <formula>"Sunk"</formula>
    </cfRule>
    <cfRule type="cellIs" dxfId="7388" priority="15381" operator="equal">
      <formula>"OpEx"</formula>
    </cfRule>
    <cfRule type="cellIs" dxfId="7387" priority="15382" operator="equal">
      <formula>"CapEx"</formula>
    </cfRule>
  </conditionalFormatting>
  <conditionalFormatting sqref="F136 F138 F145 F160">
    <cfRule type="cellIs" dxfId="7386" priority="15375" operator="equal">
      <formula>"Tax"</formula>
    </cfRule>
  </conditionalFormatting>
  <conditionalFormatting sqref="F136 F138 F145 F160:F161">
    <cfRule type="cellIs" dxfId="7385" priority="15385" operator="equal">
      <formula>"Tax"</formula>
    </cfRule>
  </conditionalFormatting>
  <conditionalFormatting sqref="F136:F138">
    <cfRule type="cellIs" dxfId="7384" priority="15347" operator="equal">
      <formula>"Cost of Sales"</formula>
    </cfRule>
    <cfRule type="cellIs" dxfId="7383" priority="15348" operator="equal">
      <formula>"Payroll"</formula>
    </cfRule>
    <cfRule type="cellIs" dxfId="7382" priority="15349" operator="equal">
      <formula>"Investment"</formula>
    </cfRule>
    <cfRule type="cellIs" dxfId="7381" priority="15350" operator="equal">
      <formula>"Sunk"</formula>
    </cfRule>
    <cfRule type="cellIs" dxfId="7380" priority="15351" operator="equal">
      <formula>"OpEx"</formula>
    </cfRule>
    <cfRule type="cellIs" dxfId="7379" priority="15352" operator="equal">
      <formula>"CapEx"</formula>
    </cfRule>
    <cfRule type="cellIs" dxfId="7378" priority="15353" operator="equal">
      <formula>"Income"</formula>
    </cfRule>
  </conditionalFormatting>
  <conditionalFormatting sqref="F137">
    <cfRule type="cellIs" dxfId="7377" priority="15324" operator="equal">
      <formula>"Cost of Sales"</formula>
    </cfRule>
    <cfRule type="cellIs" dxfId="7376" priority="15325" operator="equal">
      <formula>"Payroll"</formula>
    </cfRule>
    <cfRule type="cellIs" dxfId="7375" priority="15326" operator="equal">
      <formula>"Investment"</formula>
    </cfRule>
    <cfRule type="cellIs" dxfId="7374" priority="15327" operator="equal">
      <formula>"Sunk"</formula>
    </cfRule>
    <cfRule type="cellIs" dxfId="7373" priority="15328" operator="equal">
      <formula>"OpEx"</formula>
    </cfRule>
    <cfRule type="cellIs" dxfId="7372" priority="15329" operator="equal">
      <formula>"CapEx"</formula>
    </cfRule>
    <cfRule type="cellIs" dxfId="7371" priority="15330" operator="equal">
      <formula>"Income"</formula>
    </cfRule>
    <cfRule type="dataBar" priority="15338">
      <dataBar>
        <cfvo type="min"/>
        <cfvo type="max"/>
        <color rgb="FF638EC6"/>
      </dataBar>
    </cfRule>
    <cfRule type="colorScale" priority="15339">
      <colorScale>
        <cfvo type="min"/>
        <cfvo type="percentile" val="50"/>
        <cfvo type="max"/>
        <color rgb="FFF8696B"/>
        <color rgb="FFFFEB84"/>
        <color rgb="FF63BE7B"/>
      </colorScale>
    </cfRule>
    <cfRule type="cellIs" dxfId="7370" priority="15343" operator="equal">
      <formula>"Tax"</formula>
    </cfRule>
    <cfRule type="dataBar" priority="15344">
      <dataBar>
        <cfvo type="min"/>
        <cfvo type="max"/>
        <color rgb="FF638EC6"/>
      </dataBar>
    </cfRule>
    <cfRule type="colorScale" priority="15345">
      <colorScale>
        <cfvo type="min"/>
        <cfvo type="percentile" val="50"/>
        <cfvo type="max"/>
        <color rgb="FFF8696B"/>
        <color rgb="FFFFEB84"/>
        <color rgb="FF63BE7B"/>
      </colorScale>
    </cfRule>
    <cfRule type="cellIs" dxfId="7369" priority="15346" operator="equal">
      <formula>"Tax"</formula>
    </cfRule>
  </conditionalFormatting>
  <conditionalFormatting sqref="F139">
    <cfRule type="cellIs" dxfId="7368" priority="14922" operator="equal">
      <formula>"Cost of Sales"</formula>
    </cfRule>
    <cfRule type="cellIs" dxfId="7367" priority="14923" operator="equal">
      <formula>"Payroll"</formula>
    </cfRule>
    <cfRule type="cellIs" dxfId="7366" priority="14924" operator="equal">
      <formula>"Investment"</formula>
    </cfRule>
    <cfRule type="cellIs" dxfId="7365" priority="14925" operator="equal">
      <formula>"Sunk"</formula>
    </cfRule>
    <cfRule type="cellIs" dxfId="7364" priority="14926" operator="equal">
      <formula>"OpEx"</formula>
    </cfRule>
    <cfRule type="cellIs" dxfId="7363" priority="14927" operator="equal">
      <formula>"CapEx"</formula>
    </cfRule>
    <cfRule type="cellIs" dxfId="7362" priority="14928" operator="equal">
      <formula>"Income"</formula>
    </cfRule>
    <cfRule type="dataBar" priority="14929">
      <dataBar>
        <cfvo type="min"/>
        <cfvo type="max"/>
        <color rgb="FF638EC6"/>
      </dataBar>
    </cfRule>
    <cfRule type="colorScale" priority="14930">
      <colorScale>
        <cfvo type="min"/>
        <cfvo type="percentile" val="50"/>
        <cfvo type="max"/>
        <color rgb="FFF8696B"/>
        <color rgb="FFFFEB84"/>
        <color rgb="FF63BE7B"/>
      </colorScale>
    </cfRule>
    <cfRule type="cellIs" dxfId="7361" priority="14931" operator="equal">
      <formula>"Tax"</formula>
    </cfRule>
    <cfRule type="cellIs" dxfId="7360" priority="14932" operator="equal">
      <formula>"Income"</formula>
    </cfRule>
    <cfRule type="cellIs" dxfId="7359" priority="14933" operator="equal">
      <formula>"Cost of Sales"</formula>
    </cfRule>
    <cfRule type="cellIs" dxfId="7358" priority="14934" operator="equal">
      <formula>"Payroll"</formula>
    </cfRule>
    <cfRule type="cellIs" dxfId="7357" priority="14935" operator="equal">
      <formula>"Investment"</formula>
    </cfRule>
    <cfRule type="cellIs" dxfId="7356" priority="14936" operator="equal">
      <formula>"Sunk"</formula>
    </cfRule>
    <cfRule type="cellIs" dxfId="7355" priority="14937" operator="equal">
      <formula>"OpEx"</formula>
    </cfRule>
    <cfRule type="cellIs" dxfId="7354" priority="14938" operator="equal">
      <formula>"CapEx"</formula>
    </cfRule>
    <cfRule type="dataBar" priority="14939">
      <dataBar>
        <cfvo type="min"/>
        <cfvo type="max"/>
        <color rgb="FF638EC6"/>
      </dataBar>
    </cfRule>
    <cfRule type="colorScale" priority="14940">
      <colorScale>
        <cfvo type="min"/>
        <cfvo type="percentile" val="50"/>
        <cfvo type="max"/>
        <color rgb="FFF8696B"/>
        <color rgb="FFFFEB84"/>
        <color rgb="FF63BE7B"/>
      </colorScale>
    </cfRule>
    <cfRule type="cellIs" dxfId="7353" priority="14941" operator="equal">
      <formula>"Tax"</formula>
    </cfRule>
  </conditionalFormatting>
  <conditionalFormatting sqref="F140">
    <cfRule type="dataBar" priority="15301">
      <dataBar>
        <cfvo type="min"/>
        <cfvo type="max"/>
        <color rgb="FF638EC6"/>
      </dataBar>
    </cfRule>
    <cfRule type="colorScale" priority="15302">
      <colorScale>
        <cfvo type="min"/>
        <cfvo type="percentile" val="50"/>
        <cfvo type="max"/>
        <color rgb="FFF8696B"/>
        <color rgb="FFFFEB84"/>
        <color rgb="FF63BE7B"/>
      </colorScale>
    </cfRule>
    <cfRule type="cellIs" dxfId="7352" priority="15303" operator="equal">
      <formula>"Tax"</formula>
    </cfRule>
    <cfRule type="cellIs" dxfId="7351" priority="15304" operator="equal">
      <formula>"Income"</formula>
    </cfRule>
    <cfRule type="cellIs" dxfId="7350" priority="15305" operator="equal">
      <formula>"Cost of Sales"</formula>
    </cfRule>
    <cfRule type="cellIs" dxfId="7349" priority="15306" operator="equal">
      <formula>"Payroll"</formula>
    </cfRule>
    <cfRule type="cellIs" dxfId="7348" priority="15307" operator="equal">
      <formula>"Investment"</formula>
    </cfRule>
    <cfRule type="cellIs" dxfId="7347" priority="15308" operator="equal">
      <formula>"Sunk"</formula>
    </cfRule>
    <cfRule type="cellIs" dxfId="7346" priority="15309" operator="equal">
      <formula>"OpEx"</formula>
    </cfRule>
    <cfRule type="cellIs" dxfId="7345" priority="15310" operator="equal">
      <formula>"CapEx"</formula>
    </cfRule>
  </conditionalFormatting>
  <conditionalFormatting sqref="F141">
    <cfRule type="dataBar" priority="15284">
      <dataBar>
        <cfvo type="min"/>
        <cfvo type="max"/>
        <color rgb="FF638EC6"/>
      </dataBar>
    </cfRule>
    <cfRule type="colorScale" priority="15285">
      <colorScale>
        <cfvo type="min"/>
        <cfvo type="percentile" val="50"/>
        <cfvo type="max"/>
        <color rgb="FFF8696B"/>
        <color rgb="FFFFEB84"/>
        <color rgb="FF63BE7B"/>
      </colorScale>
    </cfRule>
    <cfRule type="cellIs" dxfId="7344" priority="15286" operator="equal">
      <formula>"Tax"</formula>
    </cfRule>
    <cfRule type="cellIs" dxfId="7343" priority="15287" operator="equal">
      <formula>"Income"</formula>
    </cfRule>
    <cfRule type="cellIs" dxfId="7342" priority="15288" operator="equal">
      <formula>"Cost of Sales"</formula>
    </cfRule>
    <cfRule type="cellIs" dxfId="7341" priority="15289" operator="equal">
      <formula>"Payroll"</formula>
    </cfRule>
    <cfRule type="cellIs" dxfId="7340" priority="15290" operator="equal">
      <formula>"Investment"</formula>
    </cfRule>
    <cfRule type="cellIs" dxfId="7339" priority="15291" operator="equal">
      <formula>"Sunk"</formula>
    </cfRule>
    <cfRule type="cellIs" dxfId="7338" priority="15292" operator="equal">
      <formula>"OpEx"</formula>
    </cfRule>
    <cfRule type="cellIs" dxfId="7337" priority="15293" operator="equal">
      <formula>"CapEx"</formula>
    </cfRule>
  </conditionalFormatting>
  <conditionalFormatting sqref="F142">
    <cfRule type="dataBar" priority="15262">
      <dataBar>
        <cfvo type="min"/>
        <cfvo type="max"/>
        <color rgb="FF638EC6"/>
      </dataBar>
    </cfRule>
    <cfRule type="colorScale" priority="15263">
      <colorScale>
        <cfvo type="min"/>
        <cfvo type="percentile" val="50"/>
        <cfvo type="max"/>
        <color rgb="FFF8696B"/>
        <color rgb="FFFFEB84"/>
        <color rgb="FF63BE7B"/>
      </colorScale>
    </cfRule>
    <cfRule type="cellIs" dxfId="7336" priority="15264" operator="equal">
      <formula>"Tax"</formula>
    </cfRule>
    <cfRule type="cellIs" dxfId="7335" priority="15265" operator="equal">
      <formula>"Income"</formula>
    </cfRule>
    <cfRule type="cellIs" dxfId="7334" priority="15266" operator="equal">
      <formula>"Cost of Sales"</formula>
    </cfRule>
    <cfRule type="cellIs" dxfId="7333" priority="15267" operator="equal">
      <formula>"Payroll"</formula>
    </cfRule>
    <cfRule type="cellIs" dxfId="7332" priority="15268" operator="equal">
      <formula>"Investment"</formula>
    </cfRule>
    <cfRule type="cellIs" dxfId="7331" priority="15269" operator="equal">
      <formula>"Sunk"</formula>
    </cfRule>
    <cfRule type="cellIs" dxfId="7330" priority="15270" operator="equal">
      <formula>"OpEx"</formula>
    </cfRule>
    <cfRule type="cellIs" dxfId="7329" priority="15271" operator="equal">
      <formula>"CapEx"</formula>
    </cfRule>
  </conditionalFormatting>
  <conditionalFormatting sqref="F143">
    <cfRule type="dataBar" priority="15241">
      <dataBar>
        <cfvo type="min"/>
        <cfvo type="max"/>
        <color rgb="FF638EC6"/>
      </dataBar>
    </cfRule>
    <cfRule type="colorScale" priority="15242">
      <colorScale>
        <cfvo type="min"/>
        <cfvo type="percentile" val="50"/>
        <cfvo type="max"/>
        <color rgb="FFF8696B"/>
        <color rgb="FFFFEB84"/>
        <color rgb="FF63BE7B"/>
      </colorScale>
    </cfRule>
    <cfRule type="cellIs" dxfId="7328" priority="15243" operator="equal">
      <formula>"Tax"</formula>
    </cfRule>
    <cfRule type="cellIs" dxfId="7327" priority="15244" operator="equal">
      <formula>"Cost of Sales"</formula>
    </cfRule>
    <cfRule type="cellIs" dxfId="7326" priority="15245" operator="equal">
      <formula>"Payroll"</formula>
    </cfRule>
    <cfRule type="cellIs" dxfId="7325" priority="15246" operator="equal">
      <formula>"Investment"</formula>
    </cfRule>
    <cfRule type="cellIs" dxfId="7324" priority="15247" operator="equal">
      <formula>"Sunk"</formula>
    </cfRule>
    <cfRule type="cellIs" dxfId="7323" priority="15248" operator="equal">
      <formula>"OpEx"</formula>
    </cfRule>
    <cfRule type="cellIs" dxfId="7322" priority="15249" operator="equal">
      <formula>"CapEx"</formula>
    </cfRule>
    <cfRule type="dataBar" priority="15250">
      <dataBar>
        <cfvo type="min"/>
        <cfvo type="max"/>
        <color rgb="FF638EC6"/>
      </dataBar>
    </cfRule>
    <cfRule type="colorScale" priority="15251">
      <colorScale>
        <cfvo type="min"/>
        <cfvo type="percentile" val="50"/>
        <cfvo type="max"/>
        <color rgb="FFF8696B"/>
        <color rgb="FFFFEB84"/>
        <color rgb="FF63BE7B"/>
      </colorScale>
    </cfRule>
    <cfRule type="cellIs" dxfId="7321" priority="15252" operator="equal">
      <formula>"Tax"</formula>
    </cfRule>
    <cfRule type="cellIs" dxfId="7320" priority="15253" operator="equal">
      <formula>"Income"</formula>
    </cfRule>
  </conditionalFormatting>
  <conditionalFormatting sqref="F143:F145">
    <cfRule type="cellIs" dxfId="7319" priority="15216" operator="equal">
      <formula>"Cost of Sales"</formula>
    </cfRule>
    <cfRule type="cellIs" dxfId="7318" priority="15217" operator="equal">
      <formula>"Payroll"</formula>
    </cfRule>
    <cfRule type="cellIs" dxfId="7317" priority="15218" operator="equal">
      <formula>"Investment"</formula>
    </cfRule>
    <cfRule type="cellIs" dxfId="7316" priority="15219" operator="equal">
      <formula>"Sunk"</formula>
    </cfRule>
    <cfRule type="cellIs" dxfId="7315" priority="15220" operator="equal">
      <formula>"OpEx"</formula>
    </cfRule>
    <cfRule type="cellIs" dxfId="7314" priority="15221" operator="equal">
      <formula>"CapEx"</formula>
    </cfRule>
    <cfRule type="cellIs" dxfId="7313" priority="15222" operator="equal">
      <formula>"Income"</formula>
    </cfRule>
  </conditionalFormatting>
  <conditionalFormatting sqref="F144">
    <cfRule type="cellIs" dxfId="7312" priority="15185" operator="equal">
      <formula>"Cost of Sales"</formula>
    </cfRule>
    <cfRule type="cellIs" dxfId="7311" priority="15186" operator="equal">
      <formula>"Payroll"</formula>
    </cfRule>
    <cfRule type="cellIs" dxfId="7310" priority="15187" operator="equal">
      <formula>"Investment"</formula>
    </cfRule>
    <cfRule type="cellIs" dxfId="7309" priority="15188" operator="equal">
      <formula>"Sunk"</formula>
    </cfRule>
    <cfRule type="cellIs" dxfId="7308" priority="15189" operator="equal">
      <formula>"OpEx"</formula>
    </cfRule>
    <cfRule type="cellIs" dxfId="7307" priority="15190" operator="equal">
      <formula>"CapEx"</formula>
    </cfRule>
    <cfRule type="dataBar" priority="15191">
      <dataBar>
        <cfvo type="min"/>
        <cfvo type="max"/>
        <color rgb="FF638EC6"/>
      </dataBar>
    </cfRule>
    <cfRule type="colorScale" priority="15192">
      <colorScale>
        <cfvo type="min"/>
        <cfvo type="percentile" val="50"/>
        <cfvo type="max"/>
        <color rgb="FFF8696B"/>
        <color rgb="FFFFEB84"/>
        <color rgb="FF63BE7B"/>
      </colorScale>
    </cfRule>
    <cfRule type="cellIs" dxfId="7306" priority="15193" operator="equal">
      <formula>"Tax"</formula>
    </cfRule>
    <cfRule type="cellIs" dxfId="7305" priority="15194" operator="equal">
      <formula>"Income"</formula>
    </cfRule>
    <cfRule type="dataBar" priority="15214">
      <dataBar>
        <cfvo type="min"/>
        <cfvo type="max"/>
        <color rgb="FF638EC6"/>
      </dataBar>
    </cfRule>
    <cfRule type="colorScale" priority="15215">
      <colorScale>
        <cfvo type="min"/>
        <cfvo type="percentile" val="50"/>
        <cfvo type="max"/>
        <color rgb="FFF8696B"/>
        <color rgb="FFFFEB84"/>
        <color rgb="FF63BE7B"/>
      </colorScale>
    </cfRule>
  </conditionalFormatting>
  <conditionalFormatting sqref="F146">
    <cfRule type="dataBar" priority="15141">
      <dataBar>
        <cfvo type="min"/>
        <cfvo type="max"/>
        <color rgb="FF638EC6"/>
      </dataBar>
    </cfRule>
    <cfRule type="colorScale" priority="15142">
      <colorScale>
        <cfvo type="min"/>
        <cfvo type="percentile" val="50"/>
        <cfvo type="max"/>
        <color rgb="FFF8696B"/>
        <color rgb="FFFFEB84"/>
        <color rgb="FF63BE7B"/>
      </colorScale>
    </cfRule>
    <cfRule type="cellIs" dxfId="7304" priority="15143" operator="equal">
      <formula>"Tax"</formula>
    </cfRule>
    <cfRule type="cellIs" dxfId="7303" priority="15144" operator="equal">
      <formula>"Income"</formula>
    </cfRule>
    <cfRule type="cellIs" dxfId="7302" priority="15145" operator="equal">
      <formula>"Cost of Sales"</formula>
    </cfRule>
    <cfRule type="cellIs" dxfId="7301" priority="15146" operator="equal">
      <formula>"Payroll"</formula>
    </cfRule>
    <cfRule type="cellIs" dxfId="7300" priority="15147" operator="equal">
      <formula>"Investment"</formula>
    </cfRule>
    <cfRule type="cellIs" dxfId="7299" priority="15148" operator="equal">
      <formula>"Sunk"</formula>
    </cfRule>
    <cfRule type="cellIs" dxfId="7298" priority="15149" operator="equal">
      <formula>"OpEx"</formula>
    </cfRule>
    <cfRule type="cellIs" dxfId="7297" priority="15150" operator="equal">
      <formula>"CapEx"</formula>
    </cfRule>
  </conditionalFormatting>
  <conditionalFormatting sqref="F147">
    <cfRule type="dataBar" priority="15162">
      <dataBar>
        <cfvo type="min"/>
        <cfvo type="max"/>
        <color rgb="FF638EC6"/>
      </dataBar>
    </cfRule>
    <cfRule type="colorScale" priority="15163">
      <colorScale>
        <cfvo type="min"/>
        <cfvo type="percentile" val="50"/>
        <cfvo type="max"/>
        <color rgb="FFF8696B"/>
        <color rgb="FFFFEB84"/>
        <color rgb="FF63BE7B"/>
      </colorScale>
    </cfRule>
    <cfRule type="cellIs" dxfId="7296" priority="15164" operator="equal">
      <formula>"Tax"</formula>
    </cfRule>
    <cfRule type="cellIs" dxfId="7295" priority="15165" operator="equal">
      <formula>"Income"</formula>
    </cfRule>
    <cfRule type="cellIs" dxfId="7294" priority="15166" operator="equal">
      <formula>"Cost of Sales"</formula>
    </cfRule>
    <cfRule type="cellIs" dxfId="7293" priority="15167" operator="equal">
      <formula>"Payroll"</formula>
    </cfRule>
    <cfRule type="cellIs" dxfId="7292" priority="15168" operator="equal">
      <formula>"Investment"</formula>
    </cfRule>
    <cfRule type="cellIs" dxfId="7291" priority="15169" operator="equal">
      <formula>"Sunk"</formula>
    </cfRule>
    <cfRule type="cellIs" dxfId="7290" priority="15170" operator="equal">
      <formula>"OpEx"</formula>
    </cfRule>
    <cfRule type="cellIs" dxfId="7289" priority="15171" operator="equal">
      <formula>"CapEx"</formula>
    </cfRule>
  </conditionalFormatting>
  <conditionalFormatting sqref="F148">
    <cfRule type="dataBar" priority="15119">
      <dataBar>
        <cfvo type="min"/>
        <cfvo type="max"/>
        <color rgb="FF638EC6"/>
      </dataBar>
    </cfRule>
    <cfRule type="colorScale" priority="15120">
      <colorScale>
        <cfvo type="min"/>
        <cfvo type="percentile" val="50"/>
        <cfvo type="max"/>
        <color rgb="FFF8696B"/>
        <color rgb="FFFFEB84"/>
        <color rgb="FF63BE7B"/>
      </colorScale>
    </cfRule>
    <cfRule type="cellIs" dxfId="7288" priority="15121" operator="equal">
      <formula>"Tax"</formula>
    </cfRule>
    <cfRule type="cellIs" dxfId="7287" priority="15122" operator="equal">
      <formula>"Income"</formula>
    </cfRule>
    <cfRule type="cellIs" dxfId="7286" priority="15123" operator="equal">
      <formula>"Cost of Sales"</formula>
    </cfRule>
    <cfRule type="cellIs" dxfId="7285" priority="15124" operator="equal">
      <formula>"Payroll"</formula>
    </cfRule>
    <cfRule type="cellIs" dxfId="7284" priority="15125" operator="equal">
      <formula>"Investment"</formula>
    </cfRule>
    <cfRule type="cellIs" dxfId="7283" priority="15126" operator="equal">
      <formula>"Sunk"</formula>
    </cfRule>
    <cfRule type="cellIs" dxfId="7282" priority="15127" operator="equal">
      <formula>"OpEx"</formula>
    </cfRule>
    <cfRule type="cellIs" dxfId="7281" priority="15128" operator="equal">
      <formula>"CapEx"</formula>
    </cfRule>
  </conditionalFormatting>
  <conditionalFormatting sqref="F149">
    <cfRule type="dataBar" priority="15103">
      <dataBar>
        <cfvo type="min"/>
        <cfvo type="max"/>
        <color rgb="FF638EC6"/>
      </dataBar>
    </cfRule>
    <cfRule type="colorScale" priority="15104">
      <colorScale>
        <cfvo type="min"/>
        <cfvo type="percentile" val="50"/>
        <cfvo type="max"/>
        <color rgb="FFF8696B"/>
        <color rgb="FFFFEB84"/>
        <color rgb="FF63BE7B"/>
      </colorScale>
    </cfRule>
    <cfRule type="cellIs" dxfId="7280" priority="15105" operator="equal">
      <formula>"Tax"</formula>
    </cfRule>
    <cfRule type="cellIs" dxfId="7279" priority="15106" operator="equal">
      <formula>"Income"</formula>
    </cfRule>
  </conditionalFormatting>
  <conditionalFormatting sqref="F149:F150">
    <cfRule type="cellIs" dxfId="7278" priority="15073" operator="equal">
      <formula>"Cost of Sales"</formula>
    </cfRule>
    <cfRule type="cellIs" dxfId="7277" priority="15074" operator="equal">
      <formula>"Payroll"</formula>
    </cfRule>
    <cfRule type="cellIs" dxfId="7276" priority="15075" operator="equal">
      <formula>"Investment"</formula>
    </cfRule>
    <cfRule type="cellIs" dxfId="7275" priority="15076" operator="equal">
      <formula>"Sunk"</formula>
    </cfRule>
    <cfRule type="cellIs" dxfId="7274" priority="15077" operator="equal">
      <formula>"OpEx"</formula>
    </cfRule>
    <cfRule type="cellIs" dxfId="7273" priority="15078" operator="equal">
      <formula>"CapEx"</formula>
    </cfRule>
  </conditionalFormatting>
  <conditionalFormatting sqref="F150">
    <cfRule type="dataBar" priority="15069">
      <dataBar>
        <cfvo type="min"/>
        <cfvo type="max"/>
        <color rgb="FF638EC6"/>
      </dataBar>
    </cfRule>
    <cfRule type="colorScale" priority="15070">
      <colorScale>
        <cfvo type="min"/>
        <cfvo type="percentile" val="50"/>
        <cfvo type="max"/>
        <color rgb="FFF8696B"/>
        <color rgb="FFFFEB84"/>
        <color rgb="FF63BE7B"/>
      </colorScale>
    </cfRule>
    <cfRule type="cellIs" dxfId="7272" priority="15071" operator="equal">
      <formula>"Tax"</formula>
    </cfRule>
    <cfRule type="cellIs" dxfId="7271" priority="15072" operator="equal">
      <formula>"Income"</formula>
    </cfRule>
  </conditionalFormatting>
  <conditionalFormatting sqref="F151">
    <cfRule type="dataBar" priority="15055">
      <dataBar>
        <cfvo type="min"/>
        <cfvo type="max"/>
        <color rgb="FF638EC6"/>
      </dataBar>
    </cfRule>
    <cfRule type="colorScale" priority="15056">
      <colorScale>
        <cfvo type="min"/>
        <cfvo type="percentile" val="50"/>
        <cfvo type="max"/>
        <color rgb="FFF8696B"/>
        <color rgb="FFFFEB84"/>
        <color rgb="FF63BE7B"/>
      </colorScale>
    </cfRule>
    <cfRule type="cellIs" dxfId="7270" priority="15057" operator="equal">
      <formula>"Cost of Sales"</formula>
    </cfRule>
    <cfRule type="cellIs" dxfId="7269" priority="15058" operator="equal">
      <formula>"Payroll"</formula>
    </cfRule>
    <cfRule type="cellIs" dxfId="7268" priority="15059" operator="equal">
      <formula>"Investment"</formula>
    </cfRule>
    <cfRule type="cellIs" dxfId="7267" priority="15060" operator="equal">
      <formula>"Sunk"</formula>
    </cfRule>
    <cfRule type="cellIs" dxfId="7266" priority="15061" operator="equal">
      <formula>"OpEx"</formula>
    </cfRule>
    <cfRule type="cellIs" dxfId="7265" priority="15062" operator="equal">
      <formula>"CapEx"</formula>
    </cfRule>
    <cfRule type="cellIs" dxfId="7264" priority="15063" operator="equal">
      <formula>"Income"</formula>
    </cfRule>
  </conditionalFormatting>
  <conditionalFormatting sqref="F151:F152">
    <cfRule type="cellIs" dxfId="7263" priority="15034" operator="equal">
      <formula>"Tax"</formula>
    </cfRule>
  </conditionalFormatting>
  <conditionalFormatting sqref="F152">
    <cfRule type="dataBar" priority="15029">
      <dataBar>
        <cfvo type="min"/>
        <cfvo type="max"/>
        <color rgb="FF638EC6"/>
      </dataBar>
    </cfRule>
    <cfRule type="colorScale" priority="15030">
      <colorScale>
        <cfvo type="min"/>
        <cfvo type="percentile" val="50"/>
        <cfvo type="max"/>
        <color rgb="FFF8696B"/>
        <color rgb="FFFFEB84"/>
        <color rgb="FF63BE7B"/>
      </colorScale>
    </cfRule>
    <cfRule type="cellIs" dxfId="7262" priority="15031" operator="equal">
      <formula>"Tax"</formula>
    </cfRule>
    <cfRule type="dataBar" priority="15032">
      <dataBar>
        <cfvo type="min"/>
        <cfvo type="max"/>
        <color rgb="FF638EC6"/>
      </dataBar>
    </cfRule>
    <cfRule type="colorScale" priority="15033">
      <colorScale>
        <cfvo type="min"/>
        <cfvo type="percentile" val="50"/>
        <cfvo type="max"/>
        <color rgb="FFF8696B"/>
        <color rgb="FFFFEB84"/>
        <color rgb="FF63BE7B"/>
      </colorScale>
    </cfRule>
    <cfRule type="cellIs" dxfId="7261" priority="15035" operator="equal">
      <formula>"Cost of Sales"</formula>
    </cfRule>
    <cfRule type="cellIs" dxfId="7260" priority="15036" operator="equal">
      <formula>"Payroll"</formula>
    </cfRule>
    <cfRule type="cellIs" dxfId="7259" priority="15037" operator="equal">
      <formula>"Investment"</formula>
    </cfRule>
    <cfRule type="cellIs" dxfId="7258" priority="15038" operator="equal">
      <formula>"Sunk"</formula>
    </cfRule>
    <cfRule type="cellIs" dxfId="7257" priority="15039" operator="equal">
      <formula>"OpEx"</formula>
    </cfRule>
    <cfRule type="cellIs" dxfId="7256" priority="15040" operator="equal">
      <formula>"CapEx"</formula>
    </cfRule>
    <cfRule type="cellIs" dxfId="7255" priority="15041" operator="equal">
      <formula>"Income"</formula>
    </cfRule>
  </conditionalFormatting>
  <conditionalFormatting sqref="F152:F153">
    <cfRule type="cellIs" dxfId="7254" priority="14993" operator="equal">
      <formula>"Cost of Sales"</formula>
    </cfRule>
    <cfRule type="cellIs" dxfId="7253" priority="14994" operator="equal">
      <formula>"Payroll"</formula>
    </cfRule>
    <cfRule type="cellIs" dxfId="7252" priority="14995" operator="equal">
      <formula>"Investment"</formula>
    </cfRule>
    <cfRule type="cellIs" dxfId="7251" priority="14996" operator="equal">
      <formula>"Sunk"</formula>
    </cfRule>
    <cfRule type="cellIs" dxfId="7250" priority="14997" operator="equal">
      <formula>"OpEx"</formula>
    </cfRule>
    <cfRule type="cellIs" dxfId="7249" priority="14998" operator="equal">
      <formula>"CapEx"</formula>
    </cfRule>
    <cfRule type="cellIs" dxfId="7248" priority="14999" operator="equal">
      <formula>"Income"</formula>
    </cfRule>
  </conditionalFormatting>
  <conditionalFormatting sqref="F153">
    <cfRule type="dataBar" priority="14987">
      <dataBar>
        <cfvo type="min"/>
        <cfvo type="max"/>
        <color rgb="FF638EC6"/>
      </dataBar>
    </cfRule>
    <cfRule type="colorScale" priority="14988">
      <colorScale>
        <cfvo type="min"/>
        <cfvo type="percentile" val="50"/>
        <cfvo type="max"/>
        <color rgb="FFF8696B"/>
        <color rgb="FFFFEB84"/>
        <color rgb="FF63BE7B"/>
      </colorScale>
    </cfRule>
    <cfRule type="cellIs" dxfId="7247" priority="14989" operator="equal">
      <formula>"Tax"</formula>
    </cfRule>
    <cfRule type="dataBar" priority="14990">
      <dataBar>
        <cfvo type="min"/>
        <cfvo type="max"/>
        <color rgb="FF638EC6"/>
      </dataBar>
    </cfRule>
    <cfRule type="colorScale" priority="14991">
      <colorScale>
        <cfvo type="min"/>
        <cfvo type="percentile" val="50"/>
        <cfvo type="max"/>
        <color rgb="FFF8696B"/>
        <color rgb="FFFFEB84"/>
        <color rgb="FF63BE7B"/>
      </colorScale>
    </cfRule>
    <cfRule type="cellIs" dxfId="7246" priority="14992" operator="equal">
      <formula>"Tax"</formula>
    </cfRule>
  </conditionalFormatting>
  <conditionalFormatting sqref="F153:F155">
    <cfRule type="cellIs" dxfId="7245" priority="14779" operator="equal">
      <formula>"Income"</formula>
    </cfRule>
    <cfRule type="cellIs" dxfId="7244" priority="14780" operator="equal">
      <formula>"Cost of Sales"</formula>
    </cfRule>
    <cfRule type="cellIs" dxfId="7243" priority="14781" operator="equal">
      <formula>"Payroll"</formula>
    </cfRule>
    <cfRule type="cellIs" dxfId="7242" priority="14782" operator="equal">
      <formula>"Investment"</formula>
    </cfRule>
    <cfRule type="cellIs" dxfId="7241" priority="14783" operator="equal">
      <formula>"Sunk"</formula>
    </cfRule>
    <cfRule type="cellIs" dxfId="7240" priority="14784" operator="equal">
      <formula>"OpEx"</formula>
    </cfRule>
    <cfRule type="cellIs" dxfId="7239" priority="14785" operator="equal">
      <formula>"CapEx"</formula>
    </cfRule>
  </conditionalFormatting>
  <conditionalFormatting sqref="F154">
    <cfRule type="dataBar" priority="14954">
      <dataBar>
        <cfvo type="min"/>
        <cfvo type="max"/>
        <color rgb="FF638EC6"/>
      </dataBar>
    </cfRule>
    <cfRule type="colorScale" priority="14955">
      <colorScale>
        <cfvo type="min"/>
        <cfvo type="percentile" val="50"/>
        <cfvo type="max"/>
        <color rgb="FFF8696B"/>
        <color rgb="FFFFEB84"/>
        <color rgb="FF63BE7B"/>
      </colorScale>
    </cfRule>
    <cfRule type="cellIs" dxfId="7238" priority="14956" operator="equal">
      <formula>"Tax"</formula>
    </cfRule>
  </conditionalFormatting>
  <conditionalFormatting sqref="F155">
    <cfRule type="dataBar" priority="14776">
      <dataBar>
        <cfvo type="min"/>
        <cfvo type="max"/>
        <color rgb="FF638EC6"/>
      </dataBar>
    </cfRule>
    <cfRule type="colorScale" priority="14777">
      <colorScale>
        <cfvo type="min"/>
        <cfvo type="percentile" val="50"/>
        <cfvo type="max"/>
        <color rgb="FFF8696B"/>
        <color rgb="FFFFEB84"/>
        <color rgb="FF63BE7B"/>
      </colorScale>
    </cfRule>
    <cfRule type="cellIs" dxfId="7237" priority="14778" operator="equal">
      <formula>"Tax"</formula>
    </cfRule>
  </conditionalFormatting>
  <conditionalFormatting sqref="F156">
    <cfRule type="dataBar" priority="14755">
      <dataBar>
        <cfvo type="min"/>
        <cfvo type="max"/>
        <color rgb="FF638EC6"/>
      </dataBar>
    </cfRule>
    <cfRule type="colorScale" priority="14756">
      <colorScale>
        <cfvo type="min"/>
        <cfvo type="percentile" val="50"/>
        <cfvo type="max"/>
        <color rgb="FFF8696B"/>
        <color rgb="FFFFEB84"/>
        <color rgb="FF63BE7B"/>
      </colorScale>
    </cfRule>
    <cfRule type="cellIs" dxfId="7236" priority="14757" operator="equal">
      <formula>"Tax"</formula>
    </cfRule>
    <cfRule type="cellIs" dxfId="7235" priority="14758" operator="equal">
      <formula>"Income"</formula>
    </cfRule>
    <cfRule type="cellIs" dxfId="7234" priority="14759" operator="equal">
      <formula>"Cost of Sales"</formula>
    </cfRule>
    <cfRule type="cellIs" dxfId="7233" priority="14760" operator="equal">
      <formula>"Payroll"</formula>
    </cfRule>
    <cfRule type="cellIs" dxfId="7232" priority="14761" operator="equal">
      <formula>"Investment"</formula>
    </cfRule>
    <cfRule type="cellIs" dxfId="7231" priority="14762" operator="equal">
      <formula>"Sunk"</formula>
    </cfRule>
    <cfRule type="cellIs" dxfId="7230" priority="14763" operator="equal">
      <formula>"OpEx"</formula>
    </cfRule>
    <cfRule type="cellIs" dxfId="7229" priority="14764" operator="equal">
      <formula>"CapEx"</formula>
    </cfRule>
  </conditionalFormatting>
  <conditionalFormatting sqref="F157">
    <cfRule type="dataBar" priority="14661">
      <dataBar>
        <cfvo type="min"/>
        <cfvo type="max"/>
        <color rgb="FF638EC6"/>
      </dataBar>
    </cfRule>
    <cfRule type="colorScale" priority="14662">
      <colorScale>
        <cfvo type="min"/>
        <cfvo type="percentile" val="50"/>
        <cfvo type="max"/>
        <color rgb="FFF8696B"/>
        <color rgb="FFFFEB84"/>
        <color rgb="FF63BE7B"/>
      </colorScale>
    </cfRule>
    <cfRule type="cellIs" dxfId="7228" priority="14663" operator="equal">
      <formula>"Tax"</formula>
    </cfRule>
    <cfRule type="cellIs" dxfId="7227" priority="14664" operator="equal">
      <formula>"Cost of Sales"</formula>
    </cfRule>
    <cfRule type="cellIs" dxfId="7226" priority="14665" operator="equal">
      <formula>"Payroll"</formula>
    </cfRule>
    <cfRule type="cellIs" dxfId="7225" priority="14666" operator="equal">
      <formula>"Investment"</formula>
    </cfRule>
    <cfRule type="cellIs" dxfId="7224" priority="14667" operator="equal">
      <formula>"Sunk"</formula>
    </cfRule>
    <cfRule type="cellIs" dxfId="7223" priority="14668" operator="equal">
      <formula>"OpEx"</formula>
    </cfRule>
    <cfRule type="cellIs" dxfId="7222" priority="14669" operator="equal">
      <formula>"CapEx"</formula>
    </cfRule>
    <cfRule type="cellIs" dxfId="7221" priority="14670" operator="equal">
      <formula>"Income"</formula>
    </cfRule>
    <cfRule type="dataBar" priority="14690">
      <dataBar>
        <cfvo type="min"/>
        <cfvo type="max"/>
        <color rgb="FF638EC6"/>
      </dataBar>
    </cfRule>
    <cfRule type="colorScale" priority="14691">
      <colorScale>
        <cfvo type="min"/>
        <cfvo type="percentile" val="50"/>
        <cfvo type="max"/>
        <color rgb="FFF8696B"/>
        <color rgb="FFFFEB84"/>
        <color rgb="FF63BE7B"/>
      </colorScale>
    </cfRule>
  </conditionalFormatting>
  <conditionalFormatting sqref="F157:F158">
    <cfRule type="cellIs" dxfId="7220" priority="14692" operator="equal">
      <formula>"Cost of Sales"</formula>
    </cfRule>
    <cfRule type="cellIs" dxfId="7219" priority="14693" operator="equal">
      <formula>"Payroll"</formula>
    </cfRule>
    <cfRule type="cellIs" dxfId="7218" priority="14694" operator="equal">
      <formula>"Investment"</formula>
    </cfRule>
    <cfRule type="cellIs" dxfId="7217" priority="14695" operator="equal">
      <formula>"Sunk"</formula>
    </cfRule>
    <cfRule type="cellIs" dxfId="7216" priority="14696" operator="equal">
      <formula>"OpEx"</formula>
    </cfRule>
    <cfRule type="cellIs" dxfId="7215" priority="14697" operator="equal">
      <formula>"CapEx"</formula>
    </cfRule>
    <cfRule type="cellIs" dxfId="7214" priority="14698" operator="equal">
      <formula>"Income"</formula>
    </cfRule>
  </conditionalFormatting>
  <conditionalFormatting sqref="F158">
    <cfRule type="dataBar" priority="14728">
      <dataBar>
        <cfvo type="min"/>
        <cfvo type="max"/>
        <color rgb="FF638EC6"/>
      </dataBar>
    </cfRule>
    <cfRule type="colorScale" priority="14729">
      <colorScale>
        <cfvo type="min"/>
        <cfvo type="percentile" val="50"/>
        <cfvo type="max"/>
        <color rgb="FFF8696B"/>
        <color rgb="FFFFEB84"/>
        <color rgb="FF63BE7B"/>
      </colorScale>
    </cfRule>
    <cfRule type="cellIs" dxfId="7213" priority="14730" operator="equal">
      <formula>"Tax"</formula>
    </cfRule>
    <cfRule type="dataBar" priority="14731">
      <dataBar>
        <cfvo type="min"/>
        <cfvo type="max"/>
        <color rgb="FF638EC6"/>
      </dataBar>
    </cfRule>
    <cfRule type="colorScale" priority="14732">
      <colorScale>
        <cfvo type="min"/>
        <cfvo type="percentile" val="50"/>
        <cfvo type="max"/>
        <color rgb="FFF8696B"/>
        <color rgb="FFFFEB84"/>
        <color rgb="FF63BE7B"/>
      </colorScale>
    </cfRule>
    <cfRule type="cellIs" dxfId="7212" priority="14733" operator="equal">
      <formula>"Tax"</formula>
    </cfRule>
    <cfRule type="cellIs" dxfId="7211" priority="14734" operator="equal">
      <formula>"Cost of Sales"</formula>
    </cfRule>
    <cfRule type="cellIs" dxfId="7210" priority="14735" operator="equal">
      <formula>"Payroll"</formula>
    </cfRule>
    <cfRule type="cellIs" dxfId="7209" priority="14736" operator="equal">
      <formula>"Investment"</formula>
    </cfRule>
    <cfRule type="cellIs" dxfId="7208" priority="14737" operator="equal">
      <formula>"Sunk"</formula>
    </cfRule>
    <cfRule type="cellIs" dxfId="7207" priority="14738" operator="equal">
      <formula>"OpEx"</formula>
    </cfRule>
    <cfRule type="cellIs" dxfId="7206" priority="14739" operator="equal">
      <formula>"CapEx"</formula>
    </cfRule>
    <cfRule type="cellIs" dxfId="7205" priority="14740" operator="equal">
      <formula>"Income"</formula>
    </cfRule>
  </conditionalFormatting>
  <conditionalFormatting sqref="F159">
    <cfRule type="cellIs" dxfId="7204" priority="14641" operator="equal">
      <formula>"Cost of Sales"</formula>
    </cfRule>
    <cfRule type="cellIs" dxfId="7203" priority="14642" operator="equal">
      <formula>"Payroll"</formula>
    </cfRule>
    <cfRule type="cellIs" dxfId="7202" priority="14643" operator="equal">
      <formula>"Investment"</formula>
    </cfRule>
    <cfRule type="cellIs" dxfId="7201" priority="14644" operator="equal">
      <formula>"Sunk"</formula>
    </cfRule>
    <cfRule type="cellIs" dxfId="7200" priority="14645" operator="equal">
      <formula>"OpEx"</formula>
    </cfRule>
    <cfRule type="cellIs" dxfId="7199" priority="14646" operator="equal">
      <formula>"CapEx"</formula>
    </cfRule>
    <cfRule type="cellIs" dxfId="7198" priority="14647" operator="equal">
      <formula>"Income"</formula>
    </cfRule>
    <cfRule type="dataBar" priority="14648">
      <dataBar>
        <cfvo type="min"/>
        <cfvo type="max"/>
        <color rgb="FF638EC6"/>
      </dataBar>
    </cfRule>
    <cfRule type="colorScale" priority="14649">
      <colorScale>
        <cfvo type="min"/>
        <cfvo type="percentile" val="50"/>
        <cfvo type="max"/>
        <color rgb="FFF8696B"/>
        <color rgb="FFFFEB84"/>
        <color rgb="FF63BE7B"/>
      </colorScale>
    </cfRule>
    <cfRule type="cellIs" dxfId="7197" priority="14650" operator="equal">
      <formula>"Tax"</formula>
    </cfRule>
    <cfRule type="dataBar" priority="14651">
      <dataBar>
        <cfvo type="min"/>
        <cfvo type="max"/>
        <color rgb="FF638EC6"/>
      </dataBar>
    </cfRule>
    <cfRule type="colorScale" priority="14652">
      <colorScale>
        <cfvo type="min"/>
        <cfvo type="percentile" val="50"/>
        <cfvo type="max"/>
        <color rgb="FFF8696B"/>
        <color rgb="FFFFEB84"/>
        <color rgb="FF63BE7B"/>
      </colorScale>
    </cfRule>
    <cfRule type="cellIs" dxfId="7196" priority="14653" operator="equal">
      <formula>"Tax"</formula>
    </cfRule>
  </conditionalFormatting>
  <conditionalFormatting sqref="F159:F160">
    <cfRule type="cellIs" dxfId="7195" priority="14654" operator="equal">
      <formula>"Cost of Sales"</formula>
    </cfRule>
    <cfRule type="cellIs" dxfId="7194" priority="14655" operator="equal">
      <formula>"Payroll"</formula>
    </cfRule>
    <cfRule type="cellIs" dxfId="7193" priority="14656" operator="equal">
      <formula>"Investment"</formula>
    </cfRule>
    <cfRule type="cellIs" dxfId="7192" priority="14657" operator="equal">
      <formula>"Sunk"</formula>
    </cfRule>
    <cfRule type="cellIs" dxfId="7191" priority="14658" operator="equal">
      <formula>"OpEx"</formula>
    </cfRule>
    <cfRule type="cellIs" dxfId="7190" priority="14659" operator="equal">
      <formula>"CapEx"</formula>
    </cfRule>
    <cfRule type="cellIs" dxfId="7189" priority="14660" operator="equal">
      <formula>"Income"</formula>
    </cfRule>
  </conditionalFormatting>
  <conditionalFormatting sqref="F160 F138 F136 F145">
    <cfRule type="dataBar" priority="15373">
      <dataBar>
        <cfvo type="min"/>
        <cfvo type="max"/>
        <color rgb="FF638EC6"/>
      </dataBar>
    </cfRule>
    <cfRule type="colorScale" priority="15374">
      <colorScale>
        <cfvo type="min"/>
        <cfvo type="percentile" val="50"/>
        <cfvo type="max"/>
        <color rgb="FFF8696B"/>
        <color rgb="FFFFEB84"/>
        <color rgb="FF63BE7B"/>
      </colorScale>
    </cfRule>
    <cfRule type="dataBar" priority="15383">
      <dataBar>
        <cfvo type="min"/>
        <cfvo type="max"/>
        <color rgb="FF638EC6"/>
      </dataBar>
    </cfRule>
    <cfRule type="colorScale" priority="15384">
      <colorScale>
        <cfvo type="min"/>
        <cfvo type="percentile" val="50"/>
        <cfvo type="max"/>
        <color rgb="FFF8696B"/>
        <color rgb="FFFFEB84"/>
        <color rgb="FF63BE7B"/>
      </colorScale>
    </cfRule>
  </conditionalFormatting>
  <conditionalFormatting sqref="F162">
    <cfRule type="dataBar" priority="14615">
      <dataBar>
        <cfvo type="min"/>
        <cfvo type="max"/>
        <color rgb="FF638EC6"/>
      </dataBar>
    </cfRule>
    <cfRule type="colorScale" priority="14616">
      <colorScale>
        <cfvo type="min"/>
        <cfvo type="percentile" val="50"/>
        <cfvo type="max"/>
        <color rgb="FFF8696B"/>
        <color rgb="FFFFEB84"/>
        <color rgb="FF63BE7B"/>
      </colorScale>
    </cfRule>
    <cfRule type="cellIs" dxfId="7188" priority="14617" operator="equal">
      <formula>"Tax"</formula>
    </cfRule>
    <cfRule type="cellIs" dxfId="7187" priority="14618" operator="equal">
      <formula>"Income"</formula>
    </cfRule>
  </conditionalFormatting>
  <conditionalFormatting sqref="F162:F167">
    <cfRule type="cellIs" dxfId="7186" priority="14512" operator="equal">
      <formula>"Cost of Sales"</formula>
    </cfRule>
    <cfRule type="cellIs" dxfId="7185" priority="14513" operator="equal">
      <formula>"Payroll"</formula>
    </cfRule>
    <cfRule type="cellIs" dxfId="7184" priority="14514" operator="equal">
      <formula>"Investment"</formula>
    </cfRule>
    <cfRule type="cellIs" dxfId="7183" priority="14515" operator="equal">
      <formula>"Sunk"</formula>
    </cfRule>
    <cfRule type="cellIs" dxfId="7182" priority="14516" operator="equal">
      <formula>"OpEx"</formula>
    </cfRule>
    <cfRule type="cellIs" dxfId="7181" priority="14517" operator="equal">
      <formula>"CapEx"</formula>
    </cfRule>
  </conditionalFormatting>
  <conditionalFormatting sqref="F163">
    <cfRule type="dataBar" priority="14585">
      <dataBar>
        <cfvo type="min"/>
        <cfvo type="max"/>
        <color rgb="FF638EC6"/>
      </dataBar>
    </cfRule>
    <cfRule type="colorScale" priority="14586">
      <colorScale>
        <cfvo type="min"/>
        <cfvo type="percentile" val="50"/>
        <cfvo type="max"/>
        <color rgb="FFF8696B"/>
        <color rgb="FFFFEB84"/>
        <color rgb="FF63BE7B"/>
      </colorScale>
    </cfRule>
    <cfRule type="cellIs" dxfId="7180" priority="14587" operator="equal">
      <formula>"Tax"</formula>
    </cfRule>
  </conditionalFormatting>
  <conditionalFormatting sqref="F163:F167">
    <cfRule type="cellIs" dxfId="7179" priority="14511" operator="equal">
      <formula>"Income"</formula>
    </cfRule>
  </conditionalFormatting>
  <conditionalFormatting sqref="F164">
    <cfRule type="dataBar" priority="14568">
      <dataBar>
        <cfvo type="min"/>
        <cfvo type="max"/>
        <color rgb="FF638EC6"/>
      </dataBar>
    </cfRule>
    <cfRule type="colorScale" priority="14569">
      <colorScale>
        <cfvo type="min"/>
        <cfvo type="percentile" val="50"/>
        <cfvo type="max"/>
        <color rgb="FFF8696B"/>
        <color rgb="FFFFEB84"/>
        <color rgb="FF63BE7B"/>
      </colorScale>
    </cfRule>
    <cfRule type="cellIs" dxfId="7178" priority="14577" operator="equal">
      <formula>"Tax"</formula>
    </cfRule>
  </conditionalFormatting>
  <conditionalFormatting sqref="F165">
    <cfRule type="dataBar" priority="14558">
      <dataBar>
        <cfvo type="min"/>
        <cfvo type="max"/>
        <color rgb="FF638EC6"/>
      </dataBar>
    </cfRule>
    <cfRule type="colorScale" priority="14559">
      <colorScale>
        <cfvo type="min"/>
        <cfvo type="percentile" val="50"/>
        <cfvo type="max"/>
        <color rgb="FFF8696B"/>
        <color rgb="FFFFEB84"/>
        <color rgb="FF63BE7B"/>
      </colorScale>
    </cfRule>
    <cfRule type="cellIs" dxfId="7177" priority="14560" operator="equal">
      <formula>"Tax"</formula>
    </cfRule>
  </conditionalFormatting>
  <conditionalFormatting sqref="F166">
    <cfRule type="dataBar" priority="14538">
      <dataBar>
        <cfvo type="min"/>
        <cfvo type="max"/>
        <color rgb="FF638EC6"/>
      </dataBar>
    </cfRule>
    <cfRule type="colorScale" priority="14539">
      <colorScale>
        <cfvo type="min"/>
        <cfvo type="percentile" val="50"/>
        <cfvo type="max"/>
        <color rgb="FFF8696B"/>
        <color rgb="FFFFEB84"/>
        <color rgb="FF63BE7B"/>
      </colorScale>
    </cfRule>
  </conditionalFormatting>
  <conditionalFormatting sqref="F166:F167">
    <cfRule type="cellIs" dxfId="7176" priority="14510" operator="equal">
      <formula>"Tax"</formula>
    </cfRule>
  </conditionalFormatting>
  <conditionalFormatting sqref="F167">
    <cfRule type="dataBar" priority="14508">
      <dataBar>
        <cfvo type="min"/>
        <cfvo type="max"/>
        <color rgb="FF638EC6"/>
      </dataBar>
    </cfRule>
    <cfRule type="colorScale" priority="14509">
      <colorScale>
        <cfvo type="min"/>
        <cfvo type="percentile" val="50"/>
        <cfvo type="max"/>
        <color rgb="FFF8696B"/>
        <color rgb="FFFFEB84"/>
        <color rgb="FF63BE7B"/>
      </colorScale>
    </cfRule>
  </conditionalFormatting>
  <conditionalFormatting sqref="F168">
    <cfRule type="dataBar" priority="14491">
      <dataBar>
        <cfvo type="min"/>
        <cfvo type="max"/>
        <color rgb="FF638EC6"/>
      </dataBar>
    </cfRule>
    <cfRule type="colorScale" priority="14492">
      <colorScale>
        <cfvo type="min"/>
        <cfvo type="percentile" val="50"/>
        <cfvo type="max"/>
        <color rgb="FFF8696B"/>
        <color rgb="FFFFEB84"/>
        <color rgb="FF63BE7B"/>
      </colorScale>
    </cfRule>
    <cfRule type="cellIs" dxfId="7175" priority="14493" operator="equal">
      <formula>"Tax"</formula>
    </cfRule>
    <cfRule type="cellIs" dxfId="7174" priority="14494" operator="equal">
      <formula>"Income"</formula>
    </cfRule>
    <cfRule type="cellIs" dxfId="7173" priority="14495" operator="equal">
      <formula>"Cost of Sales"</formula>
    </cfRule>
    <cfRule type="cellIs" dxfId="7172" priority="14496" operator="equal">
      <formula>"Payroll"</formula>
    </cfRule>
    <cfRule type="cellIs" dxfId="7171" priority="14497" operator="equal">
      <formula>"Investment"</formula>
    </cfRule>
    <cfRule type="cellIs" dxfId="7170" priority="14498" operator="equal">
      <formula>"Sunk"</formula>
    </cfRule>
    <cfRule type="cellIs" dxfId="7169" priority="14499" operator="equal">
      <formula>"OpEx"</formula>
    </cfRule>
    <cfRule type="cellIs" dxfId="7168" priority="14500" operator="equal">
      <formula>"CapEx"</formula>
    </cfRule>
  </conditionalFormatting>
  <conditionalFormatting sqref="F169">
    <cfRule type="dataBar" priority="14477">
      <dataBar>
        <cfvo type="min"/>
        <cfvo type="max"/>
        <color rgb="FF638EC6"/>
      </dataBar>
    </cfRule>
    <cfRule type="colorScale" priority="14478">
      <colorScale>
        <cfvo type="min"/>
        <cfvo type="percentile" val="50"/>
        <cfvo type="max"/>
        <color rgb="FFF8696B"/>
        <color rgb="FFFFEB84"/>
        <color rgb="FF63BE7B"/>
      </colorScale>
    </cfRule>
    <cfRule type="cellIs" dxfId="7167" priority="14479" operator="equal">
      <formula>"Tax"</formula>
    </cfRule>
  </conditionalFormatting>
  <conditionalFormatting sqref="F169:F170">
    <cfRule type="cellIs" dxfId="7166" priority="14452" operator="equal">
      <formula>"Income"</formula>
    </cfRule>
    <cfRule type="cellIs" dxfId="7165" priority="14453" operator="equal">
      <formula>"Cost of Sales"</formula>
    </cfRule>
    <cfRule type="cellIs" dxfId="7164" priority="14454" operator="equal">
      <formula>"Payroll"</formula>
    </cfRule>
    <cfRule type="cellIs" dxfId="7163" priority="14455" operator="equal">
      <formula>"Investment"</formula>
    </cfRule>
    <cfRule type="cellIs" dxfId="7162" priority="14456" operator="equal">
      <formula>"Sunk"</formula>
    </cfRule>
    <cfRule type="cellIs" dxfId="7161" priority="14457" operator="equal">
      <formula>"OpEx"</formula>
    </cfRule>
    <cfRule type="cellIs" dxfId="7160" priority="14458" operator="equal">
      <formula>"CapEx"</formula>
    </cfRule>
  </conditionalFormatting>
  <conditionalFormatting sqref="F170">
    <cfRule type="dataBar" priority="14449">
      <dataBar>
        <cfvo type="min"/>
        <cfvo type="max"/>
        <color rgb="FF638EC6"/>
      </dataBar>
    </cfRule>
    <cfRule type="colorScale" priority="14450">
      <colorScale>
        <cfvo type="min"/>
        <cfvo type="percentile" val="50"/>
        <cfvo type="max"/>
        <color rgb="FFF8696B"/>
        <color rgb="FFFFEB84"/>
        <color rgb="FF63BE7B"/>
      </colorScale>
    </cfRule>
    <cfRule type="cellIs" dxfId="7159" priority="14451" operator="equal">
      <formula>"Tax"</formula>
    </cfRule>
  </conditionalFormatting>
  <conditionalFormatting sqref="F171">
    <cfRule type="dataBar" priority="14433">
      <dataBar>
        <cfvo type="min"/>
        <cfvo type="max"/>
        <color rgb="FF638EC6"/>
      </dataBar>
    </cfRule>
    <cfRule type="colorScale" priority="14434">
      <colorScale>
        <cfvo type="min"/>
        <cfvo type="percentile" val="50"/>
        <cfvo type="max"/>
        <color rgb="FFF8696B"/>
        <color rgb="FFFFEB84"/>
        <color rgb="FF63BE7B"/>
      </colorScale>
    </cfRule>
    <cfRule type="cellIs" dxfId="7158" priority="14435" operator="equal">
      <formula>"Tax"</formula>
    </cfRule>
    <cfRule type="cellIs" dxfId="7157" priority="14436" operator="equal">
      <formula>"Cost of Sales"</formula>
    </cfRule>
    <cfRule type="cellIs" dxfId="7156" priority="14437" operator="equal">
      <formula>"Payroll"</formula>
    </cfRule>
    <cfRule type="cellIs" dxfId="7155" priority="14438" operator="equal">
      <formula>"Investment"</formula>
    </cfRule>
    <cfRule type="cellIs" dxfId="7154" priority="14439" operator="equal">
      <formula>"Sunk"</formula>
    </cfRule>
    <cfRule type="cellIs" dxfId="7153" priority="14440" operator="equal">
      <formula>"OpEx"</formula>
    </cfRule>
    <cfRule type="cellIs" dxfId="7152" priority="14441" operator="equal">
      <formula>"CapEx"</formula>
    </cfRule>
  </conditionalFormatting>
  <conditionalFormatting sqref="F171:F172">
    <cfRule type="cellIs" dxfId="7151" priority="14418" operator="equal">
      <formula>"Income"</formula>
    </cfRule>
  </conditionalFormatting>
  <conditionalFormatting sqref="F172">
    <cfRule type="dataBar" priority="14416">
      <dataBar>
        <cfvo type="min"/>
        <cfvo type="max"/>
        <color rgb="FF638EC6"/>
      </dataBar>
    </cfRule>
    <cfRule type="colorScale" priority="14417">
      <colorScale>
        <cfvo type="min"/>
        <cfvo type="percentile" val="50"/>
        <cfvo type="max"/>
        <color rgb="FFF8696B"/>
        <color rgb="FFFFEB84"/>
        <color rgb="FF63BE7B"/>
      </colorScale>
    </cfRule>
    <cfRule type="cellIs" dxfId="7150" priority="14419" operator="equal">
      <formula>"Cost of Sales"</formula>
    </cfRule>
    <cfRule type="cellIs" dxfId="7149" priority="14420" operator="equal">
      <formula>"Payroll"</formula>
    </cfRule>
    <cfRule type="cellIs" dxfId="7148" priority="14421" operator="equal">
      <formula>"Investment"</formula>
    </cfRule>
    <cfRule type="cellIs" dxfId="7147" priority="14422" operator="equal">
      <formula>"Sunk"</formula>
    </cfRule>
    <cfRule type="cellIs" dxfId="7146" priority="14423" operator="equal">
      <formula>"OpEx"</formula>
    </cfRule>
    <cfRule type="cellIs" dxfId="7145" priority="14424" operator="equal">
      <formula>"CapEx"</formula>
    </cfRule>
  </conditionalFormatting>
  <conditionalFormatting sqref="F172:F175">
    <cfRule type="cellIs" dxfId="7144" priority="14324" operator="equal">
      <formula>"Tax"</formula>
    </cfRule>
  </conditionalFormatting>
  <conditionalFormatting sqref="F173">
    <cfRule type="dataBar" priority="14390">
      <dataBar>
        <cfvo type="min"/>
        <cfvo type="max"/>
        <color rgb="FF638EC6"/>
      </dataBar>
    </cfRule>
    <cfRule type="colorScale" priority="14391">
      <colorScale>
        <cfvo type="min"/>
        <cfvo type="percentile" val="50"/>
        <cfvo type="max"/>
        <color rgb="FFF8696B"/>
        <color rgb="FFFFEB84"/>
        <color rgb="FF63BE7B"/>
      </colorScale>
    </cfRule>
    <cfRule type="cellIs" dxfId="7143" priority="14392" operator="equal">
      <formula>"Income"</formula>
    </cfRule>
    <cfRule type="cellIs" dxfId="7142" priority="14393" operator="equal">
      <formula>"Cost of Sales"</formula>
    </cfRule>
    <cfRule type="cellIs" dxfId="7141" priority="14394" operator="equal">
      <formula>"Payroll"</formula>
    </cfRule>
    <cfRule type="cellIs" dxfId="7140" priority="14395" operator="equal">
      <formula>"Investment"</formula>
    </cfRule>
    <cfRule type="cellIs" dxfId="7139" priority="14396" operator="equal">
      <formula>"Sunk"</formula>
    </cfRule>
    <cfRule type="cellIs" dxfId="7138" priority="14397" operator="equal">
      <formula>"OpEx"</formula>
    </cfRule>
    <cfRule type="cellIs" dxfId="7137" priority="14398" operator="equal">
      <formula>"CapEx"</formula>
    </cfRule>
  </conditionalFormatting>
  <conditionalFormatting sqref="F174:F175">
    <cfRule type="dataBar" priority="14322">
      <dataBar>
        <cfvo type="min"/>
        <cfvo type="max"/>
        <color rgb="FF638EC6"/>
      </dataBar>
    </cfRule>
    <cfRule type="colorScale" priority="14323">
      <colorScale>
        <cfvo type="min"/>
        <cfvo type="percentile" val="50"/>
        <cfvo type="max"/>
        <color rgb="FFF8696B"/>
        <color rgb="FFFFEB84"/>
        <color rgb="FF63BE7B"/>
      </colorScale>
    </cfRule>
  </conditionalFormatting>
  <conditionalFormatting sqref="F174:F176">
    <cfRule type="cellIs" dxfId="7136" priority="14315" operator="equal">
      <formula>"Income"</formula>
    </cfRule>
    <cfRule type="cellIs" dxfId="7135" priority="14316" operator="equal">
      <formula>"Cost of Sales"</formula>
    </cfRule>
    <cfRule type="cellIs" dxfId="7134" priority="14317" operator="equal">
      <formula>"Payroll"</formula>
    </cfRule>
    <cfRule type="cellIs" dxfId="7133" priority="14318" operator="equal">
      <formula>"Investment"</formula>
    </cfRule>
    <cfRule type="cellIs" dxfId="7132" priority="14319" operator="equal">
      <formula>"Sunk"</formula>
    </cfRule>
    <cfRule type="cellIs" dxfId="7131" priority="14320" operator="equal">
      <formula>"OpEx"</formula>
    </cfRule>
    <cfRule type="cellIs" dxfId="7130" priority="14321" operator="equal">
      <formula>"CapEx"</formula>
    </cfRule>
  </conditionalFormatting>
  <conditionalFormatting sqref="F176">
    <cfRule type="dataBar" priority="14312">
      <dataBar>
        <cfvo type="min"/>
        <cfvo type="max"/>
        <color rgb="FF638EC6"/>
      </dataBar>
    </cfRule>
    <cfRule type="colorScale" priority="14313">
      <colorScale>
        <cfvo type="min"/>
        <cfvo type="percentile" val="50"/>
        <cfvo type="max"/>
        <color rgb="FFF8696B"/>
        <color rgb="FFFFEB84"/>
        <color rgb="FF63BE7B"/>
      </colorScale>
    </cfRule>
    <cfRule type="cellIs" dxfId="7129" priority="14314" operator="equal">
      <formula>"Tax"</formula>
    </cfRule>
  </conditionalFormatting>
  <conditionalFormatting sqref="F177">
    <cfRule type="dataBar" priority="14349">
      <dataBar>
        <cfvo type="min"/>
        <cfvo type="max"/>
        <color rgb="FF638EC6"/>
      </dataBar>
    </cfRule>
    <cfRule type="colorScale" priority="14350">
      <colorScale>
        <cfvo type="min"/>
        <cfvo type="percentile" val="50"/>
        <cfvo type="max"/>
        <color rgb="FFF8696B"/>
        <color rgb="FFFFEB84"/>
        <color rgb="FF63BE7B"/>
      </colorScale>
    </cfRule>
    <cfRule type="cellIs" dxfId="7128" priority="14351" operator="equal">
      <formula>"Tax"</formula>
    </cfRule>
    <cfRule type="cellIs" dxfId="7127" priority="14352" operator="equal">
      <formula>"Income"</formula>
    </cfRule>
    <cfRule type="cellIs" dxfId="7126" priority="14353" operator="equal">
      <formula>"Cost of Sales"</formula>
    </cfRule>
    <cfRule type="cellIs" dxfId="7125" priority="14354" operator="equal">
      <formula>"Payroll"</formula>
    </cfRule>
    <cfRule type="cellIs" dxfId="7124" priority="14355" operator="equal">
      <formula>"Investment"</formula>
    </cfRule>
    <cfRule type="cellIs" dxfId="7123" priority="14356" operator="equal">
      <formula>"Sunk"</formula>
    </cfRule>
    <cfRule type="cellIs" dxfId="7122" priority="14357" operator="equal">
      <formula>"OpEx"</formula>
    </cfRule>
    <cfRule type="cellIs" dxfId="7121" priority="14358" operator="equal">
      <formula>"CapEx"</formula>
    </cfRule>
  </conditionalFormatting>
  <conditionalFormatting sqref="F178">
    <cfRule type="dataBar" priority="14328">
      <dataBar>
        <cfvo type="min"/>
        <cfvo type="max"/>
        <color rgb="FF638EC6"/>
      </dataBar>
    </cfRule>
    <cfRule type="colorScale" priority="14329">
      <colorScale>
        <cfvo type="min"/>
        <cfvo type="percentile" val="50"/>
        <cfvo type="max"/>
        <color rgb="FFF8696B"/>
        <color rgb="FFFFEB84"/>
        <color rgb="FF63BE7B"/>
      </colorScale>
    </cfRule>
    <cfRule type="cellIs" dxfId="7120" priority="14330" operator="equal">
      <formula>"Tax"</formula>
    </cfRule>
  </conditionalFormatting>
  <conditionalFormatting sqref="F178:F179">
    <cfRule type="cellIs" dxfId="7119" priority="14331" operator="equal">
      <formula>"Cost of Sales"</formula>
    </cfRule>
    <cfRule type="cellIs" dxfId="7118" priority="14332" operator="equal">
      <formula>"Payroll"</formula>
    </cfRule>
    <cfRule type="cellIs" dxfId="7117" priority="14333" operator="equal">
      <formula>"Investment"</formula>
    </cfRule>
    <cfRule type="cellIs" dxfId="7116" priority="14334" operator="equal">
      <formula>"Sunk"</formula>
    </cfRule>
    <cfRule type="cellIs" dxfId="7115" priority="14335" operator="equal">
      <formula>"OpEx"</formula>
    </cfRule>
    <cfRule type="cellIs" dxfId="7114" priority="14336" operator="equal">
      <formula>"CapEx"</formula>
    </cfRule>
    <cfRule type="cellIs" dxfId="7113" priority="14337" operator="equal">
      <formula>"Income"</formula>
    </cfRule>
  </conditionalFormatting>
  <conditionalFormatting sqref="F179">
    <cfRule type="dataBar" priority="14325">
      <dataBar>
        <cfvo type="min"/>
        <cfvo type="max"/>
        <color rgb="FF638EC6"/>
      </dataBar>
    </cfRule>
    <cfRule type="colorScale" priority="14326">
      <colorScale>
        <cfvo type="min"/>
        <cfvo type="percentile" val="50"/>
        <cfvo type="max"/>
        <color rgb="FFF8696B"/>
        <color rgb="FFFFEB84"/>
        <color rgb="FF63BE7B"/>
      </colorScale>
    </cfRule>
    <cfRule type="cellIs" dxfId="7112" priority="14327" operator="equal">
      <formula>"Tax"</formula>
    </cfRule>
  </conditionalFormatting>
  <conditionalFormatting sqref="F180">
    <cfRule type="dataBar" priority="14292">
      <dataBar>
        <cfvo type="min"/>
        <cfvo type="max"/>
        <color rgb="FF638EC6"/>
      </dataBar>
    </cfRule>
    <cfRule type="colorScale" priority="14293">
      <colorScale>
        <cfvo type="min"/>
        <cfvo type="percentile" val="50"/>
        <cfvo type="max"/>
        <color rgb="FFF8696B"/>
        <color rgb="FFFFEB84"/>
        <color rgb="FF63BE7B"/>
      </colorScale>
    </cfRule>
    <cfRule type="cellIs" dxfId="7111" priority="14294" operator="equal">
      <formula>"Tax"</formula>
    </cfRule>
    <cfRule type="cellIs" dxfId="7110" priority="14295" operator="equal">
      <formula>"Cost of Sales"</formula>
    </cfRule>
    <cfRule type="cellIs" dxfId="7109" priority="14296" operator="equal">
      <formula>"Payroll"</formula>
    </cfRule>
    <cfRule type="cellIs" dxfId="7108" priority="14297" operator="equal">
      <formula>"Investment"</formula>
    </cfRule>
    <cfRule type="cellIs" dxfId="7107" priority="14298" operator="equal">
      <formula>"Sunk"</formula>
    </cfRule>
    <cfRule type="cellIs" dxfId="7106" priority="14299" operator="equal">
      <formula>"OpEx"</formula>
    </cfRule>
    <cfRule type="cellIs" dxfId="7105" priority="14300" operator="equal">
      <formula>"CapEx"</formula>
    </cfRule>
  </conditionalFormatting>
  <conditionalFormatting sqref="F180:F182">
    <cfRule type="cellIs" dxfId="7104" priority="14275" operator="equal">
      <formula>"Income"</formula>
    </cfRule>
  </conditionalFormatting>
  <conditionalFormatting sqref="F181">
    <cfRule type="dataBar" priority="14266">
      <dataBar>
        <cfvo type="min"/>
        <cfvo type="max"/>
        <color rgb="FF638EC6"/>
      </dataBar>
    </cfRule>
    <cfRule type="colorScale" priority="14267">
      <colorScale>
        <cfvo type="min"/>
        <cfvo type="percentile" val="50"/>
        <cfvo type="max"/>
        <color rgb="FFF8696B"/>
        <color rgb="FFFFEB84"/>
        <color rgb="FF63BE7B"/>
      </colorScale>
    </cfRule>
  </conditionalFormatting>
  <conditionalFormatting sqref="F181:F182">
    <cfRule type="cellIs" dxfId="7103" priority="14268" operator="equal">
      <formula>"Tax"</formula>
    </cfRule>
    <cfRule type="cellIs" dxfId="7102" priority="14269" operator="equal">
      <formula>"Cost of Sales"</formula>
    </cfRule>
    <cfRule type="cellIs" dxfId="7101" priority="14270" operator="equal">
      <formula>"Payroll"</formula>
    </cfRule>
    <cfRule type="cellIs" dxfId="7100" priority="14271" operator="equal">
      <formula>"Investment"</formula>
    </cfRule>
    <cfRule type="cellIs" dxfId="7099" priority="14272" operator="equal">
      <formula>"Sunk"</formula>
    </cfRule>
    <cfRule type="cellIs" dxfId="7098" priority="14273" operator="equal">
      <formula>"OpEx"</formula>
    </cfRule>
    <cfRule type="cellIs" dxfId="7097" priority="14274" operator="equal">
      <formula>"CapEx"</formula>
    </cfRule>
  </conditionalFormatting>
  <conditionalFormatting sqref="F183">
    <cfRule type="cellIs" dxfId="7096" priority="14229" operator="equal">
      <formula>"Income"</formula>
    </cfRule>
    <cfRule type="cellIs" dxfId="7095" priority="14230" operator="equal">
      <formula>"Cost of Sales"</formula>
    </cfRule>
    <cfRule type="cellIs" dxfId="7094" priority="14231" operator="equal">
      <formula>"Payroll"</formula>
    </cfRule>
    <cfRule type="cellIs" dxfId="7093" priority="14232" operator="equal">
      <formula>"Investment"</formula>
    </cfRule>
    <cfRule type="cellIs" dxfId="7092" priority="14233" operator="equal">
      <formula>"Sunk"</formula>
    </cfRule>
    <cfRule type="cellIs" dxfId="7091" priority="14234" operator="equal">
      <formula>"OpEx"</formula>
    </cfRule>
    <cfRule type="cellIs" dxfId="7090" priority="14235" operator="equal">
      <formula>"CapEx"</formula>
    </cfRule>
    <cfRule type="dataBar" priority="14236">
      <dataBar>
        <cfvo type="min"/>
        <cfvo type="max"/>
        <color rgb="FF638EC6"/>
      </dataBar>
    </cfRule>
    <cfRule type="colorScale" priority="14237">
      <colorScale>
        <cfvo type="min"/>
        <cfvo type="percentile" val="50"/>
        <cfvo type="max"/>
        <color rgb="FFF8696B"/>
        <color rgb="FFFFEB84"/>
        <color rgb="FF63BE7B"/>
      </colorScale>
    </cfRule>
    <cfRule type="cellIs" dxfId="7089" priority="14238" operator="equal">
      <formula>"Tax"</formula>
    </cfRule>
    <cfRule type="dataBar" priority="14246">
      <dataBar>
        <cfvo type="min"/>
        <cfvo type="max"/>
        <color rgb="FF638EC6"/>
      </dataBar>
    </cfRule>
    <cfRule type="colorScale" priority="14247">
      <colorScale>
        <cfvo type="min"/>
        <cfvo type="percentile" val="50"/>
        <cfvo type="max"/>
        <color rgb="FFF8696B"/>
        <color rgb="FFFFEB84"/>
        <color rgb="FF63BE7B"/>
      </colorScale>
    </cfRule>
    <cfRule type="cellIs" dxfId="7088" priority="14248" operator="equal">
      <formula>"Tax"</formula>
    </cfRule>
  </conditionalFormatting>
  <conditionalFormatting sqref="F183:F184">
    <cfRule type="cellIs" dxfId="7087" priority="14239" operator="equal">
      <formula>"Income"</formula>
    </cfRule>
    <cfRule type="cellIs" dxfId="7086" priority="14240" operator="equal">
      <formula>"Cost of Sales"</formula>
    </cfRule>
    <cfRule type="cellIs" dxfId="7085" priority="14241" operator="equal">
      <formula>"Payroll"</formula>
    </cfRule>
    <cfRule type="cellIs" dxfId="7084" priority="14242" operator="equal">
      <formula>"Investment"</formula>
    </cfRule>
    <cfRule type="cellIs" dxfId="7083" priority="14243" operator="equal">
      <formula>"Sunk"</formula>
    </cfRule>
    <cfRule type="cellIs" dxfId="7082" priority="14244" operator="equal">
      <formula>"OpEx"</formula>
    </cfRule>
    <cfRule type="cellIs" dxfId="7081" priority="14245" operator="equal">
      <formula>"CapEx"</formula>
    </cfRule>
  </conditionalFormatting>
  <conditionalFormatting sqref="F184">
    <cfRule type="dataBar" priority="14249">
      <dataBar>
        <cfvo type="min"/>
        <cfvo type="max"/>
        <color rgb="FF638EC6"/>
      </dataBar>
    </cfRule>
    <cfRule type="colorScale" priority="14250">
      <colorScale>
        <cfvo type="min"/>
        <cfvo type="percentile" val="50"/>
        <cfvo type="max"/>
        <color rgb="FFF8696B"/>
        <color rgb="FFFFEB84"/>
        <color rgb="FF63BE7B"/>
      </colorScale>
    </cfRule>
    <cfRule type="cellIs" dxfId="7080" priority="14251" operator="equal">
      <formula>"Tax"</formula>
    </cfRule>
  </conditionalFormatting>
  <conditionalFormatting sqref="F185">
    <cfRule type="dataBar" priority="14226">
      <dataBar>
        <cfvo type="min"/>
        <cfvo type="max"/>
        <color rgb="FF638EC6"/>
      </dataBar>
    </cfRule>
    <cfRule type="colorScale" priority="14227">
      <colorScale>
        <cfvo type="min"/>
        <cfvo type="percentile" val="50"/>
        <cfvo type="max"/>
        <color rgb="FFF8696B"/>
        <color rgb="FFFFEB84"/>
        <color rgb="FF63BE7B"/>
      </colorScale>
    </cfRule>
    <cfRule type="cellIs" dxfId="7079" priority="14228" operator="equal">
      <formula>"Tax"</formula>
    </cfRule>
  </conditionalFormatting>
  <conditionalFormatting sqref="F185:F187">
    <cfRule type="cellIs" dxfId="7078" priority="14198" operator="equal">
      <formula>"Cost of Sales"</formula>
    </cfRule>
    <cfRule type="cellIs" dxfId="7077" priority="14199" operator="equal">
      <formula>"Payroll"</formula>
    </cfRule>
    <cfRule type="cellIs" dxfId="7076" priority="14200" operator="equal">
      <formula>"Investment"</formula>
    </cfRule>
    <cfRule type="cellIs" dxfId="7075" priority="14201" operator="equal">
      <formula>"Sunk"</formula>
    </cfRule>
    <cfRule type="cellIs" dxfId="7074" priority="14202" operator="equal">
      <formula>"OpEx"</formula>
    </cfRule>
    <cfRule type="cellIs" dxfId="7073" priority="14203" operator="equal">
      <formula>"CapEx"</formula>
    </cfRule>
    <cfRule type="cellIs" dxfId="7072" priority="14204" operator="equal">
      <formula>"Income"</formula>
    </cfRule>
  </conditionalFormatting>
  <conditionalFormatting sqref="F186">
    <cfRule type="dataBar" priority="14223">
      <dataBar>
        <cfvo type="min"/>
        <cfvo type="max"/>
        <color rgb="FF638EC6"/>
      </dataBar>
    </cfRule>
    <cfRule type="colorScale" priority="14224">
      <colorScale>
        <cfvo type="min"/>
        <cfvo type="percentile" val="50"/>
        <cfvo type="max"/>
        <color rgb="FFF8696B"/>
        <color rgb="FFFFEB84"/>
        <color rgb="FF63BE7B"/>
      </colorScale>
    </cfRule>
    <cfRule type="cellIs" dxfId="7071" priority="14225" operator="equal">
      <formula>"Tax"</formula>
    </cfRule>
  </conditionalFormatting>
  <conditionalFormatting sqref="F187">
    <cfRule type="dataBar" priority="14195">
      <dataBar>
        <cfvo type="min"/>
        <cfvo type="max"/>
        <color rgb="FF638EC6"/>
      </dataBar>
    </cfRule>
    <cfRule type="colorScale" priority="14196">
      <colorScale>
        <cfvo type="min"/>
        <cfvo type="percentile" val="50"/>
        <cfvo type="max"/>
        <color rgb="FFF8696B"/>
        <color rgb="FFFFEB84"/>
        <color rgb="FF63BE7B"/>
      </colorScale>
    </cfRule>
    <cfRule type="cellIs" dxfId="7070" priority="14197" operator="equal">
      <formula>"Tax"</formula>
    </cfRule>
  </conditionalFormatting>
  <conditionalFormatting sqref="F188">
    <cfRule type="dataBar" priority="14174">
      <dataBar>
        <cfvo type="min"/>
        <cfvo type="max"/>
        <color rgb="FF638EC6"/>
      </dataBar>
    </cfRule>
    <cfRule type="colorScale" priority="14175">
      <colorScale>
        <cfvo type="min"/>
        <cfvo type="percentile" val="50"/>
        <cfvo type="max"/>
        <color rgb="FFF8696B"/>
        <color rgb="FFFFEB84"/>
        <color rgb="FF63BE7B"/>
      </colorScale>
    </cfRule>
    <cfRule type="cellIs" dxfId="7069" priority="14176" operator="equal">
      <formula>"Tax"</formula>
    </cfRule>
    <cfRule type="cellIs" dxfId="7068" priority="14177" operator="equal">
      <formula>"Cost of Sales"</formula>
    </cfRule>
    <cfRule type="cellIs" dxfId="7067" priority="14178" operator="equal">
      <formula>"Payroll"</formula>
    </cfRule>
    <cfRule type="cellIs" dxfId="7066" priority="14179" operator="equal">
      <formula>"Investment"</formula>
    </cfRule>
    <cfRule type="cellIs" dxfId="7065" priority="14180" operator="equal">
      <formula>"Sunk"</formula>
    </cfRule>
    <cfRule type="cellIs" dxfId="7064" priority="14181" operator="equal">
      <formula>"OpEx"</formula>
    </cfRule>
    <cfRule type="cellIs" dxfId="7063" priority="14182" operator="equal">
      <formula>"CapEx"</formula>
    </cfRule>
    <cfRule type="cellIs" dxfId="7062" priority="14183" operator="equal">
      <formula>"Income"</formula>
    </cfRule>
  </conditionalFormatting>
  <conditionalFormatting sqref="F189">
    <cfRule type="dataBar" priority="14157">
      <dataBar>
        <cfvo type="min"/>
        <cfvo type="max"/>
        <color rgb="FF638EC6"/>
      </dataBar>
    </cfRule>
    <cfRule type="colorScale" priority="14158">
      <colorScale>
        <cfvo type="min"/>
        <cfvo type="percentile" val="50"/>
        <cfvo type="max"/>
        <color rgb="FFF8696B"/>
        <color rgb="FFFFEB84"/>
        <color rgb="FF63BE7B"/>
      </colorScale>
    </cfRule>
    <cfRule type="cellIs" dxfId="7061" priority="14159" operator="equal">
      <formula>"Tax"</formula>
    </cfRule>
  </conditionalFormatting>
  <conditionalFormatting sqref="F189:F192">
    <cfRule type="cellIs" dxfId="7060" priority="14147" operator="equal">
      <formula>"Income"</formula>
    </cfRule>
    <cfRule type="cellIs" dxfId="7059" priority="14148" operator="equal">
      <formula>"Cost of Sales"</formula>
    </cfRule>
    <cfRule type="cellIs" dxfId="7058" priority="14149" operator="equal">
      <formula>"Payroll"</formula>
    </cfRule>
    <cfRule type="cellIs" dxfId="7057" priority="14150" operator="equal">
      <formula>"Investment"</formula>
    </cfRule>
    <cfRule type="cellIs" dxfId="7056" priority="14151" operator="equal">
      <formula>"Sunk"</formula>
    </cfRule>
    <cfRule type="cellIs" dxfId="7055" priority="14152" operator="equal">
      <formula>"OpEx"</formula>
    </cfRule>
    <cfRule type="cellIs" dxfId="7054" priority="14153" operator="equal">
      <formula>"CapEx"</formula>
    </cfRule>
  </conditionalFormatting>
  <conditionalFormatting sqref="F190">
    <cfRule type="dataBar" priority="14154">
      <dataBar>
        <cfvo type="min"/>
        <cfvo type="max"/>
        <color rgb="FF638EC6"/>
      </dataBar>
    </cfRule>
    <cfRule type="colorScale" priority="14155">
      <colorScale>
        <cfvo type="min"/>
        <cfvo type="percentile" val="50"/>
        <cfvo type="max"/>
        <color rgb="FFF8696B"/>
        <color rgb="FFFFEB84"/>
        <color rgb="FF63BE7B"/>
      </colorScale>
    </cfRule>
    <cfRule type="cellIs" dxfId="7053" priority="14156" operator="equal">
      <formula>"Tax"</formula>
    </cfRule>
  </conditionalFormatting>
  <conditionalFormatting sqref="F191">
    <cfRule type="dataBar" priority="14160">
      <dataBar>
        <cfvo type="min"/>
        <cfvo type="max"/>
        <color rgb="FF638EC6"/>
      </dataBar>
    </cfRule>
    <cfRule type="colorScale" priority="14161">
      <colorScale>
        <cfvo type="min"/>
        <cfvo type="percentile" val="50"/>
        <cfvo type="max"/>
        <color rgb="FFF8696B"/>
        <color rgb="FFFFEB84"/>
        <color rgb="FF63BE7B"/>
      </colorScale>
    </cfRule>
    <cfRule type="cellIs" dxfId="7052" priority="14162" operator="equal">
      <formula>"Tax"</formula>
    </cfRule>
  </conditionalFormatting>
  <conditionalFormatting sqref="F192">
    <cfRule type="dataBar" priority="14144">
      <dataBar>
        <cfvo type="min"/>
        <cfvo type="max"/>
        <color rgb="FF638EC6"/>
      </dataBar>
    </cfRule>
    <cfRule type="colorScale" priority="14145">
      <colorScale>
        <cfvo type="min"/>
        <cfvo type="percentile" val="50"/>
        <cfvo type="max"/>
        <color rgb="FFF8696B"/>
        <color rgb="FFFFEB84"/>
        <color rgb="FF63BE7B"/>
      </colorScale>
    </cfRule>
    <cfRule type="cellIs" dxfId="7051" priority="14146" operator="equal">
      <formula>"Tax"</formula>
    </cfRule>
  </conditionalFormatting>
  <conditionalFormatting sqref="F193">
    <cfRule type="dataBar" priority="14120">
      <dataBar>
        <cfvo type="min"/>
        <cfvo type="max"/>
        <color rgb="FF638EC6"/>
      </dataBar>
    </cfRule>
    <cfRule type="colorScale" priority="14121">
      <colorScale>
        <cfvo type="min"/>
        <cfvo type="percentile" val="50"/>
        <cfvo type="max"/>
        <color rgb="FFF8696B"/>
        <color rgb="FFFFEB84"/>
        <color rgb="FF63BE7B"/>
      </colorScale>
    </cfRule>
    <cfRule type="cellIs" dxfId="7050" priority="14122" operator="equal">
      <formula>"Tax"</formula>
    </cfRule>
    <cfRule type="dataBar" priority="14123">
      <dataBar>
        <cfvo type="min"/>
        <cfvo type="max"/>
        <color rgb="FF638EC6"/>
      </dataBar>
    </cfRule>
    <cfRule type="colorScale" priority="14124">
      <colorScale>
        <cfvo type="min"/>
        <cfvo type="percentile" val="50"/>
        <cfvo type="max"/>
        <color rgb="FFF8696B"/>
        <color rgb="FFFFEB84"/>
        <color rgb="FF63BE7B"/>
      </colorScale>
    </cfRule>
    <cfRule type="cellIs" dxfId="7049" priority="14125" operator="equal">
      <formula>"Tax"</formula>
    </cfRule>
    <cfRule type="cellIs" dxfId="7048" priority="14126" operator="equal">
      <formula>"Income"</formula>
    </cfRule>
    <cfRule type="cellIs" dxfId="7047" priority="14127" operator="equal">
      <formula>"Cost of Sales"</formula>
    </cfRule>
    <cfRule type="cellIs" dxfId="7046" priority="14128" operator="equal">
      <formula>"Payroll"</formula>
    </cfRule>
    <cfRule type="cellIs" dxfId="7045" priority="14129" operator="equal">
      <formula>"Investment"</formula>
    </cfRule>
    <cfRule type="cellIs" dxfId="7044" priority="14130" operator="equal">
      <formula>"Sunk"</formula>
    </cfRule>
    <cfRule type="cellIs" dxfId="7043" priority="14131" operator="equal">
      <formula>"OpEx"</formula>
    </cfRule>
    <cfRule type="cellIs" dxfId="7042" priority="14132" operator="equal">
      <formula>"CapEx"</formula>
    </cfRule>
  </conditionalFormatting>
  <conditionalFormatting sqref="F193:F194">
    <cfRule type="cellIs" dxfId="7041" priority="14113" operator="equal">
      <formula>"Income"</formula>
    </cfRule>
    <cfRule type="cellIs" dxfId="7040" priority="14114" operator="equal">
      <formula>"Cost of Sales"</formula>
    </cfRule>
    <cfRule type="cellIs" dxfId="7039" priority="14115" operator="equal">
      <formula>"Payroll"</formula>
    </cfRule>
    <cfRule type="cellIs" dxfId="7038" priority="14116" operator="equal">
      <formula>"Investment"</formula>
    </cfRule>
    <cfRule type="cellIs" dxfId="7037" priority="14117" operator="equal">
      <formula>"Sunk"</formula>
    </cfRule>
    <cfRule type="cellIs" dxfId="7036" priority="14118" operator="equal">
      <formula>"OpEx"</formula>
    </cfRule>
    <cfRule type="cellIs" dxfId="7035" priority="14119" operator="equal">
      <formula>"CapEx"</formula>
    </cfRule>
  </conditionalFormatting>
  <conditionalFormatting sqref="F194">
    <cfRule type="dataBar" priority="14110">
      <dataBar>
        <cfvo type="min"/>
        <cfvo type="max"/>
        <color rgb="FF638EC6"/>
      </dataBar>
    </cfRule>
    <cfRule type="colorScale" priority="14111">
      <colorScale>
        <cfvo type="min"/>
        <cfvo type="percentile" val="50"/>
        <cfvo type="max"/>
        <color rgb="FFF8696B"/>
        <color rgb="FFFFEB84"/>
        <color rgb="FF63BE7B"/>
      </colorScale>
    </cfRule>
    <cfRule type="cellIs" dxfId="7034" priority="14112" operator="equal">
      <formula>"Tax"</formula>
    </cfRule>
  </conditionalFormatting>
  <conditionalFormatting sqref="F195">
    <cfRule type="dataBar" priority="14094">
      <dataBar>
        <cfvo type="min"/>
        <cfvo type="max"/>
        <color rgb="FF638EC6"/>
      </dataBar>
    </cfRule>
    <cfRule type="colorScale" priority="14095">
      <colorScale>
        <cfvo type="min"/>
        <cfvo type="percentile" val="50"/>
        <cfvo type="max"/>
        <color rgb="FFF8696B"/>
        <color rgb="FFFFEB84"/>
        <color rgb="FF63BE7B"/>
      </colorScale>
    </cfRule>
    <cfRule type="cellIs" dxfId="7033" priority="14096" operator="equal">
      <formula>"Cost of Sales"</formula>
    </cfRule>
    <cfRule type="cellIs" dxfId="7032" priority="14097" operator="equal">
      <formula>"Payroll"</formula>
    </cfRule>
    <cfRule type="cellIs" dxfId="7031" priority="14098" operator="equal">
      <formula>"Investment"</formula>
    </cfRule>
    <cfRule type="cellIs" dxfId="7030" priority="14099" operator="equal">
      <formula>"Sunk"</formula>
    </cfRule>
    <cfRule type="cellIs" dxfId="7029" priority="14100" operator="equal">
      <formula>"OpEx"</formula>
    </cfRule>
    <cfRule type="cellIs" dxfId="7028" priority="14101" operator="equal">
      <formula>"CapEx"</formula>
    </cfRule>
  </conditionalFormatting>
  <conditionalFormatting sqref="F195:F196">
    <cfRule type="cellIs" dxfId="7027" priority="14093" operator="equal">
      <formula>"Tax"</formula>
    </cfRule>
  </conditionalFormatting>
  <conditionalFormatting sqref="F195:F201">
    <cfRule type="cellIs" dxfId="7026" priority="14102" operator="equal">
      <formula>"Income"</formula>
    </cfRule>
  </conditionalFormatting>
  <conditionalFormatting sqref="F196">
    <cfRule type="dataBar" priority="14091">
      <dataBar>
        <cfvo type="min"/>
        <cfvo type="max"/>
        <color rgb="FF638EC6"/>
      </dataBar>
    </cfRule>
    <cfRule type="colorScale" priority="14092">
      <colorScale>
        <cfvo type="min"/>
        <cfvo type="percentile" val="50"/>
        <cfvo type="max"/>
        <color rgb="FFF8696B"/>
        <color rgb="FFFFEB84"/>
        <color rgb="FF63BE7B"/>
      </colorScale>
    </cfRule>
  </conditionalFormatting>
  <conditionalFormatting sqref="F196:F201">
    <cfRule type="cellIs" dxfId="7025" priority="14015" operator="equal">
      <formula>"Cost of Sales"</formula>
    </cfRule>
    <cfRule type="cellIs" dxfId="7024" priority="14016" operator="equal">
      <formula>"Payroll"</formula>
    </cfRule>
    <cfRule type="cellIs" dxfId="7023" priority="14017" operator="equal">
      <formula>"Investment"</formula>
    </cfRule>
    <cfRule type="cellIs" dxfId="7022" priority="14018" operator="equal">
      <formula>"Sunk"</formula>
    </cfRule>
    <cfRule type="cellIs" dxfId="7021" priority="14019" operator="equal">
      <formula>"OpEx"</formula>
    </cfRule>
    <cfRule type="cellIs" dxfId="7020" priority="14020" operator="equal">
      <formula>"CapEx"</formula>
    </cfRule>
  </conditionalFormatting>
  <conditionalFormatting sqref="F197">
    <cfRule type="dataBar" priority="14071">
      <dataBar>
        <cfvo type="min"/>
        <cfvo type="max"/>
        <color rgb="FF638EC6"/>
      </dataBar>
    </cfRule>
    <cfRule type="colorScale" priority="14072">
      <colorScale>
        <cfvo type="min"/>
        <cfvo type="percentile" val="50"/>
        <cfvo type="max"/>
        <color rgb="FFF8696B"/>
        <color rgb="FFFFEB84"/>
        <color rgb="FF63BE7B"/>
      </colorScale>
    </cfRule>
  </conditionalFormatting>
  <conditionalFormatting sqref="F197:F198">
    <cfRule type="cellIs" dxfId="7019" priority="14073" operator="equal">
      <formula>"Tax"</formula>
    </cfRule>
  </conditionalFormatting>
  <conditionalFormatting sqref="F198">
    <cfRule type="dataBar" priority="14029">
      <dataBar>
        <cfvo type="min"/>
        <cfvo type="max"/>
        <color rgb="FF638EC6"/>
      </dataBar>
    </cfRule>
    <cfRule type="colorScale" priority="14030">
      <colorScale>
        <cfvo type="min"/>
        <cfvo type="percentile" val="50"/>
        <cfvo type="max"/>
        <color rgb="FFF8696B"/>
        <color rgb="FFFFEB84"/>
        <color rgb="FF63BE7B"/>
      </colorScale>
    </cfRule>
  </conditionalFormatting>
  <conditionalFormatting sqref="F199">
    <cfRule type="dataBar" priority="14022">
      <dataBar>
        <cfvo type="min"/>
        <cfvo type="max"/>
        <color rgb="FF638EC6"/>
      </dataBar>
    </cfRule>
    <cfRule type="colorScale" priority="14023">
      <colorScale>
        <cfvo type="min"/>
        <cfvo type="percentile" val="50"/>
        <cfvo type="max"/>
        <color rgb="FFF8696B"/>
        <color rgb="FFFFEB84"/>
        <color rgb="FF63BE7B"/>
      </colorScale>
    </cfRule>
    <cfRule type="cellIs" dxfId="7018" priority="14024" operator="equal">
      <formula>"Tax"</formula>
    </cfRule>
  </conditionalFormatting>
  <conditionalFormatting sqref="F200:F201">
    <cfRule type="dataBar" priority="14012">
      <dataBar>
        <cfvo type="min"/>
        <cfvo type="max"/>
        <color rgb="FF638EC6"/>
      </dataBar>
    </cfRule>
    <cfRule type="colorScale" priority="14013">
      <colorScale>
        <cfvo type="min"/>
        <cfvo type="percentile" val="50"/>
        <cfvo type="max"/>
        <color rgb="FFF8696B"/>
        <color rgb="FFFFEB84"/>
        <color rgb="FF63BE7B"/>
      </colorScale>
    </cfRule>
    <cfRule type="cellIs" dxfId="7017" priority="14014" operator="equal">
      <formula>"Tax"</formula>
    </cfRule>
  </conditionalFormatting>
  <conditionalFormatting sqref="F202">
    <cfRule type="dataBar" priority="13991">
      <dataBar>
        <cfvo type="min"/>
        <cfvo type="max"/>
        <color rgb="FF638EC6"/>
      </dataBar>
    </cfRule>
    <cfRule type="colorScale" priority="13992">
      <colorScale>
        <cfvo type="min"/>
        <cfvo type="percentile" val="50"/>
        <cfvo type="max"/>
        <color rgb="FFF8696B"/>
        <color rgb="FFFFEB84"/>
        <color rgb="FF63BE7B"/>
      </colorScale>
    </cfRule>
    <cfRule type="cellIs" dxfId="7016" priority="13993" operator="equal">
      <formula>"Tax"</formula>
    </cfRule>
    <cfRule type="cellIs" dxfId="7015" priority="13994" operator="equal">
      <formula>"Income"</formula>
    </cfRule>
    <cfRule type="cellIs" dxfId="7014" priority="13995" operator="equal">
      <formula>"Cost of Sales"</formula>
    </cfRule>
    <cfRule type="cellIs" dxfId="7013" priority="13996" operator="equal">
      <formula>"Payroll"</formula>
    </cfRule>
    <cfRule type="cellIs" dxfId="7012" priority="13997" operator="equal">
      <formula>"Investment"</formula>
    </cfRule>
    <cfRule type="cellIs" dxfId="7011" priority="13998" operator="equal">
      <formula>"Sunk"</formula>
    </cfRule>
    <cfRule type="cellIs" dxfId="7010" priority="13999" operator="equal">
      <formula>"OpEx"</formula>
    </cfRule>
    <cfRule type="cellIs" dxfId="7009" priority="14000" operator="equal">
      <formula>"CapEx"</formula>
    </cfRule>
  </conditionalFormatting>
  <conditionalFormatting sqref="F203">
    <cfRule type="dataBar" priority="13970">
      <dataBar>
        <cfvo type="min"/>
        <cfvo type="max"/>
        <color rgb="FF638EC6"/>
      </dataBar>
    </cfRule>
    <cfRule type="colorScale" priority="13971">
      <colorScale>
        <cfvo type="min"/>
        <cfvo type="percentile" val="50"/>
        <cfvo type="max"/>
        <color rgb="FFF8696B"/>
        <color rgb="FFFFEB84"/>
        <color rgb="FF63BE7B"/>
      </colorScale>
    </cfRule>
    <cfRule type="cellIs" dxfId="7008" priority="13972" operator="equal">
      <formula>"Tax"</formula>
    </cfRule>
    <cfRule type="cellIs" dxfId="7007" priority="13973" operator="equal">
      <formula>"Cost of Sales"</formula>
    </cfRule>
    <cfRule type="cellIs" dxfId="7006" priority="13974" operator="equal">
      <formula>"Payroll"</formula>
    </cfRule>
    <cfRule type="cellIs" dxfId="7005" priority="13975" operator="equal">
      <formula>"Investment"</formula>
    </cfRule>
    <cfRule type="cellIs" dxfId="7004" priority="13976" operator="equal">
      <formula>"Sunk"</formula>
    </cfRule>
    <cfRule type="cellIs" dxfId="7003" priority="13977" operator="equal">
      <formula>"OpEx"</formula>
    </cfRule>
    <cfRule type="cellIs" dxfId="7002" priority="13978" operator="equal">
      <formula>"CapEx"</formula>
    </cfRule>
    <cfRule type="cellIs" dxfId="7001" priority="13979" operator="equal">
      <formula>"Income"</formula>
    </cfRule>
  </conditionalFormatting>
  <conditionalFormatting sqref="F204:F206 F209:F210 F215">
    <cfRule type="cellIs" dxfId="7000" priority="13958" operator="equal">
      <formula>"Income"</formula>
    </cfRule>
  </conditionalFormatting>
  <conditionalFormatting sqref="F204:F206 F210 F215">
    <cfRule type="cellIs" dxfId="6999" priority="13948" operator="equal">
      <formula>"Tax"</formula>
    </cfRule>
    <cfRule type="cellIs" dxfId="6998" priority="13949" operator="equal">
      <formula>"Cost of Sales"</formula>
    </cfRule>
    <cfRule type="cellIs" dxfId="6997" priority="13950" operator="equal">
      <formula>"Payroll"</formula>
    </cfRule>
    <cfRule type="cellIs" dxfId="6996" priority="13951" operator="equal">
      <formula>"Investment"</formula>
    </cfRule>
    <cfRule type="cellIs" dxfId="6995" priority="13952" operator="equal">
      <formula>"Sunk"</formula>
    </cfRule>
    <cfRule type="cellIs" dxfId="6994" priority="13953" operator="equal">
      <formula>"OpEx"</formula>
    </cfRule>
    <cfRule type="cellIs" dxfId="6993" priority="13954" operator="equal">
      <formula>"CapEx"</formula>
    </cfRule>
    <cfRule type="cellIs" dxfId="6992" priority="13957" operator="equal">
      <formula>"Tax"</formula>
    </cfRule>
  </conditionalFormatting>
  <conditionalFormatting sqref="F204:F206 F215 F210">
    <cfRule type="dataBar" priority="13946">
      <dataBar>
        <cfvo type="min"/>
        <cfvo type="max"/>
        <color rgb="FF638EC6"/>
      </dataBar>
    </cfRule>
    <cfRule type="colorScale" priority="13947">
      <colorScale>
        <cfvo type="min"/>
        <cfvo type="percentile" val="50"/>
        <cfvo type="max"/>
        <color rgb="FFF8696B"/>
        <color rgb="FFFFEB84"/>
        <color rgb="FF63BE7B"/>
      </colorScale>
    </cfRule>
    <cfRule type="dataBar" priority="13955">
      <dataBar>
        <cfvo type="min"/>
        <cfvo type="max"/>
        <color rgb="FF638EC6"/>
      </dataBar>
    </cfRule>
    <cfRule type="colorScale" priority="13956">
      <colorScale>
        <cfvo type="min"/>
        <cfvo type="percentile" val="50"/>
        <cfvo type="max"/>
        <color rgb="FFF8696B"/>
        <color rgb="FFFFEB84"/>
        <color rgb="FF63BE7B"/>
      </colorScale>
    </cfRule>
  </conditionalFormatting>
  <conditionalFormatting sqref="F204:F208">
    <cfRule type="cellIs" dxfId="6991" priority="13897" operator="equal">
      <formula>"Income"</formula>
    </cfRule>
    <cfRule type="cellIs" dxfId="6990" priority="13898" operator="equal">
      <formula>"Cost of Sales"</formula>
    </cfRule>
    <cfRule type="cellIs" dxfId="6989" priority="13899" operator="equal">
      <formula>"Payroll"</formula>
    </cfRule>
    <cfRule type="cellIs" dxfId="6988" priority="13900" operator="equal">
      <formula>"Investment"</formula>
    </cfRule>
    <cfRule type="cellIs" dxfId="6987" priority="13901" operator="equal">
      <formula>"Sunk"</formula>
    </cfRule>
    <cfRule type="cellIs" dxfId="6986" priority="13902" operator="equal">
      <formula>"OpEx"</formula>
    </cfRule>
    <cfRule type="cellIs" dxfId="6985" priority="13903" operator="equal">
      <formula>"CapEx"</formula>
    </cfRule>
  </conditionalFormatting>
  <conditionalFormatting sqref="F207">
    <cfRule type="dataBar" priority="13904">
      <dataBar>
        <cfvo type="min"/>
        <cfvo type="max"/>
        <color rgb="FF638EC6"/>
      </dataBar>
    </cfRule>
    <cfRule type="colorScale" priority="13905">
      <colorScale>
        <cfvo type="min"/>
        <cfvo type="percentile" val="50"/>
        <cfvo type="max"/>
        <color rgb="FFF8696B"/>
        <color rgb="FFFFEB84"/>
        <color rgb="FF63BE7B"/>
      </colorScale>
    </cfRule>
    <cfRule type="cellIs" dxfId="6984" priority="13906" operator="equal">
      <formula>"Tax"</formula>
    </cfRule>
  </conditionalFormatting>
  <conditionalFormatting sqref="F208">
    <cfRule type="cellIs" dxfId="6983" priority="13894" operator="equal">
      <formula>"Tax"</formula>
    </cfRule>
    <cfRule type="dataBar" priority="13895">
      <dataBar>
        <cfvo type="min"/>
        <cfvo type="max"/>
        <color rgb="FF638EC6"/>
      </dataBar>
    </cfRule>
    <cfRule type="colorScale" priority="13896">
      <colorScale>
        <cfvo type="min"/>
        <cfvo type="percentile" val="50"/>
        <cfvo type="max"/>
        <color rgb="FFF8696B"/>
        <color rgb="FFFFEB84"/>
        <color rgb="FF63BE7B"/>
      </colorScale>
    </cfRule>
  </conditionalFormatting>
  <conditionalFormatting sqref="F209">
    <cfRule type="dataBar" priority="13918">
      <dataBar>
        <cfvo type="min"/>
        <cfvo type="max"/>
        <color rgb="FF638EC6"/>
      </dataBar>
    </cfRule>
    <cfRule type="colorScale" priority="13919">
      <colorScale>
        <cfvo type="min"/>
        <cfvo type="percentile" val="50"/>
        <cfvo type="max"/>
        <color rgb="FFF8696B"/>
        <color rgb="FFFFEB84"/>
        <color rgb="FF63BE7B"/>
      </colorScale>
    </cfRule>
    <cfRule type="cellIs" dxfId="6982" priority="13920" operator="equal">
      <formula>"Tax"</formula>
    </cfRule>
  </conditionalFormatting>
  <conditionalFormatting sqref="F211">
    <cfRule type="dataBar" priority="13858">
      <dataBar>
        <cfvo type="min"/>
        <cfvo type="max"/>
        <color rgb="FF638EC6"/>
      </dataBar>
    </cfRule>
    <cfRule type="colorScale" priority="13859">
      <colorScale>
        <cfvo type="min"/>
        <cfvo type="percentile" val="50"/>
        <cfvo type="max"/>
        <color rgb="FFF8696B"/>
        <color rgb="FFFFEB84"/>
        <color rgb="FF63BE7B"/>
      </colorScale>
    </cfRule>
    <cfRule type="cellIs" dxfId="6981" priority="13860" operator="equal">
      <formula>"Tax"</formula>
    </cfRule>
    <cfRule type="cellIs" dxfId="6980" priority="13861" operator="equal">
      <formula>"Cost of Sales"</formula>
    </cfRule>
    <cfRule type="cellIs" dxfId="6979" priority="13862" operator="equal">
      <formula>"Payroll"</formula>
    </cfRule>
    <cfRule type="cellIs" dxfId="6978" priority="13863" operator="equal">
      <formula>"Investment"</formula>
    </cfRule>
    <cfRule type="cellIs" dxfId="6977" priority="13864" operator="equal">
      <formula>"Sunk"</formula>
    </cfRule>
    <cfRule type="cellIs" dxfId="6976" priority="13865" operator="equal">
      <formula>"OpEx"</formula>
    </cfRule>
    <cfRule type="cellIs" dxfId="6975" priority="13866" operator="equal">
      <formula>"CapEx"</formula>
    </cfRule>
    <cfRule type="cellIs" dxfId="6974" priority="13867" operator="equal">
      <formula>"Income"</formula>
    </cfRule>
  </conditionalFormatting>
  <conditionalFormatting sqref="F212">
    <cfRule type="dataBar" priority="13837">
      <dataBar>
        <cfvo type="min"/>
        <cfvo type="max"/>
        <color rgb="FF638EC6"/>
      </dataBar>
    </cfRule>
    <cfRule type="colorScale" priority="13838">
      <colorScale>
        <cfvo type="min"/>
        <cfvo type="percentile" val="50"/>
        <cfvo type="max"/>
        <color rgb="FFF8696B"/>
        <color rgb="FFFFEB84"/>
        <color rgb="FF63BE7B"/>
      </colorScale>
    </cfRule>
    <cfRule type="cellIs" dxfId="6973" priority="13839" operator="equal">
      <formula>"Tax"</formula>
    </cfRule>
    <cfRule type="cellIs" dxfId="6972" priority="13840" operator="equal">
      <formula>"Cost of Sales"</formula>
    </cfRule>
    <cfRule type="cellIs" dxfId="6971" priority="13841" operator="equal">
      <formula>"Payroll"</formula>
    </cfRule>
    <cfRule type="cellIs" dxfId="6970" priority="13842" operator="equal">
      <formula>"Investment"</formula>
    </cfRule>
    <cfRule type="cellIs" dxfId="6969" priority="13843" operator="equal">
      <formula>"Sunk"</formula>
    </cfRule>
    <cfRule type="cellIs" dxfId="6968" priority="13844" operator="equal">
      <formula>"OpEx"</formula>
    </cfRule>
    <cfRule type="cellIs" dxfId="6967" priority="13845" operator="equal">
      <formula>"CapEx"</formula>
    </cfRule>
    <cfRule type="cellIs" dxfId="6966" priority="13846" operator="equal">
      <formula>"Income"</formula>
    </cfRule>
  </conditionalFormatting>
  <conditionalFormatting sqref="F213">
    <cfRule type="dataBar" priority="13817">
      <dataBar>
        <cfvo type="min"/>
        <cfvo type="max"/>
        <color rgb="FF638EC6"/>
      </dataBar>
    </cfRule>
    <cfRule type="colorScale" priority="13818">
      <colorScale>
        <cfvo type="min"/>
        <cfvo type="percentile" val="50"/>
        <cfvo type="max"/>
        <color rgb="FFF8696B"/>
        <color rgb="FFFFEB84"/>
        <color rgb="FF63BE7B"/>
      </colorScale>
    </cfRule>
    <cfRule type="cellIs" dxfId="6965" priority="13819" operator="equal">
      <formula>"Tax"</formula>
    </cfRule>
    <cfRule type="cellIs" dxfId="6964" priority="13820" operator="equal">
      <formula>"Income"</formula>
    </cfRule>
    <cfRule type="cellIs" dxfId="6963" priority="13821" operator="equal">
      <formula>"Cost of Sales"</formula>
    </cfRule>
    <cfRule type="cellIs" dxfId="6962" priority="13822" operator="equal">
      <formula>"Payroll"</formula>
    </cfRule>
    <cfRule type="cellIs" dxfId="6961" priority="13823" operator="equal">
      <formula>"Investment"</formula>
    </cfRule>
    <cfRule type="cellIs" dxfId="6960" priority="13824" operator="equal">
      <formula>"Sunk"</formula>
    </cfRule>
    <cfRule type="cellIs" dxfId="6959" priority="13825" operator="equal">
      <formula>"OpEx"</formula>
    </cfRule>
    <cfRule type="cellIs" dxfId="6958" priority="13826" operator="equal">
      <formula>"CapEx"</formula>
    </cfRule>
  </conditionalFormatting>
  <conditionalFormatting sqref="F214">
    <cfRule type="cellIs" dxfId="6957" priority="13785" operator="equal">
      <formula>"Cost of Sales"</formula>
    </cfRule>
    <cfRule type="cellIs" dxfId="6956" priority="13786" operator="equal">
      <formula>"Payroll"</formula>
    </cfRule>
    <cfRule type="cellIs" dxfId="6955" priority="13787" operator="equal">
      <formula>"Investment"</formula>
    </cfRule>
    <cfRule type="cellIs" dxfId="6954" priority="13788" operator="equal">
      <formula>"Sunk"</formula>
    </cfRule>
    <cfRule type="cellIs" dxfId="6953" priority="13789" operator="equal">
      <formula>"OpEx"</formula>
    </cfRule>
    <cfRule type="cellIs" dxfId="6952" priority="13790" operator="equal">
      <formula>"CapEx"</formula>
    </cfRule>
    <cfRule type="cellIs" dxfId="6951" priority="13791" operator="equal">
      <formula>"Income"</formula>
    </cfRule>
    <cfRule type="dataBar" priority="13792">
      <dataBar>
        <cfvo type="min"/>
        <cfvo type="max"/>
        <color rgb="FF638EC6"/>
      </dataBar>
    </cfRule>
    <cfRule type="colorScale" priority="13793">
      <colorScale>
        <cfvo type="min"/>
        <cfvo type="percentile" val="50"/>
        <cfvo type="max"/>
        <color rgb="FFF8696B"/>
        <color rgb="FFFFEB84"/>
        <color rgb="FF63BE7B"/>
      </colorScale>
    </cfRule>
    <cfRule type="cellIs" dxfId="6950" priority="13794" operator="equal">
      <formula>"Tax"</formula>
    </cfRule>
    <cfRule type="dataBar" priority="13802">
      <dataBar>
        <cfvo type="min"/>
        <cfvo type="max"/>
        <color rgb="FF638EC6"/>
      </dataBar>
    </cfRule>
    <cfRule type="colorScale" priority="13803">
      <colorScale>
        <cfvo type="min"/>
        <cfvo type="percentile" val="50"/>
        <cfvo type="max"/>
        <color rgb="FFF8696B"/>
        <color rgb="FFFFEB84"/>
        <color rgb="FF63BE7B"/>
      </colorScale>
    </cfRule>
    <cfRule type="cellIs" dxfId="6949" priority="13804" operator="equal">
      <formula>"Tax"</formula>
    </cfRule>
  </conditionalFormatting>
  <conditionalFormatting sqref="F214:F215">
    <cfRule type="cellIs" dxfId="6948" priority="13795" operator="equal">
      <formula>"Income"</formula>
    </cfRule>
    <cfRule type="cellIs" dxfId="6947" priority="13796" operator="equal">
      <formula>"Cost of Sales"</formula>
    </cfRule>
    <cfRule type="cellIs" dxfId="6946" priority="13797" operator="equal">
      <formula>"Payroll"</formula>
    </cfRule>
    <cfRule type="cellIs" dxfId="6945" priority="13798" operator="equal">
      <formula>"Investment"</formula>
    </cfRule>
    <cfRule type="cellIs" dxfId="6944" priority="13799" operator="equal">
      <formula>"Sunk"</formula>
    </cfRule>
    <cfRule type="cellIs" dxfId="6943" priority="13800" operator="equal">
      <formula>"OpEx"</formula>
    </cfRule>
    <cfRule type="cellIs" dxfId="6942" priority="13801" operator="equal">
      <formula>"CapEx"</formula>
    </cfRule>
  </conditionalFormatting>
  <conditionalFormatting sqref="F216">
    <cfRule type="dataBar" priority="13765">
      <dataBar>
        <cfvo type="min"/>
        <cfvo type="max"/>
        <color rgb="FF638EC6"/>
      </dataBar>
    </cfRule>
    <cfRule type="colorScale" priority="13766">
      <colorScale>
        <cfvo type="min"/>
        <cfvo type="percentile" val="50"/>
        <cfvo type="max"/>
        <color rgb="FFF8696B"/>
        <color rgb="FFFFEB84"/>
        <color rgb="FF63BE7B"/>
      </colorScale>
    </cfRule>
    <cfRule type="cellIs" dxfId="6941" priority="13767" operator="equal">
      <formula>"Tax"</formula>
    </cfRule>
    <cfRule type="cellIs" dxfId="6940" priority="13768" operator="equal">
      <formula>"Cost of Sales"</formula>
    </cfRule>
    <cfRule type="cellIs" dxfId="6939" priority="13769" operator="equal">
      <formula>"Payroll"</formula>
    </cfRule>
    <cfRule type="cellIs" dxfId="6938" priority="13770" operator="equal">
      <formula>"Investment"</formula>
    </cfRule>
    <cfRule type="cellIs" dxfId="6937" priority="13771" operator="equal">
      <formula>"Sunk"</formula>
    </cfRule>
    <cfRule type="cellIs" dxfId="6936" priority="13772" operator="equal">
      <formula>"OpEx"</formula>
    </cfRule>
    <cfRule type="cellIs" dxfId="6935" priority="13773" operator="equal">
      <formula>"CapEx"</formula>
    </cfRule>
  </conditionalFormatting>
  <conditionalFormatting sqref="F216:F220">
    <cfRule type="cellIs" dxfId="6934" priority="13738" operator="equal">
      <formula>"Income"</formula>
    </cfRule>
  </conditionalFormatting>
  <conditionalFormatting sqref="F217:F219">
    <cfRule type="dataBar" priority="13747">
      <dataBar>
        <cfvo type="min"/>
        <cfvo type="max"/>
        <color rgb="FF638EC6"/>
      </dataBar>
    </cfRule>
    <cfRule type="colorScale" priority="13748">
      <colorScale>
        <cfvo type="min"/>
        <cfvo type="percentile" val="50"/>
        <cfvo type="max"/>
        <color rgb="FFF8696B"/>
        <color rgb="FFFFEB84"/>
        <color rgb="FF63BE7B"/>
      </colorScale>
    </cfRule>
    <cfRule type="cellIs" dxfId="6933" priority="13749" operator="equal">
      <formula>"Tax"</formula>
    </cfRule>
    <cfRule type="cellIs" dxfId="6932" priority="13750" operator="equal">
      <formula>"Cost of Sales"</formula>
    </cfRule>
    <cfRule type="cellIs" dxfId="6931" priority="13751" operator="equal">
      <formula>"Payroll"</formula>
    </cfRule>
    <cfRule type="cellIs" dxfId="6930" priority="13752" operator="equal">
      <formula>"Investment"</formula>
    </cfRule>
    <cfRule type="cellIs" dxfId="6929" priority="13753" operator="equal">
      <formula>"Sunk"</formula>
    </cfRule>
    <cfRule type="cellIs" dxfId="6928" priority="13754" operator="equal">
      <formula>"OpEx"</formula>
    </cfRule>
    <cfRule type="cellIs" dxfId="6927" priority="13755" operator="equal">
      <formula>"CapEx"</formula>
    </cfRule>
  </conditionalFormatting>
  <conditionalFormatting sqref="F220">
    <cfRule type="dataBar" priority="13729">
      <dataBar>
        <cfvo type="min"/>
        <cfvo type="max"/>
        <color rgb="FF638EC6"/>
      </dataBar>
    </cfRule>
    <cfRule type="colorScale" priority="13730">
      <colorScale>
        <cfvo type="min"/>
        <cfvo type="percentile" val="50"/>
        <cfvo type="max"/>
        <color rgb="FFF8696B"/>
        <color rgb="FFFFEB84"/>
        <color rgb="FF63BE7B"/>
      </colorScale>
    </cfRule>
    <cfRule type="cellIs" dxfId="6926" priority="13731" operator="equal">
      <formula>"Tax"</formula>
    </cfRule>
    <cfRule type="cellIs" dxfId="6925" priority="13732" operator="equal">
      <formula>"Cost of Sales"</formula>
    </cfRule>
    <cfRule type="cellIs" dxfId="6924" priority="13733" operator="equal">
      <formula>"Payroll"</formula>
    </cfRule>
    <cfRule type="cellIs" dxfId="6923" priority="13734" operator="equal">
      <formula>"Investment"</formula>
    </cfRule>
    <cfRule type="cellIs" dxfId="6922" priority="13735" operator="equal">
      <formula>"Sunk"</formula>
    </cfRule>
    <cfRule type="cellIs" dxfId="6921" priority="13736" operator="equal">
      <formula>"OpEx"</formula>
    </cfRule>
    <cfRule type="cellIs" dxfId="6920" priority="13737" operator="equal">
      <formula>"CapEx"</formula>
    </cfRule>
  </conditionalFormatting>
  <conditionalFormatting sqref="F221">
    <cfRule type="dataBar" priority="13713">
      <dataBar>
        <cfvo type="min"/>
        <cfvo type="max"/>
        <color rgb="FF638EC6"/>
      </dataBar>
    </cfRule>
    <cfRule type="colorScale" priority="13714">
      <colorScale>
        <cfvo type="min"/>
        <cfvo type="percentile" val="50"/>
        <cfvo type="max"/>
        <color rgb="FFF8696B"/>
        <color rgb="FFFFEB84"/>
        <color rgb="FF63BE7B"/>
      </colorScale>
    </cfRule>
    <cfRule type="cellIs" dxfId="6919" priority="13718" operator="equal">
      <formula>"Tax"</formula>
    </cfRule>
    <cfRule type="dataBar" priority="13719">
      <dataBar>
        <cfvo type="min"/>
        <cfvo type="max"/>
        <color rgb="FF638EC6"/>
      </dataBar>
    </cfRule>
    <cfRule type="colorScale" priority="13720">
      <colorScale>
        <cfvo type="min"/>
        <cfvo type="percentile" val="50"/>
        <cfvo type="max"/>
        <color rgb="FFF8696B"/>
        <color rgb="FFFFEB84"/>
        <color rgb="FF63BE7B"/>
      </colorScale>
    </cfRule>
    <cfRule type="cellIs" dxfId="6918" priority="13721" operator="equal">
      <formula>"Tax"</formula>
    </cfRule>
    <cfRule type="cellIs" dxfId="6917" priority="13722" operator="equal">
      <formula>"Cost of Sales"</formula>
    </cfRule>
    <cfRule type="cellIs" dxfId="6916" priority="13723" operator="equal">
      <formula>"Payroll"</formula>
    </cfRule>
    <cfRule type="cellIs" dxfId="6915" priority="13724" operator="equal">
      <formula>"Investment"</formula>
    </cfRule>
    <cfRule type="cellIs" dxfId="6914" priority="13725" operator="equal">
      <formula>"Sunk"</formula>
    </cfRule>
    <cfRule type="cellIs" dxfId="6913" priority="13726" operator="equal">
      <formula>"OpEx"</formula>
    </cfRule>
    <cfRule type="cellIs" dxfId="6912" priority="13727" operator="equal">
      <formula>"CapEx"</formula>
    </cfRule>
    <cfRule type="cellIs" dxfId="6911" priority="13728" operator="equal">
      <formula>"Income"</formula>
    </cfRule>
  </conditionalFormatting>
  <conditionalFormatting sqref="F221:F223">
    <cfRule type="cellIs" dxfId="6910" priority="9408" operator="equal">
      <formula>"Income"</formula>
    </cfRule>
    <cfRule type="cellIs" dxfId="6909" priority="9409" operator="equal">
      <formula>"Cost of Sales"</formula>
    </cfRule>
    <cfRule type="cellIs" dxfId="6908" priority="9410" operator="equal">
      <formula>"Payroll"</formula>
    </cfRule>
    <cfRule type="cellIs" dxfId="6907" priority="9411" operator="equal">
      <formula>"Investment"</formula>
    </cfRule>
    <cfRule type="cellIs" dxfId="6906" priority="9412" operator="equal">
      <formula>"Sunk"</formula>
    </cfRule>
    <cfRule type="cellIs" dxfId="6905" priority="9413" operator="equal">
      <formula>"OpEx"</formula>
    </cfRule>
    <cfRule type="cellIs" dxfId="6904" priority="9414" operator="equal">
      <formula>"CapEx"</formula>
    </cfRule>
  </conditionalFormatting>
  <conditionalFormatting sqref="F222">
    <cfRule type="dataBar" priority="13702">
      <dataBar>
        <cfvo type="min"/>
        <cfvo type="max"/>
        <color rgb="FF638EC6"/>
      </dataBar>
    </cfRule>
    <cfRule type="colorScale" priority="13703">
      <colorScale>
        <cfvo type="min"/>
        <cfvo type="percentile" val="50"/>
        <cfvo type="max"/>
        <color rgb="FFF8696B"/>
        <color rgb="FFFFEB84"/>
        <color rgb="FF63BE7B"/>
      </colorScale>
    </cfRule>
    <cfRule type="cellIs" dxfId="6903" priority="13704" operator="equal">
      <formula>"Tax"</formula>
    </cfRule>
  </conditionalFormatting>
  <conditionalFormatting sqref="F223">
    <cfRule type="cellIs" dxfId="6902" priority="9407" operator="equal">
      <formula>"Tax"</formula>
    </cfRule>
    <cfRule type="dataBar" priority="9419">
      <dataBar>
        <cfvo type="min"/>
        <cfvo type="max"/>
        <color rgb="FF638EC6"/>
      </dataBar>
    </cfRule>
    <cfRule type="colorScale" priority="9420">
      <colorScale>
        <cfvo type="min"/>
        <cfvo type="percentile" val="50"/>
        <cfvo type="max"/>
        <color rgb="FFF8696B"/>
        <color rgb="FFFFEB84"/>
        <color rgb="FF63BE7B"/>
      </colorScale>
    </cfRule>
  </conditionalFormatting>
  <conditionalFormatting sqref="F224">
    <cfRule type="dataBar" priority="13678">
      <dataBar>
        <cfvo type="min"/>
        <cfvo type="max"/>
        <color rgb="FF638EC6"/>
      </dataBar>
    </cfRule>
    <cfRule type="colorScale" priority="13679">
      <colorScale>
        <cfvo type="min"/>
        <cfvo type="percentile" val="50"/>
        <cfvo type="max"/>
        <color rgb="FFF8696B"/>
        <color rgb="FFFFEB84"/>
        <color rgb="FF63BE7B"/>
      </colorScale>
    </cfRule>
    <cfRule type="cellIs" dxfId="6901" priority="13680" operator="equal">
      <formula>"Tax"</formula>
    </cfRule>
    <cfRule type="cellIs" dxfId="6900" priority="13681" operator="equal">
      <formula>"Income"</formula>
    </cfRule>
    <cfRule type="cellIs" dxfId="6899" priority="13682" operator="equal">
      <formula>"Cost of Sales"</formula>
    </cfRule>
    <cfRule type="cellIs" dxfId="6898" priority="13683" operator="equal">
      <formula>"Payroll"</formula>
    </cfRule>
    <cfRule type="cellIs" dxfId="6897" priority="13684" operator="equal">
      <formula>"Investment"</formula>
    </cfRule>
    <cfRule type="cellIs" dxfId="6896" priority="13685" operator="equal">
      <formula>"Sunk"</formula>
    </cfRule>
    <cfRule type="cellIs" dxfId="6895" priority="13686" operator="equal">
      <formula>"OpEx"</formula>
    </cfRule>
    <cfRule type="cellIs" dxfId="6894" priority="13687" operator="equal">
      <formula>"CapEx"</formula>
    </cfRule>
  </conditionalFormatting>
  <conditionalFormatting sqref="F225">
    <cfRule type="dataBar" priority="13668">
      <dataBar>
        <cfvo type="min"/>
        <cfvo type="max"/>
        <color rgb="FF638EC6"/>
      </dataBar>
    </cfRule>
    <cfRule type="colorScale" priority="13669">
      <colorScale>
        <cfvo type="min"/>
        <cfvo type="percentile" val="50"/>
        <cfvo type="max"/>
        <color rgb="FFF8696B"/>
        <color rgb="FFFFEB84"/>
        <color rgb="FF63BE7B"/>
      </colorScale>
    </cfRule>
    <cfRule type="cellIs" dxfId="6893" priority="13670" operator="equal">
      <formula>"Tax"</formula>
    </cfRule>
    <cfRule type="cellIs" dxfId="6892" priority="13671" operator="equal">
      <formula>"Income"</formula>
    </cfRule>
    <cfRule type="cellIs" dxfId="6891" priority="13672" operator="equal">
      <formula>"Cost of Sales"</formula>
    </cfRule>
    <cfRule type="cellIs" dxfId="6890" priority="13673" operator="equal">
      <formula>"Payroll"</formula>
    </cfRule>
    <cfRule type="cellIs" dxfId="6889" priority="13674" operator="equal">
      <formula>"Investment"</formula>
    </cfRule>
    <cfRule type="cellIs" dxfId="6888" priority="13675" operator="equal">
      <formula>"Sunk"</formula>
    </cfRule>
    <cfRule type="cellIs" dxfId="6887" priority="13676" operator="equal">
      <formula>"OpEx"</formula>
    </cfRule>
    <cfRule type="cellIs" dxfId="6886" priority="13677" operator="equal">
      <formula>"CapEx"</formula>
    </cfRule>
  </conditionalFormatting>
  <conditionalFormatting sqref="F226 F232">
    <cfRule type="cellIs" dxfId="6885" priority="13656" operator="equal">
      <formula>"Tax"</formula>
    </cfRule>
    <cfRule type="cellIs" dxfId="6884" priority="13657" operator="equal">
      <formula>"Income"</formula>
    </cfRule>
    <cfRule type="cellIs" dxfId="6883" priority="13658" operator="equal">
      <formula>"Cost of Sales"</formula>
    </cfRule>
    <cfRule type="cellIs" dxfId="6882" priority="13659" operator="equal">
      <formula>"Payroll"</formula>
    </cfRule>
    <cfRule type="cellIs" dxfId="6881" priority="13660" operator="equal">
      <formula>"Investment"</formula>
    </cfRule>
    <cfRule type="cellIs" dxfId="6880" priority="13661" operator="equal">
      <formula>"Sunk"</formula>
    </cfRule>
    <cfRule type="cellIs" dxfId="6879" priority="13662" operator="equal">
      <formula>"OpEx"</formula>
    </cfRule>
    <cfRule type="cellIs" dxfId="6878" priority="13663" operator="equal">
      <formula>"CapEx"</formula>
    </cfRule>
  </conditionalFormatting>
  <conditionalFormatting sqref="F227">
    <cfRule type="dataBar" priority="13639">
      <dataBar>
        <cfvo type="min"/>
        <cfvo type="max"/>
        <color rgb="FF638EC6"/>
      </dataBar>
    </cfRule>
    <cfRule type="colorScale" priority="13640">
      <colorScale>
        <cfvo type="min"/>
        <cfvo type="percentile" val="50"/>
        <cfvo type="max"/>
        <color rgb="FFF8696B"/>
        <color rgb="FFFFEB84"/>
        <color rgb="FF63BE7B"/>
      </colorScale>
    </cfRule>
    <cfRule type="cellIs" dxfId="6877" priority="13641" operator="equal">
      <formula>"Tax"</formula>
    </cfRule>
  </conditionalFormatting>
  <conditionalFormatting sqref="F227:F230">
    <cfRule type="cellIs" dxfId="6876" priority="13589" operator="equal">
      <formula>"Cost of Sales"</formula>
    </cfRule>
    <cfRule type="cellIs" dxfId="6875" priority="13590" operator="equal">
      <formula>"Payroll"</formula>
    </cfRule>
    <cfRule type="cellIs" dxfId="6874" priority="13591" operator="equal">
      <formula>"Investment"</formula>
    </cfRule>
    <cfRule type="cellIs" dxfId="6873" priority="13592" operator="equal">
      <formula>"Sunk"</formula>
    </cfRule>
    <cfRule type="cellIs" dxfId="6872" priority="13593" operator="equal">
      <formula>"OpEx"</formula>
    </cfRule>
    <cfRule type="cellIs" dxfId="6871" priority="13594" operator="equal">
      <formula>"CapEx"</formula>
    </cfRule>
    <cfRule type="cellIs" dxfId="6870" priority="13595" operator="equal">
      <formula>"Income"</formula>
    </cfRule>
  </conditionalFormatting>
  <conditionalFormatting sqref="F228">
    <cfRule type="dataBar" priority="13636">
      <dataBar>
        <cfvo type="min"/>
        <cfvo type="max"/>
        <color rgb="FF638EC6"/>
      </dataBar>
    </cfRule>
    <cfRule type="colorScale" priority="13637">
      <colorScale>
        <cfvo type="min"/>
        <cfvo type="percentile" val="50"/>
        <cfvo type="max"/>
        <color rgb="FFF8696B"/>
        <color rgb="FFFFEB84"/>
        <color rgb="FF63BE7B"/>
      </colorScale>
    </cfRule>
    <cfRule type="cellIs" dxfId="6869" priority="13638" operator="equal">
      <formula>"Tax"</formula>
    </cfRule>
  </conditionalFormatting>
  <conditionalFormatting sqref="F229">
    <cfRule type="dataBar" priority="13633">
      <dataBar>
        <cfvo type="min"/>
        <cfvo type="max"/>
        <color rgb="FF638EC6"/>
      </dataBar>
    </cfRule>
    <cfRule type="colorScale" priority="13634">
      <colorScale>
        <cfvo type="min"/>
        <cfvo type="percentile" val="50"/>
        <cfvo type="max"/>
        <color rgb="FFF8696B"/>
        <color rgb="FFFFEB84"/>
        <color rgb="FF63BE7B"/>
      </colorScale>
    </cfRule>
    <cfRule type="cellIs" dxfId="6868" priority="13635" operator="equal">
      <formula>"Tax"</formula>
    </cfRule>
  </conditionalFormatting>
  <conditionalFormatting sqref="F230">
    <cfRule type="dataBar" priority="13577">
      <dataBar>
        <cfvo type="min"/>
        <cfvo type="max"/>
        <color rgb="FF638EC6"/>
      </dataBar>
    </cfRule>
    <cfRule type="colorScale" priority="13578">
      <colorScale>
        <cfvo type="min"/>
        <cfvo type="percentile" val="50"/>
        <cfvo type="max"/>
        <color rgb="FFF8696B"/>
        <color rgb="FFFFEB84"/>
        <color rgb="FF63BE7B"/>
      </colorScale>
    </cfRule>
    <cfRule type="cellIs" dxfId="6867" priority="13579" operator="equal">
      <formula>"Tax"</formula>
    </cfRule>
    <cfRule type="cellIs" dxfId="6866" priority="13580" operator="equal">
      <formula>"Cost of Sales"</formula>
    </cfRule>
    <cfRule type="cellIs" dxfId="6865" priority="13581" operator="equal">
      <formula>"Payroll"</formula>
    </cfRule>
    <cfRule type="cellIs" dxfId="6864" priority="13582" operator="equal">
      <formula>"Investment"</formula>
    </cfRule>
    <cfRule type="cellIs" dxfId="6863" priority="13583" operator="equal">
      <formula>"Sunk"</formula>
    </cfRule>
    <cfRule type="cellIs" dxfId="6862" priority="13584" operator="equal">
      <formula>"OpEx"</formula>
    </cfRule>
    <cfRule type="cellIs" dxfId="6861" priority="13585" operator="equal">
      <formula>"CapEx"</formula>
    </cfRule>
    <cfRule type="cellIs" dxfId="6860" priority="13586" operator="equal">
      <formula>"Income"</formula>
    </cfRule>
    <cfRule type="dataBar" priority="13587">
      <dataBar>
        <cfvo type="min"/>
        <cfvo type="max"/>
        <color rgb="FF638EC6"/>
      </dataBar>
    </cfRule>
    <cfRule type="colorScale" priority="13588">
      <colorScale>
        <cfvo type="min"/>
        <cfvo type="percentile" val="50"/>
        <cfvo type="max"/>
        <color rgb="FFF8696B"/>
        <color rgb="FFFFEB84"/>
        <color rgb="FF63BE7B"/>
      </colorScale>
    </cfRule>
  </conditionalFormatting>
  <conditionalFormatting sqref="F231">
    <cfRule type="dataBar" priority="13596">
      <dataBar>
        <cfvo type="min"/>
        <cfvo type="max"/>
        <color rgb="FF638EC6"/>
      </dataBar>
    </cfRule>
    <cfRule type="colorScale" priority="13597">
      <colorScale>
        <cfvo type="min"/>
        <cfvo type="percentile" val="50"/>
        <cfvo type="max"/>
        <color rgb="FFF8696B"/>
        <color rgb="FFFFEB84"/>
        <color rgb="FF63BE7B"/>
      </colorScale>
    </cfRule>
    <cfRule type="cellIs" dxfId="6859" priority="13598" operator="equal">
      <formula>"Tax"</formula>
    </cfRule>
    <cfRule type="cellIs" dxfId="6858" priority="13599" operator="equal">
      <formula>"Cost of Sales"</formula>
    </cfRule>
    <cfRule type="cellIs" dxfId="6857" priority="13600" operator="equal">
      <formula>"Payroll"</formula>
    </cfRule>
    <cfRule type="cellIs" dxfId="6856" priority="13601" operator="equal">
      <formula>"Investment"</formula>
    </cfRule>
    <cfRule type="cellIs" dxfId="6855" priority="13602" operator="equal">
      <formula>"Sunk"</formula>
    </cfRule>
    <cfRule type="cellIs" dxfId="6854" priority="13603" operator="equal">
      <formula>"OpEx"</formula>
    </cfRule>
    <cfRule type="cellIs" dxfId="6853" priority="13604" operator="equal">
      <formula>"CapEx"</formula>
    </cfRule>
    <cfRule type="cellIs" dxfId="6852" priority="13605" operator="equal">
      <formula>"Income"</formula>
    </cfRule>
    <cfRule type="dataBar" priority="13606">
      <dataBar>
        <cfvo type="min"/>
        <cfvo type="max"/>
        <color rgb="FF638EC6"/>
      </dataBar>
    </cfRule>
    <cfRule type="colorScale" priority="13607">
      <colorScale>
        <cfvo type="min"/>
        <cfvo type="percentile" val="50"/>
        <cfvo type="max"/>
        <color rgb="FFF8696B"/>
        <color rgb="FFFFEB84"/>
        <color rgb="FF63BE7B"/>
      </colorScale>
    </cfRule>
    <cfRule type="cellIs" dxfId="6851" priority="13608" operator="equal">
      <formula>"Cost of Sales"</formula>
    </cfRule>
    <cfRule type="cellIs" dxfId="6850" priority="13609" operator="equal">
      <formula>"Payroll"</formula>
    </cfRule>
    <cfRule type="cellIs" dxfId="6849" priority="13610" operator="equal">
      <formula>"Investment"</formula>
    </cfRule>
    <cfRule type="cellIs" dxfId="6848" priority="13611" operator="equal">
      <formula>"Sunk"</formula>
    </cfRule>
    <cfRule type="cellIs" dxfId="6847" priority="13612" operator="equal">
      <formula>"OpEx"</formula>
    </cfRule>
    <cfRule type="cellIs" dxfId="6846" priority="13613" operator="equal">
      <formula>"CapEx"</formula>
    </cfRule>
    <cfRule type="cellIs" dxfId="6845" priority="13614" operator="equal">
      <formula>"Income"</formula>
    </cfRule>
  </conditionalFormatting>
  <conditionalFormatting sqref="F232 F226">
    <cfRule type="dataBar" priority="13654">
      <dataBar>
        <cfvo type="min"/>
        <cfvo type="max"/>
        <color rgb="FF638EC6"/>
      </dataBar>
    </cfRule>
    <cfRule type="colorScale" priority="13655">
      <colorScale>
        <cfvo type="min"/>
        <cfvo type="percentile" val="50"/>
        <cfvo type="max"/>
        <color rgb="FFF8696B"/>
        <color rgb="FFFFEB84"/>
        <color rgb="FF63BE7B"/>
      </colorScale>
    </cfRule>
  </conditionalFormatting>
  <conditionalFormatting sqref="F233">
    <cfRule type="dataBar" priority="13546">
      <dataBar>
        <cfvo type="min"/>
        <cfvo type="max"/>
        <color rgb="FF638EC6"/>
      </dataBar>
    </cfRule>
    <cfRule type="colorScale" priority="13547">
      <colorScale>
        <cfvo type="min"/>
        <cfvo type="percentile" val="50"/>
        <cfvo type="max"/>
        <color rgb="FFF8696B"/>
        <color rgb="FFFFEB84"/>
        <color rgb="FF63BE7B"/>
      </colorScale>
    </cfRule>
    <cfRule type="cellIs" dxfId="6844" priority="13548" operator="equal">
      <formula>"Tax"</formula>
    </cfRule>
    <cfRule type="cellIs" dxfId="6843" priority="13549" operator="equal">
      <formula>"Cost of Sales"</formula>
    </cfRule>
    <cfRule type="cellIs" dxfId="6842" priority="13550" operator="equal">
      <formula>"Payroll"</formula>
    </cfRule>
    <cfRule type="cellIs" dxfId="6841" priority="13551" operator="equal">
      <formula>"Investment"</formula>
    </cfRule>
    <cfRule type="cellIs" dxfId="6840" priority="13552" operator="equal">
      <formula>"Sunk"</formula>
    </cfRule>
    <cfRule type="cellIs" dxfId="6839" priority="13553" operator="equal">
      <formula>"OpEx"</formula>
    </cfRule>
    <cfRule type="cellIs" dxfId="6838" priority="13554" operator="equal">
      <formula>"CapEx"</formula>
    </cfRule>
    <cfRule type="cellIs" dxfId="6837" priority="13555" operator="equal">
      <formula>"Income"</formula>
    </cfRule>
    <cfRule type="dataBar" priority="13557">
      <dataBar>
        <cfvo type="min"/>
        <cfvo type="max"/>
        <color rgb="FF638EC6"/>
      </dataBar>
    </cfRule>
    <cfRule type="colorScale" priority="13558">
      <colorScale>
        <cfvo type="min"/>
        <cfvo type="percentile" val="50"/>
        <cfvo type="max"/>
        <color rgb="FFF8696B"/>
        <color rgb="FFFFEB84"/>
        <color rgb="FF63BE7B"/>
      </colorScale>
    </cfRule>
    <cfRule type="cellIs" dxfId="6836" priority="13559" operator="equal">
      <formula>"Cost of Sales"</formula>
    </cfRule>
    <cfRule type="cellIs" dxfId="6835" priority="13560" operator="equal">
      <formula>"Payroll"</formula>
    </cfRule>
    <cfRule type="cellIs" dxfId="6834" priority="13561" operator="equal">
      <formula>"Investment"</formula>
    </cfRule>
    <cfRule type="cellIs" dxfId="6833" priority="13562" operator="equal">
      <formula>"Sunk"</formula>
    </cfRule>
    <cfRule type="cellIs" dxfId="6832" priority="13563" operator="equal">
      <formula>"OpEx"</formula>
    </cfRule>
    <cfRule type="cellIs" dxfId="6831" priority="13564" operator="equal">
      <formula>"CapEx"</formula>
    </cfRule>
    <cfRule type="cellIs" dxfId="6830" priority="13565" operator="equal">
      <formula>"Income"</formula>
    </cfRule>
  </conditionalFormatting>
  <conditionalFormatting sqref="F234:F235">
    <cfRule type="dataBar" priority="13522">
      <dataBar>
        <cfvo type="min"/>
        <cfvo type="max"/>
        <color rgb="FF638EC6"/>
      </dataBar>
    </cfRule>
    <cfRule type="colorScale" priority="13523">
      <colorScale>
        <cfvo type="min"/>
        <cfvo type="percentile" val="50"/>
        <cfvo type="max"/>
        <color rgb="FFF8696B"/>
        <color rgb="FFFFEB84"/>
        <color rgb="FF63BE7B"/>
      </colorScale>
    </cfRule>
    <cfRule type="cellIs" dxfId="6829" priority="13524" operator="equal">
      <formula>"Tax"</formula>
    </cfRule>
    <cfRule type="cellIs" dxfId="6828" priority="13525" operator="equal">
      <formula>"Cost of Sales"</formula>
    </cfRule>
    <cfRule type="cellIs" dxfId="6827" priority="13526" operator="equal">
      <formula>"Payroll"</formula>
    </cfRule>
    <cfRule type="cellIs" dxfId="6826" priority="13527" operator="equal">
      <formula>"Investment"</formula>
    </cfRule>
    <cfRule type="cellIs" dxfId="6825" priority="13528" operator="equal">
      <formula>"Sunk"</formula>
    </cfRule>
    <cfRule type="cellIs" dxfId="6824" priority="13529" operator="equal">
      <formula>"OpEx"</formula>
    </cfRule>
    <cfRule type="cellIs" dxfId="6823" priority="13530" operator="equal">
      <formula>"CapEx"</formula>
    </cfRule>
    <cfRule type="dataBar" priority="13531">
      <dataBar>
        <cfvo type="min"/>
        <cfvo type="max"/>
        <color rgb="FF638EC6"/>
      </dataBar>
    </cfRule>
    <cfRule type="colorScale" priority="13532">
      <colorScale>
        <cfvo type="min"/>
        <cfvo type="percentile" val="50"/>
        <cfvo type="max"/>
        <color rgb="FFF8696B"/>
        <color rgb="FFFFEB84"/>
        <color rgb="FF63BE7B"/>
      </colorScale>
    </cfRule>
    <cfRule type="cellIs" dxfId="6822" priority="13533" operator="equal">
      <formula>"Tax"</formula>
    </cfRule>
    <cfRule type="cellIs" dxfId="6821" priority="13534" operator="equal">
      <formula>"Income"</formula>
    </cfRule>
  </conditionalFormatting>
  <conditionalFormatting sqref="F234:F236">
    <cfRule type="cellIs" dxfId="6820" priority="13496" operator="equal">
      <formula>"Income"</formula>
    </cfRule>
    <cfRule type="cellIs" dxfId="6819" priority="13497" operator="equal">
      <formula>"Cost of Sales"</formula>
    </cfRule>
    <cfRule type="cellIs" dxfId="6818" priority="13498" operator="equal">
      <formula>"Payroll"</formula>
    </cfRule>
    <cfRule type="cellIs" dxfId="6817" priority="13499" operator="equal">
      <formula>"Investment"</formula>
    </cfRule>
    <cfRule type="cellIs" dxfId="6816" priority="13500" operator="equal">
      <formula>"Sunk"</formula>
    </cfRule>
    <cfRule type="cellIs" dxfId="6815" priority="13501" operator="equal">
      <formula>"OpEx"</formula>
    </cfRule>
    <cfRule type="cellIs" dxfId="6814" priority="13502" operator="equal">
      <formula>"CapEx"</formula>
    </cfRule>
  </conditionalFormatting>
  <conditionalFormatting sqref="F236">
    <cfRule type="dataBar" priority="13493">
      <dataBar>
        <cfvo type="min"/>
        <cfvo type="max"/>
        <color rgb="FF638EC6"/>
      </dataBar>
    </cfRule>
    <cfRule type="colorScale" priority="13494">
      <colorScale>
        <cfvo type="min"/>
        <cfvo type="percentile" val="50"/>
        <cfvo type="max"/>
        <color rgb="FFF8696B"/>
        <color rgb="FFFFEB84"/>
        <color rgb="FF63BE7B"/>
      </colorScale>
    </cfRule>
    <cfRule type="cellIs" dxfId="6813" priority="13495" operator="equal">
      <formula>"Tax"</formula>
    </cfRule>
  </conditionalFormatting>
  <conditionalFormatting sqref="F237">
    <cfRule type="dataBar" priority="13490">
      <dataBar>
        <cfvo type="min"/>
        <cfvo type="max"/>
        <color rgb="FF638EC6"/>
      </dataBar>
    </cfRule>
    <cfRule type="colorScale" priority="13491">
      <colorScale>
        <cfvo type="min"/>
        <cfvo type="percentile" val="50"/>
        <cfvo type="max"/>
        <color rgb="FFF8696B"/>
        <color rgb="FFFFEB84"/>
        <color rgb="FF63BE7B"/>
      </colorScale>
    </cfRule>
    <cfRule type="cellIs" dxfId="6812" priority="13492" operator="equal">
      <formula>"Tax"</formula>
    </cfRule>
  </conditionalFormatting>
  <conditionalFormatting sqref="F237:F238">
    <cfRule type="cellIs" dxfId="6811" priority="13479" operator="equal">
      <formula>"Income"</formula>
    </cfRule>
    <cfRule type="cellIs" dxfId="6810" priority="13480" operator="equal">
      <formula>"Cost of Sales"</formula>
    </cfRule>
    <cfRule type="cellIs" dxfId="6809" priority="13481" operator="equal">
      <formula>"Payroll"</formula>
    </cfRule>
    <cfRule type="cellIs" dxfId="6808" priority="13482" operator="equal">
      <formula>"Investment"</formula>
    </cfRule>
    <cfRule type="cellIs" dxfId="6807" priority="13483" operator="equal">
      <formula>"Sunk"</formula>
    </cfRule>
    <cfRule type="cellIs" dxfId="6806" priority="13484" operator="equal">
      <formula>"OpEx"</formula>
    </cfRule>
    <cfRule type="cellIs" dxfId="6805" priority="13485" operator="equal">
      <formula>"CapEx"</formula>
    </cfRule>
  </conditionalFormatting>
  <conditionalFormatting sqref="F238">
    <cfRule type="dataBar" priority="13476">
      <dataBar>
        <cfvo type="min"/>
        <cfvo type="max"/>
        <color rgb="FF638EC6"/>
      </dataBar>
    </cfRule>
    <cfRule type="colorScale" priority="13477">
      <colorScale>
        <cfvo type="min"/>
        <cfvo type="percentile" val="50"/>
        <cfvo type="max"/>
        <color rgb="FFF8696B"/>
        <color rgb="FFFFEB84"/>
        <color rgb="FF63BE7B"/>
      </colorScale>
    </cfRule>
    <cfRule type="cellIs" dxfId="6804" priority="13478" operator="equal">
      <formula>"Tax"</formula>
    </cfRule>
  </conditionalFormatting>
  <conditionalFormatting sqref="F239">
    <cfRule type="dataBar" priority="13467">
      <dataBar>
        <cfvo type="min"/>
        <cfvo type="max"/>
        <color rgb="FF638EC6"/>
      </dataBar>
    </cfRule>
    <cfRule type="colorScale" priority="13468">
      <colorScale>
        <cfvo type="min"/>
        <cfvo type="percentile" val="50"/>
        <cfvo type="max"/>
        <color rgb="FFF8696B"/>
        <color rgb="FFFFEB84"/>
        <color rgb="FF63BE7B"/>
      </colorScale>
    </cfRule>
    <cfRule type="cellIs" dxfId="6803" priority="13469" operator="equal">
      <formula>"Tax"</formula>
    </cfRule>
    <cfRule type="cellIs" dxfId="6802" priority="13470" operator="equal">
      <formula>"Cost of Sales"</formula>
    </cfRule>
    <cfRule type="cellIs" dxfId="6801" priority="13471" operator="equal">
      <formula>"Payroll"</formula>
    </cfRule>
    <cfRule type="cellIs" dxfId="6800" priority="13472" operator="equal">
      <formula>"Investment"</formula>
    </cfRule>
    <cfRule type="cellIs" dxfId="6799" priority="13473" operator="equal">
      <formula>"Sunk"</formula>
    </cfRule>
    <cfRule type="cellIs" dxfId="6798" priority="13474" operator="equal">
      <formula>"OpEx"</formula>
    </cfRule>
    <cfRule type="cellIs" dxfId="6797" priority="13475" operator="equal">
      <formula>"CapEx"</formula>
    </cfRule>
  </conditionalFormatting>
  <conditionalFormatting sqref="F239:F240">
    <cfRule type="cellIs" dxfId="6796" priority="13447" operator="equal">
      <formula>"Income"</formula>
    </cfRule>
  </conditionalFormatting>
  <conditionalFormatting sqref="F240">
    <cfRule type="dataBar" priority="13445">
      <dataBar>
        <cfvo type="min"/>
        <cfvo type="max"/>
        <color rgb="FF638EC6"/>
      </dataBar>
    </cfRule>
    <cfRule type="colorScale" priority="13446">
      <colorScale>
        <cfvo type="min"/>
        <cfvo type="percentile" val="50"/>
        <cfvo type="max"/>
        <color rgb="FFF8696B"/>
        <color rgb="FFFFEB84"/>
        <color rgb="FF63BE7B"/>
      </colorScale>
    </cfRule>
    <cfRule type="cellIs" dxfId="6795" priority="13448" operator="equal">
      <formula>"Cost of Sales"</formula>
    </cfRule>
    <cfRule type="cellIs" dxfId="6794" priority="13449" operator="equal">
      <formula>"Payroll"</formula>
    </cfRule>
    <cfRule type="cellIs" dxfId="6793" priority="13450" operator="equal">
      <formula>"Investment"</formula>
    </cfRule>
    <cfRule type="cellIs" dxfId="6792" priority="13451" operator="equal">
      <formula>"Sunk"</formula>
    </cfRule>
    <cfRule type="cellIs" dxfId="6791" priority="13452" operator="equal">
      <formula>"OpEx"</formula>
    </cfRule>
    <cfRule type="cellIs" dxfId="6790" priority="13453" operator="equal">
      <formula>"CapEx"</formula>
    </cfRule>
  </conditionalFormatting>
  <conditionalFormatting sqref="F240:F241">
    <cfRule type="cellIs" dxfId="6789" priority="13454" operator="equal">
      <formula>"Tax"</formula>
    </cfRule>
  </conditionalFormatting>
  <conditionalFormatting sqref="F241">
    <cfRule type="dataBar" priority="13443">
      <dataBar>
        <cfvo type="min"/>
        <cfvo type="max"/>
        <color rgb="FF638EC6"/>
      </dataBar>
    </cfRule>
    <cfRule type="colorScale" priority="13444">
      <colorScale>
        <cfvo type="min"/>
        <cfvo type="percentile" val="50"/>
        <cfvo type="max"/>
        <color rgb="FFF8696B"/>
        <color rgb="FFFFEB84"/>
        <color rgb="FF63BE7B"/>
      </colorScale>
    </cfRule>
  </conditionalFormatting>
  <conditionalFormatting sqref="F241:F242">
    <cfRule type="cellIs" dxfId="6788" priority="13416" operator="equal">
      <formula>"Cost of Sales"</formula>
    </cfRule>
    <cfRule type="cellIs" dxfId="6787" priority="13417" operator="equal">
      <formula>"Payroll"</formula>
    </cfRule>
    <cfRule type="cellIs" dxfId="6786" priority="13418" operator="equal">
      <formula>"Investment"</formula>
    </cfRule>
    <cfRule type="cellIs" dxfId="6785" priority="13419" operator="equal">
      <formula>"Sunk"</formula>
    </cfRule>
    <cfRule type="cellIs" dxfId="6784" priority="13420" operator="equal">
      <formula>"OpEx"</formula>
    </cfRule>
    <cfRule type="cellIs" dxfId="6783" priority="13421" operator="equal">
      <formula>"CapEx"</formula>
    </cfRule>
  </conditionalFormatting>
  <conditionalFormatting sqref="F241:F243">
    <cfRule type="cellIs" dxfId="6782" priority="13390" operator="equal">
      <formula>"Income"</formula>
    </cfRule>
  </conditionalFormatting>
  <conditionalFormatting sqref="F242">
    <cfRule type="dataBar" priority="13413">
      <dataBar>
        <cfvo type="min"/>
        <cfvo type="max"/>
        <color rgb="FF638EC6"/>
      </dataBar>
    </cfRule>
    <cfRule type="colorScale" priority="13414">
      <colorScale>
        <cfvo type="min"/>
        <cfvo type="percentile" val="50"/>
        <cfvo type="max"/>
        <color rgb="FFF8696B"/>
        <color rgb="FFFFEB84"/>
        <color rgb="FF63BE7B"/>
      </colorScale>
    </cfRule>
    <cfRule type="cellIs" dxfId="6781" priority="13415" operator="equal">
      <formula>"Tax"</formula>
    </cfRule>
  </conditionalFormatting>
  <conditionalFormatting sqref="F243">
    <cfRule type="dataBar" priority="13387">
      <dataBar>
        <cfvo type="min"/>
        <cfvo type="max"/>
        <color rgb="FF638EC6"/>
      </dataBar>
    </cfRule>
    <cfRule type="colorScale" priority="13388">
      <colorScale>
        <cfvo type="min"/>
        <cfvo type="percentile" val="50"/>
        <cfvo type="max"/>
        <color rgb="FFF8696B"/>
        <color rgb="FFFFEB84"/>
        <color rgb="FF63BE7B"/>
      </colorScale>
    </cfRule>
    <cfRule type="cellIs" dxfId="6780" priority="13389" operator="equal">
      <formula>"Tax"</formula>
    </cfRule>
    <cfRule type="cellIs" dxfId="6779" priority="13391" operator="equal">
      <formula>"Cost of Sales"</formula>
    </cfRule>
    <cfRule type="cellIs" dxfId="6778" priority="13392" operator="equal">
      <formula>"Payroll"</formula>
    </cfRule>
    <cfRule type="cellIs" dxfId="6777" priority="13393" operator="equal">
      <formula>"Investment"</formula>
    </cfRule>
    <cfRule type="cellIs" dxfId="6776" priority="13394" operator="equal">
      <formula>"Sunk"</formula>
    </cfRule>
    <cfRule type="cellIs" dxfId="6775" priority="13395" operator="equal">
      <formula>"OpEx"</formula>
    </cfRule>
    <cfRule type="cellIs" dxfId="6774" priority="13396" operator="equal">
      <formula>"CapEx"</formula>
    </cfRule>
    <cfRule type="dataBar" priority="13397">
      <dataBar>
        <cfvo type="min"/>
        <cfvo type="max"/>
        <color rgb="FF638EC6"/>
      </dataBar>
    </cfRule>
    <cfRule type="colorScale" priority="13398">
      <colorScale>
        <cfvo type="min"/>
        <cfvo type="percentile" val="50"/>
        <cfvo type="max"/>
        <color rgb="FFF8696B"/>
        <color rgb="FFFFEB84"/>
        <color rgb="FF63BE7B"/>
      </colorScale>
    </cfRule>
    <cfRule type="cellIs" dxfId="6773" priority="13399" operator="equal">
      <formula>"Tax"</formula>
    </cfRule>
  </conditionalFormatting>
  <conditionalFormatting sqref="F243:F245">
    <cfRule type="cellIs" dxfId="6772" priority="13356" operator="equal">
      <formula>"Income"</formula>
    </cfRule>
    <cfRule type="cellIs" dxfId="6771" priority="13357" operator="equal">
      <formula>"Cost of Sales"</formula>
    </cfRule>
    <cfRule type="cellIs" dxfId="6770" priority="13358" operator="equal">
      <formula>"Payroll"</formula>
    </cfRule>
    <cfRule type="cellIs" dxfId="6769" priority="13359" operator="equal">
      <formula>"Investment"</formula>
    </cfRule>
    <cfRule type="cellIs" dxfId="6768" priority="13360" operator="equal">
      <formula>"Sunk"</formula>
    </cfRule>
    <cfRule type="cellIs" dxfId="6767" priority="13361" operator="equal">
      <formula>"OpEx"</formula>
    </cfRule>
    <cfRule type="cellIs" dxfId="6766" priority="13362" operator="equal">
      <formula>"CapEx"</formula>
    </cfRule>
  </conditionalFormatting>
  <conditionalFormatting sqref="F244">
    <cfRule type="dataBar" priority="13367">
      <dataBar>
        <cfvo type="min"/>
        <cfvo type="max"/>
        <color rgb="FF638EC6"/>
      </dataBar>
    </cfRule>
    <cfRule type="colorScale" priority="13368">
      <colorScale>
        <cfvo type="min"/>
        <cfvo type="percentile" val="50"/>
        <cfvo type="max"/>
        <color rgb="FFF8696B"/>
        <color rgb="FFFFEB84"/>
        <color rgb="FF63BE7B"/>
      </colorScale>
    </cfRule>
  </conditionalFormatting>
  <conditionalFormatting sqref="F244:F245">
    <cfRule type="cellIs" dxfId="6765" priority="13355" operator="equal">
      <formula>"Tax"</formula>
    </cfRule>
  </conditionalFormatting>
  <conditionalFormatting sqref="F245">
    <cfRule type="dataBar" priority="13353">
      <dataBar>
        <cfvo type="min"/>
        <cfvo type="max"/>
        <color rgb="FF638EC6"/>
      </dataBar>
    </cfRule>
    <cfRule type="colorScale" priority="13354">
      <colorScale>
        <cfvo type="min"/>
        <cfvo type="percentile" val="50"/>
        <cfvo type="max"/>
        <color rgb="FFF8696B"/>
        <color rgb="FFFFEB84"/>
        <color rgb="FF63BE7B"/>
      </colorScale>
    </cfRule>
  </conditionalFormatting>
  <conditionalFormatting sqref="F246">
    <cfRule type="dataBar" priority="13291">
      <dataBar>
        <cfvo type="min"/>
        <cfvo type="max"/>
        <color rgb="FF638EC6"/>
      </dataBar>
    </cfRule>
    <cfRule type="colorScale" priority="13292">
      <colorScale>
        <cfvo type="min"/>
        <cfvo type="percentile" val="50"/>
        <cfvo type="max"/>
        <color rgb="FFF8696B"/>
        <color rgb="FFFFEB84"/>
        <color rgb="FF63BE7B"/>
      </colorScale>
    </cfRule>
    <cfRule type="dataBar" priority="13293">
      <dataBar>
        <cfvo type="min"/>
        <cfvo type="max"/>
        <color rgb="FF638EC6"/>
      </dataBar>
    </cfRule>
    <cfRule type="colorScale" priority="13294">
      <colorScale>
        <cfvo type="min"/>
        <cfvo type="percentile" val="50"/>
        <cfvo type="max"/>
        <color rgb="FFF8696B"/>
        <color rgb="FFFFEB84"/>
        <color rgb="FF63BE7B"/>
      </colorScale>
    </cfRule>
    <cfRule type="cellIs" dxfId="6764" priority="13302" operator="equal">
      <formula>"Tax"</formula>
    </cfRule>
  </conditionalFormatting>
  <conditionalFormatting sqref="F246:F247">
    <cfRule type="cellIs" dxfId="6763" priority="13295" operator="equal">
      <formula>"Cost of Sales"</formula>
    </cfRule>
    <cfRule type="cellIs" dxfId="6762" priority="13296" operator="equal">
      <formula>"Payroll"</formula>
    </cfRule>
    <cfRule type="cellIs" dxfId="6761" priority="13297" operator="equal">
      <formula>"Investment"</formula>
    </cfRule>
    <cfRule type="cellIs" dxfId="6760" priority="13298" operator="equal">
      <formula>"Sunk"</formula>
    </cfRule>
    <cfRule type="cellIs" dxfId="6759" priority="13299" operator="equal">
      <formula>"OpEx"</formula>
    </cfRule>
    <cfRule type="cellIs" dxfId="6758" priority="13300" operator="equal">
      <formula>"CapEx"</formula>
    </cfRule>
    <cfRule type="cellIs" dxfId="6757" priority="13301" operator="equal">
      <formula>"Income"</formula>
    </cfRule>
  </conditionalFormatting>
  <conditionalFormatting sqref="F247">
    <cfRule type="dataBar" priority="13333">
      <dataBar>
        <cfvo type="min"/>
        <cfvo type="max"/>
        <color rgb="FF638EC6"/>
      </dataBar>
    </cfRule>
    <cfRule type="colorScale" priority="13334">
      <colorScale>
        <cfvo type="min"/>
        <cfvo type="percentile" val="50"/>
        <cfvo type="max"/>
        <color rgb="FFF8696B"/>
        <color rgb="FFFFEB84"/>
        <color rgb="FF63BE7B"/>
      </colorScale>
    </cfRule>
    <cfRule type="cellIs" dxfId="6756" priority="13335" operator="equal">
      <formula>"Tax"</formula>
    </cfRule>
    <cfRule type="cellIs" dxfId="6755" priority="13336" operator="equal">
      <formula>"Cost of Sales"</formula>
    </cfRule>
    <cfRule type="cellIs" dxfId="6754" priority="13337" operator="equal">
      <formula>"Payroll"</formula>
    </cfRule>
    <cfRule type="cellIs" dxfId="6753" priority="13338" operator="equal">
      <formula>"Investment"</formula>
    </cfRule>
    <cfRule type="cellIs" dxfId="6752" priority="13339" operator="equal">
      <formula>"Sunk"</formula>
    </cfRule>
    <cfRule type="cellIs" dxfId="6751" priority="13340" operator="equal">
      <formula>"OpEx"</formula>
    </cfRule>
    <cfRule type="cellIs" dxfId="6750" priority="13341" operator="equal">
      <formula>"CapEx"</formula>
    </cfRule>
    <cfRule type="dataBar" priority="13342">
      <dataBar>
        <cfvo type="min"/>
        <cfvo type="max"/>
        <color rgb="FF638EC6"/>
      </dataBar>
    </cfRule>
    <cfRule type="colorScale" priority="13343">
      <colorScale>
        <cfvo type="min"/>
        <cfvo type="percentile" val="50"/>
        <cfvo type="max"/>
        <color rgb="FFF8696B"/>
        <color rgb="FFFFEB84"/>
        <color rgb="FF63BE7B"/>
      </colorScale>
    </cfRule>
    <cfRule type="cellIs" dxfId="6749" priority="13344" operator="equal">
      <formula>"Tax"</formula>
    </cfRule>
    <cfRule type="cellIs" dxfId="6748" priority="13345" operator="equal">
      <formula>"Income"</formula>
    </cfRule>
  </conditionalFormatting>
  <conditionalFormatting sqref="F248">
    <cfRule type="dataBar" priority="13269">
      <dataBar>
        <cfvo type="min"/>
        <cfvo type="max"/>
        <color rgb="FF638EC6"/>
      </dataBar>
    </cfRule>
    <cfRule type="colorScale" priority="13270">
      <colorScale>
        <cfvo type="min"/>
        <cfvo type="percentile" val="50"/>
        <cfvo type="max"/>
        <color rgb="FFF8696B"/>
        <color rgb="FFFFEB84"/>
        <color rgb="FF63BE7B"/>
      </colorScale>
    </cfRule>
    <cfRule type="cellIs" dxfId="6747" priority="13271" operator="equal">
      <formula>"Tax"</formula>
    </cfRule>
    <cfRule type="cellIs" dxfId="6746" priority="13272" operator="equal">
      <formula>"Income"</formula>
    </cfRule>
    <cfRule type="cellIs" dxfId="6745" priority="13273" operator="equal">
      <formula>"Cost of Sales"</formula>
    </cfRule>
    <cfRule type="cellIs" dxfId="6744" priority="13274" operator="equal">
      <formula>"Payroll"</formula>
    </cfRule>
    <cfRule type="cellIs" dxfId="6743" priority="13275" operator="equal">
      <formula>"Investment"</formula>
    </cfRule>
    <cfRule type="cellIs" dxfId="6742" priority="13276" operator="equal">
      <formula>"Sunk"</formula>
    </cfRule>
    <cfRule type="cellIs" dxfId="6741" priority="13277" operator="equal">
      <formula>"OpEx"</formula>
    </cfRule>
    <cfRule type="cellIs" dxfId="6740" priority="13278" operator="equal">
      <formula>"CapEx"</formula>
    </cfRule>
  </conditionalFormatting>
  <conditionalFormatting sqref="F249">
    <cfRule type="dataBar" priority="13260">
      <dataBar>
        <cfvo type="min"/>
        <cfvo type="max"/>
        <color rgb="FF638EC6"/>
      </dataBar>
    </cfRule>
    <cfRule type="colorScale" priority="13261">
      <colorScale>
        <cfvo type="min"/>
        <cfvo type="percentile" val="50"/>
        <cfvo type="max"/>
        <color rgb="FFF8696B"/>
        <color rgb="FFFFEB84"/>
        <color rgb="FF63BE7B"/>
      </colorScale>
    </cfRule>
    <cfRule type="cellIs" dxfId="6739" priority="13262" operator="equal">
      <formula>"Tax"</formula>
    </cfRule>
    <cfRule type="cellIs" dxfId="6738" priority="13263" operator="equal">
      <formula>"Cost of Sales"</formula>
    </cfRule>
    <cfRule type="cellIs" dxfId="6737" priority="13264" operator="equal">
      <formula>"Payroll"</formula>
    </cfRule>
    <cfRule type="cellIs" dxfId="6736" priority="13265" operator="equal">
      <formula>"Investment"</formula>
    </cfRule>
    <cfRule type="cellIs" dxfId="6735" priority="13266" operator="equal">
      <formula>"Sunk"</formula>
    </cfRule>
    <cfRule type="cellIs" dxfId="6734" priority="13267" operator="equal">
      <formula>"OpEx"</formula>
    </cfRule>
    <cfRule type="cellIs" dxfId="6733" priority="13268" operator="equal">
      <formula>"CapEx"</formula>
    </cfRule>
  </conditionalFormatting>
  <conditionalFormatting sqref="F249:F254">
    <cfRule type="cellIs" dxfId="6732" priority="13233" operator="equal">
      <formula>"Income"</formula>
    </cfRule>
  </conditionalFormatting>
  <conditionalFormatting sqref="F250">
    <cfRule type="dataBar" priority="13231">
      <dataBar>
        <cfvo type="min"/>
        <cfvo type="max"/>
        <color rgb="FF638EC6"/>
      </dataBar>
    </cfRule>
    <cfRule type="colorScale" priority="13232">
      <colorScale>
        <cfvo type="min"/>
        <cfvo type="percentile" val="50"/>
        <cfvo type="max"/>
        <color rgb="FFF8696B"/>
        <color rgb="FFFFEB84"/>
        <color rgb="FF63BE7B"/>
      </colorScale>
    </cfRule>
    <cfRule type="cellIs" dxfId="6731" priority="13234" operator="equal">
      <formula>"Cost of Sales"</formula>
    </cfRule>
    <cfRule type="cellIs" dxfId="6730" priority="13235" operator="equal">
      <formula>"Payroll"</formula>
    </cfRule>
    <cfRule type="cellIs" dxfId="6729" priority="13236" operator="equal">
      <formula>"Investment"</formula>
    </cfRule>
    <cfRule type="cellIs" dxfId="6728" priority="13237" operator="equal">
      <formula>"Sunk"</formula>
    </cfRule>
    <cfRule type="cellIs" dxfId="6727" priority="13238" operator="equal">
      <formula>"OpEx"</formula>
    </cfRule>
    <cfRule type="cellIs" dxfId="6726" priority="13239" operator="equal">
      <formula>"CapEx"</formula>
    </cfRule>
  </conditionalFormatting>
  <conditionalFormatting sqref="F250:F251">
    <cfRule type="cellIs" dxfId="6725" priority="13230" operator="equal">
      <formula>"Tax"</formula>
    </cfRule>
  </conditionalFormatting>
  <conditionalFormatting sqref="F251">
    <cfRule type="dataBar" priority="13205">
      <dataBar>
        <cfvo type="min"/>
        <cfvo type="max"/>
        <color rgb="FF638EC6"/>
      </dataBar>
    </cfRule>
    <cfRule type="colorScale" priority="13206">
      <colorScale>
        <cfvo type="min"/>
        <cfvo type="percentile" val="50"/>
        <cfvo type="max"/>
        <color rgb="FFF8696B"/>
        <color rgb="FFFFEB84"/>
        <color rgb="FF63BE7B"/>
      </colorScale>
    </cfRule>
  </conditionalFormatting>
  <conditionalFormatting sqref="F251:F254">
    <cfRule type="cellIs" dxfId="6724" priority="13199" operator="equal">
      <formula>"Cost of Sales"</formula>
    </cfRule>
    <cfRule type="cellIs" dxfId="6723" priority="13200" operator="equal">
      <formula>"Payroll"</formula>
    </cfRule>
    <cfRule type="cellIs" dxfId="6722" priority="13201" operator="equal">
      <formula>"Investment"</formula>
    </cfRule>
    <cfRule type="cellIs" dxfId="6721" priority="13202" operator="equal">
      <formula>"Sunk"</formula>
    </cfRule>
    <cfRule type="cellIs" dxfId="6720" priority="13203" operator="equal">
      <formula>"OpEx"</formula>
    </cfRule>
    <cfRule type="cellIs" dxfId="6719" priority="13204" operator="equal">
      <formula>"CapEx"</formula>
    </cfRule>
  </conditionalFormatting>
  <conditionalFormatting sqref="F252">
    <cfRule type="dataBar" priority="13196">
      <dataBar>
        <cfvo type="min"/>
        <cfvo type="max"/>
        <color rgb="FF638EC6"/>
      </dataBar>
    </cfRule>
    <cfRule type="colorScale" priority="13197">
      <colorScale>
        <cfvo type="min"/>
        <cfvo type="percentile" val="50"/>
        <cfvo type="max"/>
        <color rgb="FFF8696B"/>
        <color rgb="FFFFEB84"/>
        <color rgb="FF63BE7B"/>
      </colorScale>
    </cfRule>
    <cfRule type="cellIs" dxfId="6718" priority="13198" operator="equal">
      <formula>"Tax"</formula>
    </cfRule>
  </conditionalFormatting>
  <conditionalFormatting sqref="F253:F254">
    <cfRule type="dataBar" priority="13193">
      <dataBar>
        <cfvo type="min"/>
        <cfvo type="max"/>
        <color rgb="FF638EC6"/>
      </dataBar>
    </cfRule>
    <cfRule type="colorScale" priority="13194">
      <colorScale>
        <cfvo type="min"/>
        <cfvo type="percentile" val="50"/>
        <cfvo type="max"/>
        <color rgb="FFF8696B"/>
        <color rgb="FFFFEB84"/>
        <color rgb="FF63BE7B"/>
      </colorScale>
    </cfRule>
    <cfRule type="cellIs" dxfId="6717" priority="13195" operator="equal">
      <formula>"Tax"</formula>
    </cfRule>
  </conditionalFormatting>
  <conditionalFormatting sqref="F255">
    <cfRule type="dataBar" priority="13183">
      <dataBar>
        <cfvo type="min"/>
        <cfvo type="max"/>
        <color rgb="FF638EC6"/>
      </dataBar>
    </cfRule>
    <cfRule type="colorScale" priority="13184">
      <colorScale>
        <cfvo type="min"/>
        <cfvo type="percentile" val="50"/>
        <cfvo type="max"/>
        <color rgb="FFF8696B"/>
        <color rgb="FFFFEB84"/>
        <color rgb="FF63BE7B"/>
      </colorScale>
    </cfRule>
    <cfRule type="cellIs" dxfId="6716" priority="13185" operator="equal">
      <formula>"Tax"</formula>
    </cfRule>
    <cfRule type="cellIs" dxfId="6715" priority="13186" operator="equal">
      <formula>"Income"</formula>
    </cfRule>
    <cfRule type="cellIs" dxfId="6714" priority="13187" operator="equal">
      <formula>"Cost of Sales"</formula>
    </cfRule>
    <cfRule type="cellIs" dxfId="6713" priority="13188" operator="equal">
      <formula>"Payroll"</formula>
    </cfRule>
    <cfRule type="cellIs" dxfId="6712" priority="13189" operator="equal">
      <formula>"Investment"</formula>
    </cfRule>
    <cfRule type="cellIs" dxfId="6711" priority="13190" operator="equal">
      <formula>"Sunk"</formula>
    </cfRule>
    <cfRule type="cellIs" dxfId="6710" priority="13191" operator="equal">
      <formula>"OpEx"</formula>
    </cfRule>
    <cfRule type="cellIs" dxfId="6709" priority="13192" operator="equal">
      <formula>"CapEx"</formula>
    </cfRule>
  </conditionalFormatting>
  <conditionalFormatting sqref="F256">
    <cfRule type="dataBar" priority="13173">
      <dataBar>
        <cfvo type="min"/>
        <cfvo type="max"/>
        <color rgb="FF638EC6"/>
      </dataBar>
    </cfRule>
    <cfRule type="colorScale" priority="13174">
      <colorScale>
        <cfvo type="min"/>
        <cfvo type="percentile" val="50"/>
        <cfvo type="max"/>
        <color rgb="FFF8696B"/>
        <color rgb="FFFFEB84"/>
        <color rgb="FF63BE7B"/>
      </colorScale>
    </cfRule>
    <cfRule type="cellIs" dxfId="6708" priority="13175" operator="equal">
      <formula>"Tax"</formula>
    </cfRule>
    <cfRule type="cellIs" dxfId="6707" priority="13176" operator="equal">
      <formula>"Cost of Sales"</formula>
    </cfRule>
    <cfRule type="cellIs" dxfId="6706" priority="13177" operator="equal">
      <formula>"Payroll"</formula>
    </cfRule>
    <cfRule type="cellIs" dxfId="6705" priority="13178" operator="equal">
      <formula>"Investment"</formula>
    </cfRule>
    <cfRule type="cellIs" dxfId="6704" priority="13179" operator="equal">
      <formula>"Sunk"</formula>
    </cfRule>
    <cfRule type="cellIs" dxfId="6703" priority="13180" operator="equal">
      <formula>"OpEx"</formula>
    </cfRule>
    <cfRule type="cellIs" dxfId="6702" priority="13181" operator="equal">
      <formula>"CapEx"</formula>
    </cfRule>
    <cfRule type="cellIs" dxfId="6701" priority="13182" operator="equal">
      <formula>"Income"</formula>
    </cfRule>
  </conditionalFormatting>
  <conditionalFormatting sqref="F257">
    <cfRule type="dataBar" priority="13160">
      <dataBar>
        <cfvo type="min"/>
        <cfvo type="max"/>
        <color rgb="FF638EC6"/>
      </dataBar>
    </cfRule>
    <cfRule type="colorScale" priority="13161">
      <colorScale>
        <cfvo type="min"/>
        <cfvo type="percentile" val="50"/>
        <cfvo type="max"/>
        <color rgb="FFF8696B"/>
        <color rgb="FFFFEB84"/>
        <color rgb="FF63BE7B"/>
      </colorScale>
    </cfRule>
    <cfRule type="cellIs" dxfId="6700" priority="13162" operator="equal">
      <formula>"Tax"</formula>
    </cfRule>
    <cfRule type="cellIs" dxfId="6699" priority="13163" operator="equal">
      <formula>"Cost of Sales"</formula>
    </cfRule>
    <cfRule type="cellIs" dxfId="6698" priority="13164" operator="equal">
      <formula>"Payroll"</formula>
    </cfRule>
    <cfRule type="cellIs" dxfId="6697" priority="13165" operator="equal">
      <formula>"Investment"</formula>
    </cfRule>
    <cfRule type="cellIs" dxfId="6696" priority="13166" operator="equal">
      <formula>"Sunk"</formula>
    </cfRule>
    <cfRule type="cellIs" dxfId="6695" priority="13167" operator="equal">
      <formula>"OpEx"</formula>
    </cfRule>
    <cfRule type="cellIs" dxfId="6694" priority="13168" operator="equal">
      <formula>"CapEx"</formula>
    </cfRule>
    <cfRule type="dataBar" priority="13169">
      <dataBar>
        <cfvo type="min"/>
        <cfvo type="max"/>
        <color rgb="FF638EC6"/>
      </dataBar>
    </cfRule>
    <cfRule type="colorScale" priority="13170">
      <colorScale>
        <cfvo type="min"/>
        <cfvo type="percentile" val="50"/>
        <cfvo type="max"/>
        <color rgb="FFF8696B"/>
        <color rgb="FFFFEB84"/>
        <color rgb="FF63BE7B"/>
      </colorScale>
    </cfRule>
    <cfRule type="cellIs" dxfId="6693" priority="13171" operator="equal">
      <formula>"Tax"</formula>
    </cfRule>
    <cfRule type="cellIs" dxfId="6692" priority="13172" operator="equal">
      <formula>"Income"</formula>
    </cfRule>
  </conditionalFormatting>
  <conditionalFormatting sqref="F257:F260">
    <cfRule type="cellIs" dxfId="6691" priority="13126" operator="equal">
      <formula>"Cost of Sales"</formula>
    </cfRule>
    <cfRule type="cellIs" dxfId="6690" priority="13127" operator="equal">
      <formula>"Payroll"</formula>
    </cfRule>
    <cfRule type="cellIs" dxfId="6689" priority="13128" operator="equal">
      <formula>"Investment"</formula>
    </cfRule>
    <cfRule type="cellIs" dxfId="6688" priority="13129" operator="equal">
      <formula>"Sunk"</formula>
    </cfRule>
    <cfRule type="cellIs" dxfId="6687" priority="13130" operator="equal">
      <formula>"OpEx"</formula>
    </cfRule>
    <cfRule type="cellIs" dxfId="6686" priority="13131" operator="equal">
      <formula>"CapEx"</formula>
    </cfRule>
  </conditionalFormatting>
  <conditionalFormatting sqref="F257:F262">
    <cfRule type="cellIs" dxfId="6685" priority="13093" operator="equal">
      <formula>"Income"</formula>
    </cfRule>
  </conditionalFormatting>
  <conditionalFormatting sqref="F258">
    <cfRule type="dataBar" priority="13123">
      <dataBar>
        <cfvo type="min"/>
        <cfvo type="max"/>
        <color rgb="FF638EC6"/>
      </dataBar>
    </cfRule>
    <cfRule type="colorScale" priority="13124">
      <colorScale>
        <cfvo type="min"/>
        <cfvo type="percentile" val="50"/>
        <cfvo type="max"/>
        <color rgb="FFF8696B"/>
        <color rgb="FFFFEB84"/>
        <color rgb="FF63BE7B"/>
      </colorScale>
    </cfRule>
  </conditionalFormatting>
  <conditionalFormatting sqref="F258:F260">
    <cfRule type="cellIs" dxfId="6684" priority="13125" operator="equal">
      <formula>"Tax"</formula>
    </cfRule>
  </conditionalFormatting>
  <conditionalFormatting sqref="F259:F260 F445 F325 F281 F161 F22 F182 F266 F305 F307 F327">
    <cfRule type="dataBar" priority="192773">
      <dataBar>
        <cfvo type="min"/>
        <cfvo type="max"/>
        <color rgb="FF638EC6"/>
      </dataBar>
    </cfRule>
    <cfRule type="colorScale" priority="192774">
      <colorScale>
        <cfvo type="min"/>
        <cfvo type="percentile" val="50"/>
        <cfvo type="max"/>
        <color rgb="FFF8696B"/>
        <color rgb="FFFFEB84"/>
        <color rgb="FF63BE7B"/>
      </colorScale>
    </cfRule>
  </conditionalFormatting>
  <conditionalFormatting sqref="F261">
    <cfRule type="dataBar" priority="13112">
      <dataBar>
        <cfvo type="min"/>
        <cfvo type="max"/>
        <color rgb="FF638EC6"/>
      </dataBar>
    </cfRule>
    <cfRule type="colorScale" priority="13113">
      <colorScale>
        <cfvo type="min"/>
        <cfvo type="percentile" val="50"/>
        <cfvo type="max"/>
        <color rgb="FFF8696B"/>
        <color rgb="FFFFEB84"/>
        <color rgb="FF63BE7B"/>
      </colorScale>
    </cfRule>
    <cfRule type="cellIs" dxfId="6683" priority="13114" operator="equal">
      <formula>"Tax"</formula>
    </cfRule>
  </conditionalFormatting>
  <conditionalFormatting sqref="F261:F262">
    <cfRule type="cellIs" dxfId="6682" priority="13087" operator="equal">
      <formula>"Cost of Sales"</formula>
    </cfRule>
    <cfRule type="cellIs" dxfId="6681" priority="13088" operator="equal">
      <formula>"Payroll"</formula>
    </cfRule>
    <cfRule type="cellIs" dxfId="6680" priority="13089" operator="equal">
      <formula>"Investment"</formula>
    </cfRule>
    <cfRule type="cellIs" dxfId="6679" priority="13090" operator="equal">
      <formula>"Sunk"</formula>
    </cfRule>
    <cfRule type="cellIs" dxfId="6678" priority="13091" operator="equal">
      <formula>"OpEx"</formula>
    </cfRule>
    <cfRule type="cellIs" dxfId="6677" priority="13092" operator="equal">
      <formula>"CapEx"</formula>
    </cfRule>
  </conditionalFormatting>
  <conditionalFormatting sqref="F262">
    <cfRule type="dataBar" priority="13084">
      <dataBar>
        <cfvo type="min"/>
        <cfvo type="max"/>
        <color rgb="FF638EC6"/>
      </dataBar>
    </cfRule>
    <cfRule type="colorScale" priority="13085">
      <colorScale>
        <cfvo type="min"/>
        <cfvo type="percentile" val="50"/>
        <cfvo type="max"/>
        <color rgb="FFF8696B"/>
        <color rgb="FFFFEB84"/>
        <color rgb="FF63BE7B"/>
      </colorScale>
    </cfRule>
    <cfRule type="cellIs" dxfId="6676" priority="13086" operator="equal">
      <formula>"Tax"</formula>
    </cfRule>
  </conditionalFormatting>
  <conditionalFormatting sqref="F263">
    <cfRule type="dataBar" priority="13066">
      <dataBar>
        <cfvo type="min"/>
        <cfvo type="max"/>
        <color rgb="FF638EC6"/>
      </dataBar>
    </cfRule>
    <cfRule type="colorScale" priority="13067">
      <colorScale>
        <cfvo type="min"/>
        <cfvo type="percentile" val="50"/>
        <cfvo type="max"/>
        <color rgb="FFF8696B"/>
        <color rgb="FFFFEB84"/>
        <color rgb="FF63BE7B"/>
      </colorScale>
    </cfRule>
    <cfRule type="cellIs" dxfId="6675" priority="13068" operator="equal">
      <formula>"Tax"</formula>
    </cfRule>
  </conditionalFormatting>
  <conditionalFormatting sqref="F263:F264">
    <cfRule type="cellIs" dxfId="6674" priority="12743" operator="equal">
      <formula>"Income"</formula>
    </cfRule>
    <cfRule type="cellIs" dxfId="6673" priority="12744" operator="equal">
      <formula>"Cost of Sales"</formula>
    </cfRule>
    <cfRule type="cellIs" dxfId="6672" priority="12745" operator="equal">
      <formula>"Payroll"</formula>
    </cfRule>
    <cfRule type="cellIs" dxfId="6671" priority="12746" operator="equal">
      <formula>"Investment"</formula>
    </cfRule>
    <cfRule type="cellIs" dxfId="6670" priority="12747" operator="equal">
      <formula>"Sunk"</formula>
    </cfRule>
    <cfRule type="cellIs" dxfId="6669" priority="12748" operator="equal">
      <formula>"OpEx"</formula>
    </cfRule>
    <cfRule type="cellIs" dxfId="6668" priority="12749" operator="equal">
      <formula>"CapEx"</formula>
    </cfRule>
  </conditionalFormatting>
  <conditionalFormatting sqref="F264">
    <cfRule type="dataBar" priority="12740">
      <dataBar>
        <cfvo type="min"/>
        <cfvo type="max"/>
        <color rgb="FF638EC6"/>
      </dataBar>
    </cfRule>
    <cfRule type="colorScale" priority="12741">
      <colorScale>
        <cfvo type="min"/>
        <cfvo type="percentile" val="50"/>
        <cfvo type="max"/>
        <color rgb="FFF8696B"/>
        <color rgb="FFFFEB84"/>
        <color rgb="FF63BE7B"/>
      </colorScale>
    </cfRule>
    <cfRule type="cellIs" dxfId="6667" priority="12742" operator="equal">
      <formula>"Tax"</formula>
    </cfRule>
  </conditionalFormatting>
  <conditionalFormatting sqref="F265">
    <cfRule type="cellIs" dxfId="6666" priority="12723" operator="equal">
      <formula>"Tax"</formula>
    </cfRule>
    <cfRule type="dataBar" priority="12724">
      <dataBar>
        <cfvo type="min"/>
        <cfvo type="max"/>
        <color rgb="FF638EC6"/>
      </dataBar>
    </cfRule>
    <cfRule type="colorScale" priority="12725">
      <colorScale>
        <cfvo type="min"/>
        <cfvo type="percentile" val="50"/>
        <cfvo type="max"/>
        <color rgb="FFF8696B"/>
        <color rgb="FFFFEB84"/>
        <color rgb="FF63BE7B"/>
      </colorScale>
    </cfRule>
    <cfRule type="cellIs" dxfId="6665" priority="12726" operator="equal">
      <formula>"Income"</formula>
    </cfRule>
    <cfRule type="cellIs" dxfId="6664" priority="12727" operator="equal">
      <formula>"Cost of Sales"</formula>
    </cfRule>
    <cfRule type="cellIs" dxfId="6663" priority="12728" operator="equal">
      <formula>"Payroll"</formula>
    </cfRule>
    <cfRule type="cellIs" dxfId="6662" priority="12729" operator="equal">
      <formula>"Investment"</formula>
    </cfRule>
    <cfRule type="cellIs" dxfId="6661" priority="12730" operator="equal">
      <formula>"Sunk"</formula>
    </cfRule>
    <cfRule type="cellIs" dxfId="6660" priority="12731" operator="equal">
      <formula>"OpEx"</formula>
    </cfRule>
    <cfRule type="cellIs" dxfId="6659" priority="12732" operator="equal">
      <formula>"CapEx"</formula>
    </cfRule>
  </conditionalFormatting>
  <conditionalFormatting sqref="F266:F267">
    <cfRule type="cellIs" dxfId="6658" priority="13040" operator="equal">
      <formula>"Tax"</formula>
    </cfRule>
    <cfRule type="cellIs" dxfId="6657" priority="13041" operator="equal">
      <formula>"Income"</formula>
    </cfRule>
    <cfRule type="cellIs" dxfId="6656" priority="13042" operator="equal">
      <formula>"Cost of Sales"</formula>
    </cfRule>
    <cfRule type="cellIs" dxfId="6655" priority="13043" operator="equal">
      <formula>"Payroll"</formula>
    </cfRule>
    <cfRule type="cellIs" dxfId="6654" priority="13044" operator="equal">
      <formula>"Investment"</formula>
    </cfRule>
    <cfRule type="cellIs" dxfId="6653" priority="13045" operator="equal">
      <formula>"Sunk"</formula>
    </cfRule>
    <cfRule type="cellIs" dxfId="6652" priority="13046" operator="equal">
      <formula>"OpEx"</formula>
    </cfRule>
    <cfRule type="cellIs" dxfId="6651" priority="13047" operator="equal">
      <formula>"CapEx"</formula>
    </cfRule>
  </conditionalFormatting>
  <conditionalFormatting sqref="F267">
    <cfRule type="dataBar" priority="13038">
      <dataBar>
        <cfvo type="min"/>
        <cfvo type="max"/>
        <color rgb="FF638EC6"/>
      </dataBar>
    </cfRule>
    <cfRule type="colorScale" priority="13039">
      <colorScale>
        <cfvo type="min"/>
        <cfvo type="percentile" val="50"/>
        <cfvo type="max"/>
        <color rgb="FFF8696B"/>
        <color rgb="FFFFEB84"/>
        <color rgb="FF63BE7B"/>
      </colorScale>
    </cfRule>
  </conditionalFormatting>
  <conditionalFormatting sqref="F268">
    <cfRule type="dataBar" priority="13017">
      <dataBar>
        <cfvo type="min"/>
        <cfvo type="max"/>
        <color rgb="FF638EC6"/>
      </dataBar>
    </cfRule>
    <cfRule type="colorScale" priority="13018">
      <colorScale>
        <cfvo type="min"/>
        <cfvo type="percentile" val="50"/>
        <cfvo type="max"/>
        <color rgb="FFF8696B"/>
        <color rgb="FFFFEB84"/>
        <color rgb="FF63BE7B"/>
      </colorScale>
    </cfRule>
    <cfRule type="cellIs" dxfId="6650" priority="13019" operator="equal">
      <formula>"Tax"</formula>
    </cfRule>
    <cfRule type="cellIs" dxfId="6649" priority="13020" operator="equal">
      <formula>"Cost of Sales"</formula>
    </cfRule>
    <cfRule type="cellIs" dxfId="6648" priority="13021" operator="equal">
      <formula>"Payroll"</formula>
    </cfRule>
    <cfRule type="cellIs" dxfId="6647" priority="13022" operator="equal">
      <formula>"Investment"</formula>
    </cfRule>
    <cfRule type="cellIs" dxfId="6646" priority="13023" operator="equal">
      <formula>"Sunk"</formula>
    </cfRule>
    <cfRule type="cellIs" dxfId="6645" priority="13024" operator="equal">
      <formula>"OpEx"</formula>
    </cfRule>
    <cfRule type="cellIs" dxfId="6644" priority="13025" operator="equal">
      <formula>"CapEx"</formula>
    </cfRule>
    <cfRule type="cellIs" dxfId="6643" priority="13026" operator="equal">
      <formula>"Income"</formula>
    </cfRule>
  </conditionalFormatting>
  <conditionalFormatting sqref="F269">
    <cfRule type="dataBar" priority="13001">
      <dataBar>
        <cfvo type="min"/>
        <cfvo type="max"/>
        <color rgb="FF638EC6"/>
      </dataBar>
    </cfRule>
    <cfRule type="colorScale" priority="13002">
      <colorScale>
        <cfvo type="min"/>
        <cfvo type="percentile" val="50"/>
        <cfvo type="max"/>
        <color rgb="FFF8696B"/>
        <color rgb="FFFFEB84"/>
        <color rgb="FF63BE7B"/>
      </colorScale>
    </cfRule>
    <cfRule type="cellIs" dxfId="6642" priority="13006" operator="equal">
      <formula>"Tax"</formula>
    </cfRule>
    <cfRule type="dataBar" priority="13007">
      <dataBar>
        <cfvo type="min"/>
        <cfvo type="max"/>
        <color rgb="FF638EC6"/>
      </dataBar>
    </cfRule>
    <cfRule type="colorScale" priority="13008">
      <colorScale>
        <cfvo type="min"/>
        <cfvo type="percentile" val="50"/>
        <cfvo type="max"/>
        <color rgb="FFF8696B"/>
        <color rgb="FFFFEB84"/>
        <color rgb="FF63BE7B"/>
      </colorScale>
    </cfRule>
    <cfRule type="cellIs" dxfId="6641" priority="13009" operator="equal">
      <formula>"Tax"</formula>
    </cfRule>
    <cfRule type="cellIs" dxfId="6640" priority="13010" operator="equal">
      <formula>"Cost of Sales"</formula>
    </cfRule>
    <cfRule type="cellIs" dxfId="6639" priority="13011" operator="equal">
      <formula>"Payroll"</formula>
    </cfRule>
    <cfRule type="cellIs" dxfId="6638" priority="13012" operator="equal">
      <formula>"Investment"</formula>
    </cfRule>
    <cfRule type="cellIs" dxfId="6637" priority="13013" operator="equal">
      <formula>"Sunk"</formula>
    </cfRule>
    <cfRule type="cellIs" dxfId="6636" priority="13014" operator="equal">
      <formula>"OpEx"</formula>
    </cfRule>
    <cfRule type="cellIs" dxfId="6635" priority="13015" operator="equal">
      <formula>"CapEx"</formula>
    </cfRule>
    <cfRule type="cellIs" dxfId="6634" priority="13016" operator="equal">
      <formula>"Income"</formula>
    </cfRule>
  </conditionalFormatting>
  <conditionalFormatting sqref="F269:F271">
    <cfRule type="cellIs" dxfId="6633" priority="12983" operator="equal">
      <formula>"Income"</formula>
    </cfRule>
    <cfRule type="cellIs" dxfId="6632" priority="12984" operator="equal">
      <formula>"Cost of Sales"</formula>
    </cfRule>
    <cfRule type="cellIs" dxfId="6631" priority="12985" operator="equal">
      <formula>"Payroll"</formula>
    </cfRule>
    <cfRule type="cellIs" dxfId="6630" priority="12986" operator="equal">
      <formula>"Investment"</formula>
    </cfRule>
    <cfRule type="cellIs" dxfId="6629" priority="12987" operator="equal">
      <formula>"Sunk"</formula>
    </cfRule>
    <cfRule type="cellIs" dxfId="6628" priority="12988" operator="equal">
      <formula>"OpEx"</formula>
    </cfRule>
    <cfRule type="cellIs" dxfId="6627" priority="12989" operator="equal">
      <formula>"CapEx"</formula>
    </cfRule>
  </conditionalFormatting>
  <conditionalFormatting sqref="F270">
    <cfRule type="dataBar" priority="12990">
      <dataBar>
        <cfvo type="min"/>
        <cfvo type="max"/>
        <color rgb="FF638EC6"/>
      </dataBar>
    </cfRule>
    <cfRule type="colorScale" priority="12991">
      <colorScale>
        <cfvo type="min"/>
        <cfvo type="percentile" val="50"/>
        <cfvo type="max"/>
        <color rgb="FFF8696B"/>
        <color rgb="FFFFEB84"/>
        <color rgb="FF63BE7B"/>
      </colorScale>
    </cfRule>
    <cfRule type="cellIs" dxfId="6626" priority="12992" operator="equal">
      <formula>"Tax"</formula>
    </cfRule>
  </conditionalFormatting>
  <conditionalFormatting sqref="F271">
    <cfRule type="dataBar" priority="12980">
      <dataBar>
        <cfvo type="min"/>
        <cfvo type="max"/>
        <color rgb="FF638EC6"/>
      </dataBar>
    </cfRule>
    <cfRule type="colorScale" priority="12981">
      <colorScale>
        <cfvo type="min"/>
        <cfvo type="percentile" val="50"/>
        <cfvo type="max"/>
        <color rgb="FFF8696B"/>
        <color rgb="FFFFEB84"/>
        <color rgb="FF63BE7B"/>
      </colorScale>
    </cfRule>
    <cfRule type="cellIs" dxfId="6625" priority="12982" operator="equal">
      <formula>"Tax"</formula>
    </cfRule>
  </conditionalFormatting>
  <conditionalFormatting sqref="F272">
    <cfRule type="dataBar" priority="12966">
      <dataBar>
        <cfvo type="min"/>
        <cfvo type="max"/>
        <color rgb="FF638EC6"/>
      </dataBar>
    </cfRule>
    <cfRule type="colorScale" priority="12967">
      <colorScale>
        <cfvo type="min"/>
        <cfvo type="percentile" val="50"/>
        <cfvo type="max"/>
        <color rgb="FFF8696B"/>
        <color rgb="FFFFEB84"/>
        <color rgb="FF63BE7B"/>
      </colorScale>
    </cfRule>
    <cfRule type="cellIs" dxfId="6624" priority="12968" operator="equal">
      <formula>"Tax"</formula>
    </cfRule>
    <cfRule type="cellIs" dxfId="6623" priority="12969" operator="equal">
      <formula>"Income"</formula>
    </cfRule>
    <cfRule type="cellIs" dxfId="6622" priority="12970" operator="equal">
      <formula>"Cost of Sales"</formula>
    </cfRule>
    <cfRule type="cellIs" dxfId="6621" priority="12971" operator="equal">
      <formula>"Payroll"</formula>
    </cfRule>
    <cfRule type="cellIs" dxfId="6620" priority="12972" operator="equal">
      <formula>"Investment"</formula>
    </cfRule>
    <cfRule type="cellIs" dxfId="6619" priority="12973" operator="equal">
      <formula>"Sunk"</formula>
    </cfRule>
    <cfRule type="cellIs" dxfId="6618" priority="12974" operator="equal">
      <formula>"OpEx"</formula>
    </cfRule>
    <cfRule type="cellIs" dxfId="6617" priority="12975" operator="equal">
      <formula>"CapEx"</formula>
    </cfRule>
  </conditionalFormatting>
  <conditionalFormatting sqref="F273">
    <cfRule type="dataBar" priority="12956">
      <dataBar>
        <cfvo type="min"/>
        <cfvo type="max"/>
        <color rgb="FF638EC6"/>
      </dataBar>
    </cfRule>
    <cfRule type="colorScale" priority="12957">
      <colorScale>
        <cfvo type="min"/>
        <cfvo type="percentile" val="50"/>
        <cfvo type="max"/>
        <color rgb="FFF8696B"/>
        <color rgb="FFFFEB84"/>
        <color rgb="FF63BE7B"/>
      </colorScale>
    </cfRule>
    <cfRule type="cellIs" dxfId="6616" priority="12958" operator="equal">
      <formula>"Tax"</formula>
    </cfRule>
    <cfRule type="cellIs" dxfId="6615" priority="12959" operator="equal">
      <formula>"Income"</formula>
    </cfRule>
    <cfRule type="cellIs" dxfId="6614" priority="12960" operator="equal">
      <formula>"Cost of Sales"</formula>
    </cfRule>
    <cfRule type="cellIs" dxfId="6613" priority="12961" operator="equal">
      <formula>"Payroll"</formula>
    </cfRule>
    <cfRule type="cellIs" dxfId="6612" priority="12962" operator="equal">
      <formula>"Investment"</formula>
    </cfRule>
    <cfRule type="cellIs" dxfId="6611" priority="12963" operator="equal">
      <formula>"Sunk"</formula>
    </cfRule>
    <cfRule type="cellIs" dxfId="6610" priority="12964" operator="equal">
      <formula>"OpEx"</formula>
    </cfRule>
    <cfRule type="cellIs" dxfId="6609" priority="12965" operator="equal">
      <formula>"CapEx"</formula>
    </cfRule>
  </conditionalFormatting>
  <conditionalFormatting sqref="F274">
    <cfRule type="dataBar" priority="12942">
      <dataBar>
        <cfvo type="min"/>
        <cfvo type="max"/>
        <color rgb="FF638EC6"/>
      </dataBar>
    </cfRule>
    <cfRule type="colorScale" priority="12943">
      <colorScale>
        <cfvo type="min"/>
        <cfvo type="percentile" val="50"/>
        <cfvo type="max"/>
        <color rgb="FFF8696B"/>
        <color rgb="FFFFEB84"/>
        <color rgb="FF63BE7B"/>
      </colorScale>
    </cfRule>
    <cfRule type="cellIs" dxfId="6608" priority="12944" operator="equal">
      <formula>"Tax"</formula>
    </cfRule>
    <cfRule type="cellIs" dxfId="6607" priority="12945" operator="equal">
      <formula>"Income"</formula>
    </cfRule>
    <cfRule type="cellIs" dxfId="6606" priority="12946" operator="equal">
      <formula>"Cost of Sales"</formula>
    </cfRule>
    <cfRule type="cellIs" dxfId="6605" priority="12947" operator="equal">
      <formula>"Payroll"</formula>
    </cfRule>
    <cfRule type="cellIs" dxfId="6604" priority="12948" operator="equal">
      <formula>"Investment"</formula>
    </cfRule>
    <cfRule type="cellIs" dxfId="6603" priority="12949" operator="equal">
      <formula>"Sunk"</formula>
    </cfRule>
    <cfRule type="cellIs" dxfId="6602" priority="12950" operator="equal">
      <formula>"OpEx"</formula>
    </cfRule>
    <cfRule type="cellIs" dxfId="6601" priority="12951" operator="equal">
      <formula>"CapEx"</formula>
    </cfRule>
  </conditionalFormatting>
  <conditionalFormatting sqref="F275:F276">
    <cfRule type="dataBar" priority="12922">
      <dataBar>
        <cfvo type="min"/>
        <cfvo type="max"/>
        <color rgb="FF638EC6"/>
      </dataBar>
    </cfRule>
    <cfRule type="colorScale" priority="12923">
      <colorScale>
        <cfvo type="min"/>
        <cfvo type="percentile" val="50"/>
        <cfvo type="max"/>
        <color rgb="FFF8696B"/>
        <color rgb="FFFFEB84"/>
        <color rgb="FF63BE7B"/>
      </colorScale>
    </cfRule>
    <cfRule type="cellIs" dxfId="6600" priority="12924" operator="equal">
      <formula>"Tax"</formula>
    </cfRule>
    <cfRule type="cellIs" dxfId="6599" priority="12925" operator="equal">
      <formula>"Cost of Sales"</formula>
    </cfRule>
    <cfRule type="cellIs" dxfId="6598" priority="12926" operator="equal">
      <formula>"Payroll"</formula>
    </cfRule>
    <cfRule type="cellIs" dxfId="6597" priority="12927" operator="equal">
      <formula>"Investment"</formula>
    </cfRule>
    <cfRule type="cellIs" dxfId="6596" priority="12928" operator="equal">
      <formula>"Sunk"</formula>
    </cfRule>
    <cfRule type="cellIs" dxfId="6595" priority="12929" operator="equal">
      <formula>"OpEx"</formula>
    </cfRule>
    <cfRule type="cellIs" dxfId="6594" priority="12930" operator="equal">
      <formula>"CapEx"</formula>
    </cfRule>
    <cfRule type="dataBar" priority="12931">
      <dataBar>
        <cfvo type="min"/>
        <cfvo type="max"/>
        <color rgb="FF638EC6"/>
      </dataBar>
    </cfRule>
    <cfRule type="colorScale" priority="12932">
      <colorScale>
        <cfvo type="min"/>
        <cfvo type="percentile" val="50"/>
        <cfvo type="max"/>
        <color rgb="FFF8696B"/>
        <color rgb="FFFFEB84"/>
        <color rgb="FF63BE7B"/>
      </colorScale>
    </cfRule>
    <cfRule type="cellIs" dxfId="6593" priority="12933" operator="equal">
      <formula>"Tax"</formula>
    </cfRule>
    <cfRule type="cellIs" dxfId="6592" priority="12934" operator="equal">
      <formula>"Income"</formula>
    </cfRule>
  </conditionalFormatting>
  <conditionalFormatting sqref="F275:F277">
    <cfRule type="cellIs" dxfId="6591" priority="12896" operator="equal">
      <formula>"Cost of Sales"</formula>
    </cfRule>
    <cfRule type="cellIs" dxfId="6590" priority="12897" operator="equal">
      <formula>"Payroll"</formula>
    </cfRule>
    <cfRule type="cellIs" dxfId="6589" priority="12898" operator="equal">
      <formula>"Investment"</formula>
    </cfRule>
    <cfRule type="cellIs" dxfId="6588" priority="12899" operator="equal">
      <formula>"Sunk"</formula>
    </cfRule>
    <cfRule type="cellIs" dxfId="6587" priority="12900" operator="equal">
      <formula>"OpEx"</formula>
    </cfRule>
    <cfRule type="cellIs" dxfId="6586" priority="12901" operator="equal">
      <formula>"CapEx"</formula>
    </cfRule>
    <cfRule type="cellIs" dxfId="6585" priority="12902" operator="equal">
      <formula>"Income"</formula>
    </cfRule>
  </conditionalFormatting>
  <conditionalFormatting sqref="F277">
    <cfRule type="dataBar" priority="12893">
      <dataBar>
        <cfvo type="min"/>
        <cfvo type="max"/>
        <color rgb="FF638EC6"/>
      </dataBar>
    </cfRule>
    <cfRule type="colorScale" priority="12894">
      <colorScale>
        <cfvo type="min"/>
        <cfvo type="percentile" val="50"/>
        <cfvo type="max"/>
        <color rgb="FFF8696B"/>
        <color rgb="FFFFEB84"/>
        <color rgb="FF63BE7B"/>
      </colorScale>
    </cfRule>
    <cfRule type="cellIs" dxfId="6584" priority="12895" operator="equal">
      <formula>"Tax"</formula>
    </cfRule>
  </conditionalFormatting>
  <conditionalFormatting sqref="F278">
    <cfRule type="dataBar" priority="12872">
      <dataBar>
        <cfvo type="min"/>
        <cfvo type="max"/>
        <color rgb="FF638EC6"/>
      </dataBar>
    </cfRule>
    <cfRule type="colorScale" priority="12873">
      <colorScale>
        <cfvo type="min"/>
        <cfvo type="percentile" val="50"/>
        <cfvo type="max"/>
        <color rgb="FFF8696B"/>
        <color rgb="FFFFEB84"/>
        <color rgb="FF63BE7B"/>
      </colorScale>
    </cfRule>
    <cfRule type="cellIs" dxfId="6583" priority="12874" operator="equal">
      <formula>"Tax"</formula>
    </cfRule>
    <cfRule type="cellIs" dxfId="6582" priority="12875" operator="equal">
      <formula>"Cost of Sales"</formula>
    </cfRule>
    <cfRule type="cellIs" dxfId="6581" priority="12876" operator="equal">
      <formula>"Payroll"</formula>
    </cfRule>
    <cfRule type="cellIs" dxfId="6580" priority="12877" operator="equal">
      <formula>"Investment"</formula>
    </cfRule>
    <cfRule type="cellIs" dxfId="6579" priority="12878" operator="equal">
      <formula>"Sunk"</formula>
    </cfRule>
    <cfRule type="cellIs" dxfId="6578" priority="12879" operator="equal">
      <formula>"OpEx"</formula>
    </cfRule>
    <cfRule type="cellIs" dxfId="6577" priority="12880" operator="equal">
      <formula>"CapEx"</formula>
    </cfRule>
    <cfRule type="cellIs" dxfId="6576" priority="12881" operator="equal">
      <formula>"Income"</formula>
    </cfRule>
  </conditionalFormatting>
  <conditionalFormatting sqref="F279">
    <cfRule type="dataBar" priority="12853">
      <dataBar>
        <cfvo type="min"/>
        <cfvo type="max"/>
        <color rgb="FF638EC6"/>
      </dataBar>
    </cfRule>
    <cfRule type="colorScale" priority="12854">
      <colorScale>
        <cfvo type="min"/>
        <cfvo type="percentile" val="50"/>
        <cfvo type="max"/>
        <color rgb="FFF8696B"/>
        <color rgb="FFFFEB84"/>
        <color rgb="FF63BE7B"/>
      </colorScale>
    </cfRule>
    <cfRule type="cellIs" dxfId="6575" priority="12855" operator="equal">
      <formula>"Tax"</formula>
    </cfRule>
    <cfRule type="cellIs" dxfId="6574" priority="12856" operator="equal">
      <formula>"Income"</formula>
    </cfRule>
    <cfRule type="cellIs" dxfId="6573" priority="12857" operator="equal">
      <formula>"Cost of Sales"</formula>
    </cfRule>
    <cfRule type="cellIs" dxfId="6572" priority="12858" operator="equal">
      <formula>"Payroll"</formula>
    </cfRule>
    <cfRule type="cellIs" dxfId="6571" priority="12859" operator="equal">
      <formula>"Investment"</formula>
    </cfRule>
    <cfRule type="cellIs" dxfId="6570" priority="12860" operator="equal">
      <formula>"Sunk"</formula>
    </cfRule>
    <cfRule type="cellIs" dxfId="6569" priority="12861" operator="equal">
      <formula>"OpEx"</formula>
    </cfRule>
    <cfRule type="cellIs" dxfId="6568" priority="12862" operator="equal">
      <formula>"CapEx"</formula>
    </cfRule>
  </conditionalFormatting>
  <conditionalFormatting sqref="F280">
    <cfRule type="dataBar" priority="12828">
      <dataBar>
        <cfvo type="min"/>
        <cfvo type="max"/>
        <color rgb="FF638EC6"/>
      </dataBar>
    </cfRule>
    <cfRule type="colorScale" priority="12829">
      <colorScale>
        <cfvo type="min"/>
        <cfvo type="percentile" val="50"/>
        <cfvo type="max"/>
        <color rgb="FFF8696B"/>
        <color rgb="FFFFEB84"/>
        <color rgb="FF63BE7B"/>
      </colorScale>
    </cfRule>
  </conditionalFormatting>
  <conditionalFormatting sqref="F280:F281">
    <cfRule type="cellIs" dxfId="6567" priority="12830" operator="equal">
      <formula>"Tax"</formula>
    </cfRule>
    <cfRule type="cellIs" dxfId="6566" priority="12831" operator="equal">
      <formula>"Cost of Sales"</formula>
    </cfRule>
    <cfRule type="cellIs" dxfId="6565" priority="12832" operator="equal">
      <formula>"Payroll"</formula>
    </cfRule>
    <cfRule type="cellIs" dxfId="6564" priority="12833" operator="equal">
      <formula>"Investment"</formula>
    </cfRule>
    <cfRule type="cellIs" dxfId="6563" priority="12834" operator="equal">
      <formula>"Sunk"</formula>
    </cfRule>
    <cfRule type="cellIs" dxfId="6562" priority="12835" operator="equal">
      <formula>"OpEx"</formula>
    </cfRule>
    <cfRule type="cellIs" dxfId="6561" priority="12836" operator="equal">
      <formula>"CapEx"</formula>
    </cfRule>
  </conditionalFormatting>
  <conditionalFormatting sqref="F280:F283">
    <cfRule type="cellIs" dxfId="6560" priority="12771" operator="equal">
      <formula>"Income"</formula>
    </cfRule>
  </conditionalFormatting>
  <conditionalFormatting sqref="F282">
    <cfRule type="dataBar" priority="12799">
      <dataBar>
        <cfvo type="min"/>
        <cfvo type="max"/>
        <color rgb="FF638EC6"/>
      </dataBar>
    </cfRule>
    <cfRule type="colorScale" priority="12800">
      <colorScale>
        <cfvo type="min"/>
        <cfvo type="percentile" val="50"/>
        <cfvo type="max"/>
        <color rgb="FFF8696B"/>
        <color rgb="FFFFEB84"/>
        <color rgb="FF63BE7B"/>
      </colorScale>
    </cfRule>
    <cfRule type="cellIs" dxfId="6559" priority="12801" operator="equal">
      <formula>"Tax"</formula>
    </cfRule>
  </conditionalFormatting>
  <conditionalFormatting sqref="F282:F283">
    <cfRule type="cellIs" dxfId="6558" priority="12772" operator="equal">
      <formula>"Cost of Sales"</formula>
    </cfRule>
    <cfRule type="cellIs" dxfId="6557" priority="12773" operator="equal">
      <formula>"Payroll"</formula>
    </cfRule>
    <cfRule type="cellIs" dxfId="6556" priority="12774" operator="equal">
      <formula>"Investment"</formula>
    </cfRule>
    <cfRule type="cellIs" dxfId="6555" priority="12775" operator="equal">
      <formula>"Sunk"</formula>
    </cfRule>
    <cfRule type="cellIs" dxfId="6554" priority="12776" operator="equal">
      <formula>"OpEx"</formula>
    </cfRule>
    <cfRule type="cellIs" dxfId="6553" priority="12777" operator="equal">
      <formula>"CapEx"</formula>
    </cfRule>
  </conditionalFormatting>
  <conditionalFormatting sqref="F283">
    <cfRule type="dataBar" priority="12768">
      <dataBar>
        <cfvo type="min"/>
        <cfvo type="max"/>
        <color rgb="FF638EC6"/>
      </dataBar>
    </cfRule>
    <cfRule type="colorScale" priority="12769">
      <colorScale>
        <cfvo type="min"/>
        <cfvo type="percentile" val="50"/>
        <cfvo type="max"/>
        <color rgb="FFF8696B"/>
        <color rgb="FFFFEB84"/>
        <color rgb="FF63BE7B"/>
      </colorScale>
    </cfRule>
    <cfRule type="cellIs" dxfId="6552" priority="12770" operator="equal">
      <formula>"Tax"</formula>
    </cfRule>
    <cfRule type="dataBar" priority="12778">
      <dataBar>
        <cfvo type="min"/>
        <cfvo type="max"/>
        <color rgb="FF638EC6"/>
      </dataBar>
    </cfRule>
    <cfRule type="colorScale" priority="12779">
      <colorScale>
        <cfvo type="min"/>
        <cfvo type="percentile" val="50"/>
        <cfvo type="max"/>
        <color rgb="FFF8696B"/>
        <color rgb="FFFFEB84"/>
        <color rgb="FF63BE7B"/>
      </colorScale>
    </cfRule>
    <cfRule type="cellIs" dxfId="6551" priority="12780" operator="equal">
      <formula>"Tax"</formula>
    </cfRule>
  </conditionalFormatting>
  <conditionalFormatting sqref="F283:F284">
    <cfRule type="cellIs" dxfId="6550" priority="12699" operator="equal">
      <formula>"Cost of Sales"</formula>
    </cfRule>
    <cfRule type="cellIs" dxfId="6549" priority="12700" operator="equal">
      <formula>"Payroll"</formula>
    </cfRule>
    <cfRule type="cellIs" dxfId="6548" priority="12701" operator="equal">
      <formula>"Investment"</formula>
    </cfRule>
    <cfRule type="cellIs" dxfId="6547" priority="12702" operator="equal">
      <formula>"Sunk"</formula>
    </cfRule>
    <cfRule type="cellIs" dxfId="6546" priority="12703" operator="equal">
      <formula>"OpEx"</formula>
    </cfRule>
    <cfRule type="cellIs" dxfId="6545" priority="12704" operator="equal">
      <formula>"CapEx"</formula>
    </cfRule>
    <cfRule type="cellIs" dxfId="6544" priority="12705" operator="equal">
      <formula>"Income"</formula>
    </cfRule>
  </conditionalFormatting>
  <conditionalFormatting sqref="F284">
    <cfRule type="dataBar" priority="12693">
      <dataBar>
        <cfvo type="min"/>
        <cfvo type="max"/>
        <color rgb="FF638EC6"/>
      </dataBar>
    </cfRule>
    <cfRule type="colorScale" priority="12694">
      <colorScale>
        <cfvo type="min"/>
        <cfvo type="percentile" val="50"/>
        <cfvo type="max"/>
        <color rgb="FFF8696B"/>
        <color rgb="FFFFEB84"/>
        <color rgb="FF63BE7B"/>
      </colorScale>
    </cfRule>
    <cfRule type="cellIs" dxfId="6543" priority="12695" operator="equal">
      <formula>"Tax"</formula>
    </cfRule>
    <cfRule type="dataBar" priority="12696">
      <dataBar>
        <cfvo type="min"/>
        <cfvo type="max"/>
        <color rgb="FF638EC6"/>
      </dataBar>
    </cfRule>
    <cfRule type="colorScale" priority="12697">
      <colorScale>
        <cfvo type="min"/>
        <cfvo type="percentile" val="50"/>
        <cfvo type="max"/>
        <color rgb="FFF8696B"/>
        <color rgb="FFFFEB84"/>
        <color rgb="FF63BE7B"/>
      </colorScale>
    </cfRule>
    <cfRule type="cellIs" dxfId="6542" priority="12698" operator="equal">
      <formula>"Tax"</formula>
    </cfRule>
  </conditionalFormatting>
  <conditionalFormatting sqref="F284:F285">
    <cfRule type="cellIs" dxfId="6541" priority="12687" operator="equal">
      <formula>"Cost of Sales"</formula>
    </cfRule>
    <cfRule type="cellIs" dxfId="6540" priority="12688" operator="equal">
      <formula>"Payroll"</formula>
    </cfRule>
    <cfRule type="cellIs" dxfId="6539" priority="12689" operator="equal">
      <formula>"Investment"</formula>
    </cfRule>
    <cfRule type="cellIs" dxfId="6538" priority="12690" operator="equal">
      <formula>"Sunk"</formula>
    </cfRule>
    <cfRule type="cellIs" dxfId="6537" priority="12691" operator="equal">
      <formula>"OpEx"</formula>
    </cfRule>
    <cfRule type="cellIs" dxfId="6536" priority="12692" operator="equal">
      <formula>"CapEx"</formula>
    </cfRule>
  </conditionalFormatting>
  <conditionalFormatting sqref="F284:F286">
    <cfRule type="cellIs" dxfId="6535" priority="12686" operator="equal">
      <formula>"Income"</formula>
    </cfRule>
  </conditionalFormatting>
  <conditionalFormatting sqref="F285">
    <cfRule type="dataBar" priority="12683">
      <dataBar>
        <cfvo type="min"/>
        <cfvo type="max"/>
        <color rgb="FF638EC6"/>
      </dataBar>
    </cfRule>
    <cfRule type="colorScale" priority="12684">
      <colorScale>
        <cfvo type="min"/>
        <cfvo type="percentile" val="50"/>
        <cfvo type="max"/>
        <color rgb="FFF8696B"/>
        <color rgb="FFFFEB84"/>
        <color rgb="FF63BE7B"/>
      </colorScale>
    </cfRule>
    <cfRule type="cellIs" dxfId="6534" priority="12685" operator="equal">
      <formula>"Tax"</formula>
    </cfRule>
  </conditionalFormatting>
  <conditionalFormatting sqref="F286">
    <cfRule type="dataBar" priority="12674">
      <dataBar>
        <cfvo type="min"/>
        <cfvo type="max"/>
        <color rgb="FF638EC6"/>
      </dataBar>
    </cfRule>
    <cfRule type="colorScale" priority="12675">
      <colorScale>
        <cfvo type="min"/>
        <cfvo type="percentile" val="50"/>
        <cfvo type="max"/>
        <color rgb="FFF8696B"/>
        <color rgb="FFFFEB84"/>
        <color rgb="FF63BE7B"/>
      </colorScale>
    </cfRule>
    <cfRule type="cellIs" dxfId="6533" priority="12676" operator="equal">
      <formula>"Tax"</formula>
    </cfRule>
    <cfRule type="cellIs" dxfId="6532" priority="12677" operator="equal">
      <formula>"Cost of Sales"</formula>
    </cfRule>
    <cfRule type="cellIs" dxfId="6531" priority="12678" operator="equal">
      <formula>"Payroll"</formula>
    </cfRule>
    <cfRule type="cellIs" dxfId="6530" priority="12679" operator="equal">
      <formula>"Investment"</formula>
    </cfRule>
    <cfRule type="cellIs" dxfId="6529" priority="12680" operator="equal">
      <formula>"Sunk"</formula>
    </cfRule>
    <cfRule type="cellIs" dxfId="6528" priority="12681" operator="equal">
      <formula>"OpEx"</formula>
    </cfRule>
    <cfRule type="cellIs" dxfId="6527" priority="12682" operator="equal">
      <formula>"CapEx"</formula>
    </cfRule>
  </conditionalFormatting>
  <conditionalFormatting sqref="F287">
    <cfRule type="dataBar" priority="12671">
      <dataBar>
        <cfvo type="min"/>
        <cfvo type="max"/>
        <color rgb="FF638EC6"/>
      </dataBar>
    </cfRule>
    <cfRule type="colorScale" priority="12672">
      <colorScale>
        <cfvo type="min"/>
        <cfvo type="percentile" val="50"/>
        <cfvo type="max"/>
        <color rgb="FFF8696B"/>
        <color rgb="FFFFEB84"/>
        <color rgb="FF63BE7B"/>
      </colorScale>
    </cfRule>
    <cfRule type="cellIs" dxfId="6526" priority="12673" operator="equal">
      <formula>"Tax"</formula>
    </cfRule>
  </conditionalFormatting>
  <conditionalFormatting sqref="F287:F288">
    <cfRule type="cellIs" dxfId="6525" priority="12641" operator="equal">
      <formula>"Cost of Sales"</formula>
    </cfRule>
    <cfRule type="cellIs" dxfId="6524" priority="12642" operator="equal">
      <formula>"Payroll"</formula>
    </cfRule>
    <cfRule type="cellIs" dxfId="6523" priority="12643" operator="equal">
      <formula>"Investment"</formula>
    </cfRule>
    <cfRule type="cellIs" dxfId="6522" priority="12644" operator="equal">
      <formula>"Sunk"</formula>
    </cfRule>
    <cfRule type="cellIs" dxfId="6521" priority="12645" operator="equal">
      <formula>"OpEx"</formula>
    </cfRule>
    <cfRule type="cellIs" dxfId="6520" priority="12646" operator="equal">
      <formula>"CapEx"</formula>
    </cfRule>
    <cfRule type="cellIs" dxfId="6519" priority="12647" operator="equal">
      <formula>"Income"</formula>
    </cfRule>
  </conditionalFormatting>
  <conditionalFormatting sqref="F288">
    <cfRule type="dataBar" priority="12635">
      <dataBar>
        <cfvo type="min"/>
        <cfvo type="max"/>
        <color rgb="FF638EC6"/>
      </dataBar>
    </cfRule>
    <cfRule type="colorScale" priority="12636">
      <colorScale>
        <cfvo type="min"/>
        <cfvo type="percentile" val="50"/>
        <cfvo type="max"/>
        <color rgb="FFF8696B"/>
        <color rgb="FFFFEB84"/>
        <color rgb="FF63BE7B"/>
      </colorScale>
    </cfRule>
    <cfRule type="cellIs" dxfId="6518" priority="12637" operator="equal">
      <formula>"Tax"</formula>
    </cfRule>
    <cfRule type="dataBar" priority="12638">
      <dataBar>
        <cfvo type="min"/>
        <cfvo type="max"/>
        <color rgb="FF638EC6"/>
      </dataBar>
    </cfRule>
    <cfRule type="colorScale" priority="12639">
      <colorScale>
        <cfvo type="min"/>
        <cfvo type="percentile" val="50"/>
        <cfvo type="max"/>
        <color rgb="FFF8696B"/>
        <color rgb="FFFFEB84"/>
        <color rgb="FF63BE7B"/>
      </colorScale>
    </cfRule>
    <cfRule type="cellIs" dxfId="6517" priority="12640" operator="equal">
      <formula>"Tax"</formula>
    </cfRule>
  </conditionalFormatting>
  <conditionalFormatting sqref="F288:F289">
    <cfRule type="cellIs" dxfId="6516" priority="12629" operator="equal">
      <formula>"Cost of Sales"</formula>
    </cfRule>
    <cfRule type="cellIs" dxfId="6515" priority="12630" operator="equal">
      <formula>"Payroll"</formula>
    </cfRule>
    <cfRule type="cellIs" dxfId="6514" priority="12631" operator="equal">
      <formula>"Investment"</formula>
    </cfRule>
    <cfRule type="cellIs" dxfId="6513" priority="12632" operator="equal">
      <formula>"Sunk"</formula>
    </cfRule>
    <cfRule type="cellIs" dxfId="6512" priority="12633" operator="equal">
      <formula>"OpEx"</formula>
    </cfRule>
    <cfRule type="cellIs" dxfId="6511" priority="12634" operator="equal">
      <formula>"CapEx"</formula>
    </cfRule>
  </conditionalFormatting>
  <conditionalFormatting sqref="F288:F290">
    <cfRule type="cellIs" dxfId="6510" priority="12628" operator="equal">
      <formula>"Income"</formula>
    </cfRule>
  </conditionalFormatting>
  <conditionalFormatting sqref="F289">
    <cfRule type="dataBar" priority="12625">
      <dataBar>
        <cfvo type="min"/>
        <cfvo type="max"/>
        <color rgb="FF638EC6"/>
      </dataBar>
    </cfRule>
    <cfRule type="colorScale" priority="12626">
      <colorScale>
        <cfvo type="min"/>
        <cfvo type="percentile" val="50"/>
        <cfvo type="max"/>
        <color rgb="FFF8696B"/>
        <color rgb="FFFFEB84"/>
        <color rgb="FF63BE7B"/>
      </colorScale>
    </cfRule>
    <cfRule type="cellIs" dxfId="6509" priority="12627" operator="equal">
      <formula>"Tax"</formula>
    </cfRule>
  </conditionalFormatting>
  <conditionalFormatting sqref="F290">
    <cfRule type="dataBar" priority="12616">
      <dataBar>
        <cfvo type="min"/>
        <cfvo type="max"/>
        <color rgb="FF638EC6"/>
      </dataBar>
    </cfRule>
    <cfRule type="colorScale" priority="12617">
      <colorScale>
        <cfvo type="min"/>
        <cfvo type="percentile" val="50"/>
        <cfvo type="max"/>
        <color rgb="FFF8696B"/>
        <color rgb="FFFFEB84"/>
        <color rgb="FF63BE7B"/>
      </colorScale>
    </cfRule>
    <cfRule type="cellIs" dxfId="6508" priority="12618" operator="equal">
      <formula>"Tax"</formula>
    </cfRule>
    <cfRule type="cellIs" dxfId="6507" priority="12619" operator="equal">
      <formula>"Cost of Sales"</formula>
    </cfRule>
    <cfRule type="cellIs" dxfId="6506" priority="12620" operator="equal">
      <formula>"Payroll"</formula>
    </cfRule>
    <cfRule type="cellIs" dxfId="6505" priority="12621" operator="equal">
      <formula>"Investment"</formula>
    </cfRule>
    <cfRule type="cellIs" dxfId="6504" priority="12622" operator="equal">
      <formula>"Sunk"</formula>
    </cfRule>
    <cfRule type="cellIs" dxfId="6503" priority="12623" operator="equal">
      <formula>"OpEx"</formula>
    </cfRule>
    <cfRule type="cellIs" dxfId="6502" priority="12624" operator="equal">
      <formula>"CapEx"</formula>
    </cfRule>
  </conditionalFormatting>
  <conditionalFormatting sqref="F291">
    <cfRule type="dataBar" priority="12613">
      <dataBar>
        <cfvo type="min"/>
        <cfvo type="max"/>
        <color rgb="FF638EC6"/>
      </dataBar>
    </cfRule>
    <cfRule type="colorScale" priority="12614">
      <colorScale>
        <cfvo type="min"/>
        <cfvo type="percentile" val="50"/>
        <cfvo type="max"/>
        <color rgb="FFF8696B"/>
        <color rgb="FFFFEB84"/>
        <color rgb="FF63BE7B"/>
      </colorScale>
    </cfRule>
    <cfRule type="cellIs" dxfId="6501" priority="12615" operator="equal">
      <formula>"Tax"</formula>
    </cfRule>
  </conditionalFormatting>
  <conditionalFormatting sqref="F291:F292">
    <cfRule type="cellIs" dxfId="6500" priority="12562" operator="equal">
      <formula>"Cost of Sales"</formula>
    </cfRule>
    <cfRule type="cellIs" dxfId="6499" priority="12563" operator="equal">
      <formula>"Payroll"</formula>
    </cfRule>
    <cfRule type="cellIs" dxfId="6498" priority="12564" operator="equal">
      <formula>"Investment"</formula>
    </cfRule>
    <cfRule type="cellIs" dxfId="6497" priority="12565" operator="equal">
      <formula>"Sunk"</formula>
    </cfRule>
    <cfRule type="cellIs" dxfId="6496" priority="12566" operator="equal">
      <formula>"OpEx"</formula>
    </cfRule>
    <cfRule type="cellIs" dxfId="6495" priority="12567" operator="equal">
      <formula>"CapEx"</formula>
    </cfRule>
    <cfRule type="cellIs" dxfId="6494" priority="12568" operator="equal">
      <formula>"Income"</formula>
    </cfRule>
  </conditionalFormatting>
  <conditionalFormatting sqref="F292">
    <cfRule type="dataBar" priority="12556">
      <dataBar>
        <cfvo type="min"/>
        <cfvo type="max"/>
        <color rgb="FF638EC6"/>
      </dataBar>
    </cfRule>
    <cfRule type="colorScale" priority="12557">
      <colorScale>
        <cfvo type="min"/>
        <cfvo type="percentile" val="50"/>
        <cfvo type="max"/>
        <color rgb="FFF8696B"/>
        <color rgb="FFFFEB84"/>
        <color rgb="FF63BE7B"/>
      </colorScale>
    </cfRule>
    <cfRule type="cellIs" dxfId="6493" priority="12558" operator="equal">
      <formula>"Tax"</formula>
    </cfRule>
    <cfRule type="dataBar" priority="12559">
      <dataBar>
        <cfvo type="min"/>
        <cfvo type="max"/>
        <color rgb="FF638EC6"/>
      </dataBar>
    </cfRule>
    <cfRule type="colorScale" priority="12560">
      <colorScale>
        <cfvo type="min"/>
        <cfvo type="percentile" val="50"/>
        <cfvo type="max"/>
        <color rgb="FFF8696B"/>
        <color rgb="FFFFEB84"/>
        <color rgb="FF63BE7B"/>
      </colorScale>
    </cfRule>
    <cfRule type="cellIs" dxfId="6492" priority="12561" operator="equal">
      <formula>"Tax"</formula>
    </cfRule>
  </conditionalFormatting>
  <conditionalFormatting sqref="F292:F293">
    <cfRule type="cellIs" dxfId="6491" priority="12549" operator="equal">
      <formula>"Income"</formula>
    </cfRule>
    <cfRule type="cellIs" dxfId="6490" priority="12550" operator="equal">
      <formula>"Cost of Sales"</formula>
    </cfRule>
    <cfRule type="cellIs" dxfId="6489" priority="12551" operator="equal">
      <formula>"Payroll"</formula>
    </cfRule>
    <cfRule type="cellIs" dxfId="6488" priority="12552" operator="equal">
      <formula>"Investment"</formula>
    </cfRule>
    <cfRule type="cellIs" dxfId="6487" priority="12553" operator="equal">
      <formula>"Sunk"</formula>
    </cfRule>
    <cfRule type="cellIs" dxfId="6486" priority="12554" operator="equal">
      <formula>"OpEx"</formula>
    </cfRule>
    <cfRule type="cellIs" dxfId="6485" priority="12555" operator="equal">
      <formula>"CapEx"</formula>
    </cfRule>
  </conditionalFormatting>
  <conditionalFormatting sqref="F293">
    <cfRule type="dataBar" priority="12546">
      <dataBar>
        <cfvo type="min"/>
        <cfvo type="max"/>
        <color rgb="FF638EC6"/>
      </dataBar>
    </cfRule>
    <cfRule type="colorScale" priority="12547">
      <colorScale>
        <cfvo type="min"/>
        <cfvo type="percentile" val="50"/>
        <cfvo type="max"/>
        <color rgb="FFF8696B"/>
        <color rgb="FFFFEB84"/>
        <color rgb="FF63BE7B"/>
      </colorScale>
    </cfRule>
    <cfRule type="cellIs" dxfId="6484" priority="12548" operator="equal">
      <formula>"Tax"</formula>
    </cfRule>
  </conditionalFormatting>
  <conditionalFormatting sqref="F294">
    <cfRule type="cellIs" dxfId="6483" priority="9386" operator="equal">
      <formula>"Tax"</formula>
    </cfRule>
    <cfRule type="cellIs" dxfId="6482" priority="9387" operator="equal">
      <formula>"Income"</formula>
    </cfRule>
    <cfRule type="cellIs" dxfId="6481" priority="9388" operator="equal">
      <formula>"Cost of Sales"</formula>
    </cfRule>
    <cfRule type="cellIs" dxfId="6480" priority="9389" operator="equal">
      <formula>"Payroll"</formula>
    </cfRule>
    <cfRule type="cellIs" dxfId="6479" priority="9390" operator="equal">
      <formula>"Investment"</formula>
    </cfRule>
    <cfRule type="cellIs" dxfId="6478" priority="9391" operator="equal">
      <formula>"Sunk"</formula>
    </cfRule>
    <cfRule type="cellIs" dxfId="6477" priority="9392" operator="equal">
      <formula>"OpEx"</formula>
    </cfRule>
    <cfRule type="cellIs" dxfId="6476" priority="9393" operator="equal">
      <formula>"CapEx"</formula>
    </cfRule>
    <cfRule type="dataBar" priority="9398">
      <dataBar>
        <cfvo type="min"/>
        <cfvo type="max"/>
        <color rgb="FF638EC6"/>
      </dataBar>
    </cfRule>
    <cfRule type="colorScale" priority="9399">
      <colorScale>
        <cfvo type="min"/>
        <cfvo type="percentile" val="50"/>
        <cfvo type="max"/>
        <color rgb="FFF8696B"/>
        <color rgb="FFFFEB84"/>
        <color rgb="FF63BE7B"/>
      </colorScale>
    </cfRule>
  </conditionalFormatting>
  <conditionalFormatting sqref="F295">
    <cfRule type="dataBar" priority="12587">
      <dataBar>
        <cfvo type="min"/>
        <cfvo type="max"/>
        <color rgb="FF638EC6"/>
      </dataBar>
    </cfRule>
    <cfRule type="colorScale" priority="12588">
      <colorScale>
        <cfvo type="min"/>
        <cfvo type="percentile" val="50"/>
        <cfvo type="max"/>
        <color rgb="FFF8696B"/>
        <color rgb="FFFFEB84"/>
        <color rgb="FF63BE7B"/>
      </colorScale>
    </cfRule>
    <cfRule type="cellIs" dxfId="6475" priority="12589" operator="equal">
      <formula>"Tax"</formula>
    </cfRule>
  </conditionalFormatting>
  <conditionalFormatting sqref="F295:F296">
    <cfRule type="cellIs" dxfId="6474" priority="12532" operator="equal">
      <formula>"Income"</formula>
    </cfRule>
  </conditionalFormatting>
  <conditionalFormatting sqref="F295:F297">
    <cfRule type="cellIs" dxfId="6473" priority="12523" operator="equal">
      <formula>"Cost of Sales"</formula>
    </cfRule>
    <cfRule type="cellIs" dxfId="6472" priority="12524" operator="equal">
      <formula>"Payroll"</formula>
    </cfRule>
    <cfRule type="cellIs" dxfId="6471" priority="12525" operator="equal">
      <formula>"Investment"</formula>
    </cfRule>
    <cfRule type="cellIs" dxfId="6470" priority="12526" operator="equal">
      <formula>"Sunk"</formula>
    </cfRule>
    <cfRule type="cellIs" dxfId="6469" priority="12527" operator="equal">
      <formula>"OpEx"</formula>
    </cfRule>
    <cfRule type="cellIs" dxfId="6468" priority="12528" operator="equal">
      <formula>"CapEx"</formula>
    </cfRule>
  </conditionalFormatting>
  <conditionalFormatting sqref="F296">
    <cfRule type="dataBar" priority="12529">
      <dataBar>
        <cfvo type="min"/>
        <cfvo type="max"/>
        <color rgb="FF638EC6"/>
      </dataBar>
    </cfRule>
    <cfRule type="colorScale" priority="12530">
      <colorScale>
        <cfvo type="min"/>
        <cfvo type="percentile" val="50"/>
        <cfvo type="max"/>
        <color rgb="FFF8696B"/>
        <color rgb="FFFFEB84"/>
        <color rgb="FF63BE7B"/>
      </colorScale>
    </cfRule>
    <cfRule type="cellIs" dxfId="6467" priority="12531" operator="equal">
      <formula>"Tax"</formula>
    </cfRule>
  </conditionalFormatting>
  <conditionalFormatting sqref="F297">
    <cfRule type="dataBar" priority="12520">
      <dataBar>
        <cfvo type="min"/>
        <cfvo type="max"/>
        <color rgb="FF638EC6"/>
      </dataBar>
    </cfRule>
    <cfRule type="colorScale" priority="12521">
      <colorScale>
        <cfvo type="min"/>
        <cfvo type="percentile" val="50"/>
        <cfvo type="max"/>
        <color rgb="FFF8696B"/>
        <color rgb="FFFFEB84"/>
        <color rgb="FF63BE7B"/>
      </colorScale>
    </cfRule>
    <cfRule type="cellIs" dxfId="6466" priority="12522" operator="equal">
      <formula>"Tax"</formula>
    </cfRule>
  </conditionalFormatting>
  <conditionalFormatting sqref="F297:F298">
    <cfRule type="cellIs" dxfId="6465" priority="12477" operator="equal">
      <formula>"Income"</formula>
    </cfRule>
  </conditionalFormatting>
  <conditionalFormatting sqref="F298">
    <cfRule type="dataBar" priority="12474">
      <dataBar>
        <cfvo type="min"/>
        <cfvo type="max"/>
        <color rgb="FF638EC6"/>
      </dataBar>
    </cfRule>
    <cfRule type="colorScale" priority="12475">
      <colorScale>
        <cfvo type="min"/>
        <cfvo type="percentile" val="50"/>
        <cfvo type="max"/>
        <color rgb="FFF8696B"/>
        <color rgb="FFFFEB84"/>
        <color rgb="FF63BE7B"/>
      </colorScale>
    </cfRule>
    <cfRule type="cellIs" dxfId="6464" priority="12476" operator="equal">
      <formula>"Tax"</formula>
    </cfRule>
    <cfRule type="cellIs" dxfId="6463" priority="12478" operator="equal">
      <formula>"Cost of Sales"</formula>
    </cfRule>
    <cfRule type="cellIs" dxfId="6462" priority="12479" operator="equal">
      <formula>"Payroll"</formula>
    </cfRule>
    <cfRule type="cellIs" dxfId="6461" priority="12480" operator="equal">
      <formula>"Investment"</formula>
    </cfRule>
    <cfRule type="cellIs" dxfId="6460" priority="12481" operator="equal">
      <formula>"Sunk"</formula>
    </cfRule>
    <cfRule type="cellIs" dxfId="6459" priority="12482" operator="equal">
      <formula>"OpEx"</formula>
    </cfRule>
    <cfRule type="cellIs" dxfId="6458" priority="12483" operator="equal">
      <formula>"CapEx"</formula>
    </cfRule>
  </conditionalFormatting>
  <conditionalFormatting sqref="F299">
    <cfRule type="dataBar" priority="12494">
      <dataBar>
        <cfvo type="min"/>
        <cfvo type="max"/>
        <color rgb="FF638EC6"/>
      </dataBar>
    </cfRule>
    <cfRule type="colorScale" priority="12495">
      <colorScale>
        <cfvo type="min"/>
        <cfvo type="percentile" val="50"/>
        <cfvo type="max"/>
        <color rgb="FFF8696B"/>
        <color rgb="FFFFEB84"/>
        <color rgb="FF63BE7B"/>
      </colorScale>
    </cfRule>
    <cfRule type="cellIs" dxfId="6457" priority="12496" operator="equal">
      <formula>"Tax"</formula>
    </cfRule>
    <cfRule type="cellIs" dxfId="6456" priority="12497" operator="equal">
      <formula>"Income"</formula>
    </cfRule>
    <cfRule type="cellIs" dxfId="6455" priority="12498" operator="equal">
      <formula>"Cost of Sales"</formula>
    </cfRule>
    <cfRule type="cellIs" dxfId="6454" priority="12499" operator="equal">
      <formula>"Payroll"</formula>
    </cfRule>
    <cfRule type="cellIs" dxfId="6453" priority="12500" operator="equal">
      <formula>"Investment"</formula>
    </cfRule>
    <cfRule type="cellIs" dxfId="6452" priority="12501" operator="equal">
      <formula>"Sunk"</formula>
    </cfRule>
    <cfRule type="cellIs" dxfId="6451" priority="12502" operator="equal">
      <formula>"OpEx"</formula>
    </cfRule>
    <cfRule type="cellIs" dxfId="6450" priority="12503" operator="equal">
      <formula>"CapEx"</formula>
    </cfRule>
  </conditionalFormatting>
  <conditionalFormatting sqref="F300">
    <cfRule type="dataBar" priority="12484">
      <dataBar>
        <cfvo type="min"/>
        <cfvo type="max"/>
        <color rgb="FF638EC6"/>
      </dataBar>
    </cfRule>
    <cfRule type="colorScale" priority="12485">
      <colorScale>
        <cfvo type="min"/>
        <cfvo type="percentile" val="50"/>
        <cfvo type="max"/>
        <color rgb="FFF8696B"/>
        <color rgb="FFFFEB84"/>
        <color rgb="FF63BE7B"/>
      </colorScale>
    </cfRule>
    <cfRule type="cellIs" dxfId="6449" priority="12486" operator="equal">
      <formula>"Tax"</formula>
    </cfRule>
    <cfRule type="cellIs" dxfId="6448" priority="12487" operator="equal">
      <formula>"Cost of Sales"</formula>
    </cfRule>
    <cfRule type="cellIs" dxfId="6447" priority="12488" operator="equal">
      <formula>"Payroll"</formula>
    </cfRule>
    <cfRule type="cellIs" dxfId="6446" priority="12489" operator="equal">
      <formula>"Investment"</formula>
    </cfRule>
    <cfRule type="cellIs" dxfId="6445" priority="12490" operator="equal">
      <formula>"Sunk"</formula>
    </cfRule>
    <cfRule type="cellIs" dxfId="6444" priority="12491" operator="equal">
      <formula>"OpEx"</formula>
    </cfRule>
    <cfRule type="cellIs" dxfId="6443" priority="12492" operator="equal">
      <formula>"CapEx"</formula>
    </cfRule>
    <cfRule type="cellIs" dxfId="6442" priority="12493" operator="equal">
      <formula>"Income"</formula>
    </cfRule>
  </conditionalFormatting>
  <conditionalFormatting sqref="F301">
    <cfRule type="dataBar" priority="12460">
      <dataBar>
        <cfvo type="min"/>
        <cfvo type="max"/>
        <color rgb="FF638EC6"/>
      </dataBar>
    </cfRule>
    <cfRule type="colorScale" priority="12461">
      <colorScale>
        <cfvo type="min"/>
        <cfvo type="percentile" val="50"/>
        <cfvo type="max"/>
        <color rgb="FFF8696B"/>
        <color rgb="FFFFEB84"/>
        <color rgb="FF63BE7B"/>
      </colorScale>
    </cfRule>
    <cfRule type="cellIs" dxfId="6441" priority="12462" operator="equal">
      <formula>"Tax"</formula>
    </cfRule>
  </conditionalFormatting>
  <conditionalFormatting sqref="F301:F303">
    <cfRule type="cellIs" dxfId="6440" priority="12419" operator="equal">
      <formula>"Cost of Sales"</formula>
    </cfRule>
    <cfRule type="cellIs" dxfId="6439" priority="12420" operator="equal">
      <formula>"Payroll"</formula>
    </cfRule>
    <cfRule type="cellIs" dxfId="6438" priority="12421" operator="equal">
      <formula>"Investment"</formula>
    </cfRule>
    <cfRule type="cellIs" dxfId="6437" priority="12422" operator="equal">
      <formula>"Sunk"</formula>
    </cfRule>
    <cfRule type="cellIs" dxfId="6436" priority="12423" operator="equal">
      <formula>"OpEx"</formula>
    </cfRule>
    <cfRule type="cellIs" dxfId="6435" priority="12424" operator="equal">
      <formula>"CapEx"</formula>
    </cfRule>
  </conditionalFormatting>
  <conditionalFormatting sqref="F301:F305">
    <cfRule type="cellIs" dxfId="6434" priority="12403" operator="equal">
      <formula>"Income"</formula>
    </cfRule>
  </conditionalFormatting>
  <conditionalFormatting sqref="F302">
    <cfRule type="dataBar" priority="12443">
      <dataBar>
        <cfvo type="min"/>
        <cfvo type="max"/>
        <color rgb="FF638EC6"/>
      </dataBar>
    </cfRule>
    <cfRule type="colorScale" priority="12444">
      <colorScale>
        <cfvo type="min"/>
        <cfvo type="percentile" val="50"/>
        <cfvo type="max"/>
        <color rgb="FFF8696B"/>
        <color rgb="FFFFEB84"/>
        <color rgb="FF63BE7B"/>
      </colorScale>
    </cfRule>
    <cfRule type="cellIs" dxfId="6433" priority="12445" operator="equal">
      <formula>"Tax"</formula>
    </cfRule>
  </conditionalFormatting>
  <conditionalFormatting sqref="F303">
    <cfRule type="dataBar" priority="12417">
      <dataBar>
        <cfvo type="min"/>
        <cfvo type="max"/>
        <color rgb="FF638EC6"/>
      </dataBar>
    </cfRule>
    <cfRule type="colorScale" priority="12418">
      <colorScale>
        <cfvo type="min"/>
        <cfvo type="percentile" val="50"/>
        <cfvo type="max"/>
        <color rgb="FFF8696B"/>
        <color rgb="FFFFEB84"/>
        <color rgb="FF63BE7B"/>
      </colorScale>
    </cfRule>
  </conditionalFormatting>
  <conditionalFormatting sqref="F303:F307">
    <cfRule type="cellIs" dxfId="6432" priority="12360" operator="equal">
      <formula>"Tax"</formula>
    </cfRule>
  </conditionalFormatting>
  <conditionalFormatting sqref="F304">
    <cfRule type="dataBar" priority="12395">
      <dataBar>
        <cfvo type="min"/>
        <cfvo type="max"/>
        <color rgb="FF638EC6"/>
      </dataBar>
    </cfRule>
    <cfRule type="colorScale" priority="12396">
      <colorScale>
        <cfvo type="min"/>
        <cfvo type="percentile" val="50"/>
        <cfvo type="max"/>
        <color rgb="FFF8696B"/>
        <color rgb="FFFFEB84"/>
        <color rgb="FF63BE7B"/>
      </colorScale>
    </cfRule>
  </conditionalFormatting>
  <conditionalFormatting sqref="F304:F305">
    <cfRule type="cellIs" dxfId="6431" priority="12397" operator="equal">
      <formula>"Cost of Sales"</formula>
    </cfRule>
    <cfRule type="cellIs" dxfId="6430" priority="12398" operator="equal">
      <formula>"Payroll"</formula>
    </cfRule>
    <cfRule type="cellIs" dxfId="6429" priority="12399" operator="equal">
      <formula>"Investment"</formula>
    </cfRule>
    <cfRule type="cellIs" dxfId="6428" priority="12400" operator="equal">
      <formula>"Sunk"</formula>
    </cfRule>
    <cfRule type="cellIs" dxfId="6427" priority="12401" operator="equal">
      <formula>"OpEx"</formula>
    </cfRule>
    <cfRule type="cellIs" dxfId="6426" priority="12402" operator="equal">
      <formula>"CapEx"</formula>
    </cfRule>
  </conditionalFormatting>
  <conditionalFormatting sqref="F306">
    <cfRule type="dataBar" priority="12358">
      <dataBar>
        <cfvo type="min"/>
        <cfvo type="max"/>
        <color rgb="FF638EC6"/>
      </dataBar>
    </cfRule>
    <cfRule type="colorScale" priority="12359">
      <colorScale>
        <cfvo type="min"/>
        <cfvo type="percentile" val="50"/>
        <cfvo type="max"/>
        <color rgb="FFF8696B"/>
        <color rgb="FFFFEB84"/>
        <color rgb="FF63BE7B"/>
      </colorScale>
    </cfRule>
  </conditionalFormatting>
  <conditionalFormatting sqref="F306:F307">
    <cfRule type="cellIs" dxfId="6425" priority="12361" operator="equal">
      <formula>"Income"</formula>
    </cfRule>
  </conditionalFormatting>
  <conditionalFormatting sqref="F306:F309">
    <cfRule type="cellIs" dxfId="6424" priority="12320" operator="equal">
      <formula>"Cost of Sales"</formula>
    </cfRule>
    <cfRule type="cellIs" dxfId="6423" priority="12321" operator="equal">
      <formula>"Payroll"</formula>
    </cfRule>
    <cfRule type="cellIs" dxfId="6422" priority="12322" operator="equal">
      <formula>"Investment"</formula>
    </cfRule>
    <cfRule type="cellIs" dxfId="6421" priority="12323" operator="equal">
      <formula>"Sunk"</formula>
    </cfRule>
    <cfRule type="cellIs" dxfId="6420" priority="12324" operator="equal">
      <formula>"OpEx"</formula>
    </cfRule>
    <cfRule type="cellIs" dxfId="6419" priority="12325" operator="equal">
      <formula>"CapEx"</formula>
    </cfRule>
  </conditionalFormatting>
  <conditionalFormatting sqref="F308">
    <cfRule type="dataBar" priority="12340">
      <dataBar>
        <cfvo type="min"/>
        <cfvo type="max"/>
        <color rgb="FF638EC6"/>
      </dataBar>
    </cfRule>
    <cfRule type="colorScale" priority="12341">
      <colorScale>
        <cfvo type="min"/>
        <cfvo type="percentile" val="50"/>
        <cfvo type="max"/>
        <color rgb="FFF8696B"/>
        <color rgb="FFFFEB84"/>
        <color rgb="FF63BE7B"/>
      </colorScale>
    </cfRule>
    <cfRule type="cellIs" dxfId="6418" priority="12342" operator="equal">
      <formula>"Tax"</formula>
    </cfRule>
  </conditionalFormatting>
  <conditionalFormatting sqref="F308:F310">
    <cfRule type="cellIs" dxfId="6417" priority="12301" operator="equal">
      <formula>"Income"</formula>
    </cfRule>
  </conditionalFormatting>
  <conditionalFormatting sqref="F309">
    <cfRule type="dataBar" priority="12317">
      <dataBar>
        <cfvo type="min"/>
        <cfvo type="max"/>
        <color rgb="FF638EC6"/>
      </dataBar>
    </cfRule>
    <cfRule type="colorScale" priority="12318">
      <colorScale>
        <cfvo type="min"/>
        <cfvo type="percentile" val="50"/>
        <cfvo type="max"/>
        <color rgb="FFF8696B"/>
        <color rgb="FFFFEB84"/>
        <color rgb="FF63BE7B"/>
      </colorScale>
    </cfRule>
    <cfRule type="cellIs" dxfId="6416" priority="12319" operator="equal">
      <formula>"Tax"</formula>
    </cfRule>
  </conditionalFormatting>
  <conditionalFormatting sqref="F310">
    <cfRule type="dataBar" priority="12299">
      <dataBar>
        <cfvo type="min"/>
        <cfvo type="max"/>
        <color rgb="FF638EC6"/>
      </dataBar>
    </cfRule>
    <cfRule type="colorScale" priority="12300">
      <colorScale>
        <cfvo type="min"/>
        <cfvo type="percentile" val="50"/>
        <cfvo type="max"/>
        <color rgb="FFF8696B"/>
        <color rgb="FFFFEB84"/>
        <color rgb="FF63BE7B"/>
      </colorScale>
    </cfRule>
    <cfRule type="cellIs" dxfId="6415" priority="12302" operator="equal">
      <formula>"Cost of Sales"</formula>
    </cfRule>
    <cfRule type="cellIs" dxfId="6414" priority="12303" operator="equal">
      <formula>"Payroll"</formula>
    </cfRule>
    <cfRule type="cellIs" dxfId="6413" priority="12304" operator="equal">
      <formula>"Investment"</formula>
    </cfRule>
    <cfRule type="cellIs" dxfId="6412" priority="12305" operator="equal">
      <formula>"Sunk"</formula>
    </cfRule>
    <cfRule type="cellIs" dxfId="6411" priority="12306" operator="equal">
      <formula>"OpEx"</formula>
    </cfRule>
    <cfRule type="cellIs" dxfId="6410" priority="12307" operator="equal">
      <formula>"CapEx"</formula>
    </cfRule>
    <cfRule type="cellIs" dxfId="6409" priority="12308" operator="equal">
      <formula>"Tax"</formula>
    </cfRule>
  </conditionalFormatting>
  <conditionalFormatting sqref="F311">
    <cfRule type="dataBar" priority="12267">
      <dataBar>
        <cfvo type="min"/>
        <cfvo type="max"/>
        <color rgb="FF638EC6"/>
      </dataBar>
    </cfRule>
    <cfRule type="colorScale" priority="12268">
      <colorScale>
        <cfvo type="min"/>
        <cfvo type="percentile" val="50"/>
        <cfvo type="max"/>
        <color rgb="FFF8696B"/>
        <color rgb="FFFFEB84"/>
        <color rgb="FF63BE7B"/>
      </colorScale>
    </cfRule>
    <cfRule type="cellIs" dxfId="6408" priority="12269" operator="equal">
      <formula>"Tax"</formula>
    </cfRule>
    <cfRule type="cellIs" dxfId="6407" priority="12270" operator="equal">
      <formula>"Cost of Sales"</formula>
    </cfRule>
    <cfRule type="cellIs" dxfId="6406" priority="12271" operator="equal">
      <formula>"Payroll"</formula>
    </cfRule>
    <cfRule type="cellIs" dxfId="6405" priority="12272" operator="equal">
      <formula>"Investment"</formula>
    </cfRule>
    <cfRule type="cellIs" dxfId="6404" priority="12273" operator="equal">
      <formula>"Sunk"</formula>
    </cfRule>
    <cfRule type="cellIs" dxfId="6403" priority="12274" operator="equal">
      <formula>"OpEx"</formula>
    </cfRule>
    <cfRule type="cellIs" dxfId="6402" priority="12275" operator="equal">
      <formula>"CapEx"</formula>
    </cfRule>
  </conditionalFormatting>
  <conditionalFormatting sqref="F311:F312">
    <cfRule type="cellIs" dxfId="6401" priority="12244" operator="equal">
      <formula>"Income"</formula>
    </cfRule>
  </conditionalFormatting>
  <conditionalFormatting sqref="F312">
    <cfRule type="dataBar" priority="12241">
      <dataBar>
        <cfvo type="min"/>
        <cfvo type="max"/>
        <color rgb="FF638EC6"/>
      </dataBar>
    </cfRule>
    <cfRule type="colorScale" priority="12242">
      <colorScale>
        <cfvo type="min"/>
        <cfvo type="percentile" val="50"/>
        <cfvo type="max"/>
        <color rgb="FFF8696B"/>
        <color rgb="FFFFEB84"/>
        <color rgb="FF63BE7B"/>
      </colorScale>
    </cfRule>
    <cfRule type="cellIs" dxfId="6400" priority="12243" operator="equal">
      <formula>"Tax"</formula>
    </cfRule>
    <cfRule type="cellIs" dxfId="6399" priority="12245" operator="equal">
      <formula>"Cost of Sales"</formula>
    </cfRule>
    <cfRule type="cellIs" dxfId="6398" priority="12246" operator="equal">
      <formula>"Payroll"</formula>
    </cfRule>
    <cfRule type="cellIs" dxfId="6397" priority="12247" operator="equal">
      <formula>"Investment"</formula>
    </cfRule>
    <cfRule type="cellIs" dxfId="6396" priority="12248" operator="equal">
      <formula>"Sunk"</formula>
    </cfRule>
    <cfRule type="cellIs" dxfId="6395" priority="12249" operator="equal">
      <formula>"OpEx"</formula>
    </cfRule>
    <cfRule type="cellIs" dxfId="6394" priority="12250" operator="equal">
      <formula>"CapEx"</formula>
    </cfRule>
    <cfRule type="dataBar" priority="12251">
      <dataBar>
        <cfvo type="min"/>
        <cfvo type="max"/>
        <color rgb="FF638EC6"/>
      </dataBar>
    </cfRule>
    <cfRule type="colorScale" priority="12252">
      <colorScale>
        <cfvo type="min"/>
        <cfvo type="percentile" val="50"/>
        <cfvo type="max"/>
        <color rgb="FFF8696B"/>
        <color rgb="FFFFEB84"/>
        <color rgb="FF63BE7B"/>
      </colorScale>
    </cfRule>
    <cfRule type="cellIs" dxfId="6393" priority="12253" operator="equal">
      <formula>"Tax"</formula>
    </cfRule>
  </conditionalFormatting>
  <conditionalFormatting sqref="F312:F314">
    <cfRule type="cellIs" dxfId="6392" priority="12209" operator="equal">
      <formula>"Income"</formula>
    </cfRule>
    <cfRule type="cellIs" dxfId="6391" priority="12210" operator="equal">
      <formula>"Cost of Sales"</formula>
    </cfRule>
    <cfRule type="cellIs" dxfId="6390" priority="12211" operator="equal">
      <formula>"Payroll"</formula>
    </cfRule>
    <cfRule type="cellIs" dxfId="6389" priority="12212" operator="equal">
      <formula>"Investment"</formula>
    </cfRule>
    <cfRule type="cellIs" dxfId="6388" priority="12213" operator="equal">
      <formula>"Sunk"</formula>
    </cfRule>
    <cfRule type="cellIs" dxfId="6387" priority="12214" operator="equal">
      <formula>"OpEx"</formula>
    </cfRule>
    <cfRule type="cellIs" dxfId="6386" priority="12215" operator="equal">
      <formula>"CapEx"</formula>
    </cfRule>
  </conditionalFormatting>
  <conditionalFormatting sqref="F313">
    <cfRule type="dataBar" priority="12220">
      <dataBar>
        <cfvo type="min"/>
        <cfvo type="max"/>
        <color rgb="FF638EC6"/>
      </dataBar>
    </cfRule>
    <cfRule type="colorScale" priority="12221">
      <colorScale>
        <cfvo type="min"/>
        <cfvo type="percentile" val="50"/>
        <cfvo type="max"/>
        <color rgb="FFF8696B"/>
        <color rgb="FFFFEB84"/>
        <color rgb="FF63BE7B"/>
      </colorScale>
    </cfRule>
  </conditionalFormatting>
  <conditionalFormatting sqref="F313:F314">
    <cfRule type="cellIs" dxfId="6385" priority="12208" operator="equal">
      <formula>"Tax"</formula>
    </cfRule>
  </conditionalFormatting>
  <conditionalFormatting sqref="F314">
    <cfRule type="dataBar" priority="12206">
      <dataBar>
        <cfvo type="min"/>
        <cfvo type="max"/>
        <color rgb="FF638EC6"/>
      </dataBar>
    </cfRule>
    <cfRule type="colorScale" priority="12207">
      <colorScale>
        <cfvo type="min"/>
        <cfvo type="percentile" val="50"/>
        <cfvo type="max"/>
        <color rgb="FFF8696B"/>
        <color rgb="FFFFEB84"/>
        <color rgb="FF63BE7B"/>
      </colorScale>
    </cfRule>
  </conditionalFormatting>
  <conditionalFormatting sqref="F315">
    <cfRule type="dataBar" priority="12196">
      <dataBar>
        <cfvo type="min"/>
        <cfvo type="max"/>
        <color rgb="FF638EC6"/>
      </dataBar>
    </cfRule>
    <cfRule type="colorScale" priority="12197">
      <colorScale>
        <cfvo type="min"/>
        <cfvo type="percentile" val="50"/>
        <cfvo type="max"/>
        <color rgb="FFF8696B"/>
        <color rgb="FFFFEB84"/>
        <color rgb="FF63BE7B"/>
      </colorScale>
    </cfRule>
    <cfRule type="cellIs" dxfId="6384" priority="12198" operator="equal">
      <formula>"Tax"</formula>
    </cfRule>
  </conditionalFormatting>
  <conditionalFormatting sqref="F315:F316">
    <cfRule type="cellIs" dxfId="6383" priority="12169" operator="equal">
      <formula>"Cost of Sales"</formula>
    </cfRule>
    <cfRule type="cellIs" dxfId="6382" priority="12170" operator="equal">
      <formula>"Payroll"</formula>
    </cfRule>
    <cfRule type="cellIs" dxfId="6381" priority="12171" operator="equal">
      <formula>"Investment"</formula>
    </cfRule>
    <cfRule type="cellIs" dxfId="6380" priority="12172" operator="equal">
      <formula>"Sunk"</formula>
    </cfRule>
    <cfRule type="cellIs" dxfId="6379" priority="12173" operator="equal">
      <formula>"OpEx"</formula>
    </cfRule>
    <cfRule type="cellIs" dxfId="6378" priority="12174" operator="equal">
      <formula>"CapEx"</formula>
    </cfRule>
    <cfRule type="cellIs" dxfId="6377" priority="12175" operator="equal">
      <formula>"Income"</formula>
    </cfRule>
  </conditionalFormatting>
  <conditionalFormatting sqref="F316">
    <cfRule type="dataBar" priority="12166">
      <dataBar>
        <cfvo type="min"/>
        <cfvo type="max"/>
        <color rgb="FF638EC6"/>
      </dataBar>
    </cfRule>
    <cfRule type="colorScale" priority="12167">
      <colorScale>
        <cfvo type="min"/>
        <cfvo type="percentile" val="50"/>
        <cfvo type="max"/>
        <color rgb="FFF8696B"/>
        <color rgb="FFFFEB84"/>
        <color rgb="FF63BE7B"/>
      </colorScale>
    </cfRule>
    <cfRule type="cellIs" dxfId="6376" priority="12168" operator="equal">
      <formula>"Tax"</formula>
    </cfRule>
    <cfRule type="dataBar" priority="12176">
      <dataBar>
        <cfvo type="min"/>
        <cfvo type="max"/>
        <color rgb="FF638EC6"/>
      </dataBar>
    </cfRule>
    <cfRule type="colorScale" priority="12177">
      <colorScale>
        <cfvo type="min"/>
        <cfvo type="percentile" val="50"/>
        <cfvo type="max"/>
        <color rgb="FFF8696B"/>
        <color rgb="FFFFEB84"/>
        <color rgb="FF63BE7B"/>
      </colorScale>
    </cfRule>
  </conditionalFormatting>
  <conditionalFormatting sqref="F316:F317">
    <cfRule type="cellIs" dxfId="6375" priority="12134" operator="equal">
      <formula>"Cost of Sales"</formula>
    </cfRule>
    <cfRule type="cellIs" dxfId="6374" priority="12135" operator="equal">
      <formula>"Payroll"</formula>
    </cfRule>
    <cfRule type="cellIs" dxfId="6373" priority="12136" operator="equal">
      <formula>"Investment"</formula>
    </cfRule>
    <cfRule type="cellIs" dxfId="6372" priority="12137" operator="equal">
      <formula>"Sunk"</formula>
    </cfRule>
    <cfRule type="cellIs" dxfId="6371" priority="12138" operator="equal">
      <formula>"OpEx"</formula>
    </cfRule>
    <cfRule type="cellIs" dxfId="6370" priority="12139" operator="equal">
      <formula>"CapEx"</formula>
    </cfRule>
    <cfRule type="cellIs" dxfId="6369" priority="12143" operator="equal">
      <formula>"Income"</formula>
    </cfRule>
  </conditionalFormatting>
  <conditionalFormatting sqref="F317">
    <cfRule type="dataBar" priority="12130">
      <dataBar>
        <cfvo type="min"/>
        <cfvo type="max"/>
        <color rgb="FF638EC6"/>
      </dataBar>
    </cfRule>
    <cfRule type="colorScale" priority="12131">
      <colorScale>
        <cfvo type="min"/>
        <cfvo type="percentile" val="50"/>
        <cfvo type="max"/>
        <color rgb="FFF8696B"/>
        <color rgb="FFFFEB84"/>
        <color rgb="FF63BE7B"/>
      </colorScale>
    </cfRule>
    <cfRule type="cellIs" dxfId="6368" priority="12132" operator="equal">
      <formula>"Tax"</formula>
    </cfRule>
    <cfRule type="cellIs" dxfId="6367" priority="12133" operator="equal">
      <formula>"Income"</formula>
    </cfRule>
    <cfRule type="dataBar" priority="12140">
      <dataBar>
        <cfvo type="min"/>
        <cfvo type="max"/>
        <color rgb="FF638EC6"/>
      </dataBar>
    </cfRule>
    <cfRule type="colorScale" priority="12141">
      <colorScale>
        <cfvo type="min"/>
        <cfvo type="percentile" val="50"/>
        <cfvo type="max"/>
        <color rgb="FFF8696B"/>
        <color rgb="FFFFEB84"/>
        <color rgb="FF63BE7B"/>
      </colorScale>
    </cfRule>
    <cfRule type="cellIs" dxfId="6366" priority="12142" operator="equal">
      <formula>"Tax"</formula>
    </cfRule>
  </conditionalFormatting>
  <conditionalFormatting sqref="F318">
    <cfRule type="dataBar" priority="12074">
      <dataBar>
        <cfvo type="min"/>
        <cfvo type="max"/>
        <color rgb="FF638EC6"/>
      </dataBar>
    </cfRule>
    <cfRule type="colorScale" priority="12075">
      <colorScale>
        <cfvo type="min"/>
        <cfvo type="percentile" val="50"/>
        <cfvo type="max"/>
        <color rgb="FFF8696B"/>
        <color rgb="FFFFEB84"/>
        <color rgb="FF63BE7B"/>
      </colorScale>
    </cfRule>
    <cfRule type="cellIs" dxfId="6365" priority="12076" operator="equal">
      <formula>"Tax"</formula>
    </cfRule>
    <cfRule type="cellIs" dxfId="6364" priority="12077" operator="equal">
      <formula>"Income"</formula>
    </cfRule>
    <cfRule type="cellIs" dxfId="6363" priority="12078" operator="equal">
      <formula>"Cost of Sales"</formula>
    </cfRule>
    <cfRule type="cellIs" dxfId="6362" priority="12079" operator="equal">
      <formula>"Payroll"</formula>
    </cfRule>
    <cfRule type="cellIs" dxfId="6361" priority="12080" operator="equal">
      <formula>"Investment"</formula>
    </cfRule>
    <cfRule type="cellIs" dxfId="6360" priority="12081" operator="equal">
      <formula>"Sunk"</formula>
    </cfRule>
    <cfRule type="cellIs" dxfId="6359" priority="12082" operator="equal">
      <formula>"OpEx"</formula>
    </cfRule>
    <cfRule type="cellIs" dxfId="6358" priority="12083" operator="equal">
      <formula>"CapEx"</formula>
    </cfRule>
    <cfRule type="dataBar" priority="12084">
      <dataBar>
        <cfvo type="min"/>
        <cfvo type="max"/>
        <color rgb="FF638EC6"/>
      </dataBar>
    </cfRule>
    <cfRule type="colorScale" priority="12085">
      <colorScale>
        <cfvo type="min"/>
        <cfvo type="percentile" val="50"/>
        <cfvo type="max"/>
        <color rgb="FFF8696B"/>
        <color rgb="FFFFEB84"/>
        <color rgb="FF63BE7B"/>
      </colorScale>
    </cfRule>
    <cfRule type="cellIs" dxfId="6357" priority="12086" operator="equal">
      <formula>"Tax"</formula>
    </cfRule>
    <cfRule type="cellIs" dxfId="6356" priority="12087" operator="equal">
      <formula>"Income"</formula>
    </cfRule>
  </conditionalFormatting>
  <conditionalFormatting sqref="F319">
    <cfRule type="dataBar" priority="12108">
      <dataBar>
        <cfvo type="min"/>
        <cfvo type="max"/>
        <color rgb="FF638EC6"/>
      </dataBar>
    </cfRule>
    <cfRule type="colorScale" priority="12109">
      <colorScale>
        <cfvo type="min"/>
        <cfvo type="percentile" val="50"/>
        <cfvo type="max"/>
        <color rgb="FFF8696B"/>
        <color rgb="FFFFEB84"/>
        <color rgb="FF63BE7B"/>
      </colorScale>
    </cfRule>
    <cfRule type="cellIs" dxfId="6355" priority="12110" operator="equal">
      <formula>"Tax"</formula>
    </cfRule>
    <cfRule type="dataBar" priority="12111">
      <dataBar>
        <cfvo type="min"/>
        <cfvo type="max"/>
        <color rgb="FF638EC6"/>
      </dataBar>
    </cfRule>
    <cfRule type="colorScale" priority="12112">
      <colorScale>
        <cfvo type="min"/>
        <cfvo type="percentile" val="50"/>
        <cfvo type="max"/>
        <color rgb="FFF8696B"/>
        <color rgb="FFFFEB84"/>
        <color rgb="FF63BE7B"/>
      </colorScale>
    </cfRule>
    <cfRule type="cellIs" dxfId="6354" priority="12114" operator="equal">
      <formula>"Cost of Sales"</formula>
    </cfRule>
    <cfRule type="cellIs" dxfId="6353" priority="12115" operator="equal">
      <formula>"Payroll"</formula>
    </cfRule>
    <cfRule type="cellIs" dxfId="6352" priority="12116" operator="equal">
      <formula>"Investment"</formula>
    </cfRule>
    <cfRule type="cellIs" dxfId="6351" priority="12117" operator="equal">
      <formula>"Sunk"</formula>
    </cfRule>
    <cfRule type="cellIs" dxfId="6350" priority="12118" operator="equal">
      <formula>"OpEx"</formula>
    </cfRule>
    <cfRule type="cellIs" dxfId="6349" priority="12119" operator="equal">
      <formula>"CapEx"</formula>
    </cfRule>
    <cfRule type="cellIs" dxfId="6348" priority="12120" operator="equal">
      <formula>"Income"</formula>
    </cfRule>
  </conditionalFormatting>
  <conditionalFormatting sqref="F319:F320">
    <cfRule type="cellIs" dxfId="6347" priority="12100" operator="equal">
      <formula>"Tax"</formula>
    </cfRule>
    <cfRule type="cellIs" dxfId="6346" priority="12101" operator="equal">
      <formula>"Cost of Sales"</formula>
    </cfRule>
    <cfRule type="cellIs" dxfId="6345" priority="12102" operator="equal">
      <formula>"Payroll"</formula>
    </cfRule>
    <cfRule type="cellIs" dxfId="6344" priority="12103" operator="equal">
      <formula>"Investment"</formula>
    </cfRule>
    <cfRule type="cellIs" dxfId="6343" priority="12104" operator="equal">
      <formula>"Sunk"</formula>
    </cfRule>
    <cfRule type="cellIs" dxfId="6342" priority="12105" operator="equal">
      <formula>"OpEx"</formula>
    </cfRule>
    <cfRule type="cellIs" dxfId="6341" priority="12106" operator="equal">
      <formula>"CapEx"</formula>
    </cfRule>
    <cfRule type="cellIs" dxfId="6340" priority="12107" operator="equal">
      <formula>"Income"</formula>
    </cfRule>
    <cfRule type="cellIs" dxfId="6339" priority="12113" operator="equal">
      <formula>"Tax"</formula>
    </cfRule>
  </conditionalFormatting>
  <conditionalFormatting sqref="F320">
    <cfRule type="dataBar" priority="12089">
      <dataBar>
        <cfvo type="min"/>
        <cfvo type="max"/>
        <color rgb="FF638EC6"/>
      </dataBar>
    </cfRule>
    <cfRule type="colorScale" priority="12090">
      <colorScale>
        <cfvo type="min"/>
        <cfvo type="percentile" val="50"/>
        <cfvo type="max"/>
        <color rgb="FFF8696B"/>
        <color rgb="FFFFEB84"/>
        <color rgb="FF63BE7B"/>
      </colorScale>
    </cfRule>
    <cfRule type="cellIs" dxfId="6338" priority="12091" operator="equal">
      <formula>"Tax"</formula>
    </cfRule>
    <cfRule type="cellIs" dxfId="6337" priority="12092" operator="equal">
      <formula>"Cost of Sales"</formula>
    </cfRule>
    <cfRule type="cellIs" dxfId="6336" priority="12093" operator="equal">
      <formula>"Payroll"</formula>
    </cfRule>
    <cfRule type="cellIs" dxfId="6335" priority="12094" operator="equal">
      <formula>"Investment"</formula>
    </cfRule>
    <cfRule type="cellIs" dxfId="6334" priority="12095" operator="equal">
      <formula>"Sunk"</formula>
    </cfRule>
    <cfRule type="cellIs" dxfId="6333" priority="12096" operator="equal">
      <formula>"OpEx"</formula>
    </cfRule>
    <cfRule type="cellIs" dxfId="6332" priority="12097" operator="equal">
      <formula>"CapEx"</formula>
    </cfRule>
    <cfRule type="dataBar" priority="12098">
      <dataBar>
        <cfvo type="min"/>
        <cfvo type="max"/>
        <color rgb="FF638EC6"/>
      </dataBar>
    </cfRule>
    <cfRule type="colorScale" priority="12099">
      <colorScale>
        <cfvo type="min"/>
        <cfvo type="percentile" val="50"/>
        <cfvo type="max"/>
        <color rgb="FFF8696B"/>
        <color rgb="FFFFEB84"/>
        <color rgb="FF63BE7B"/>
      </colorScale>
    </cfRule>
    <cfRule type="dataBar" priority="12121">
      <dataBar>
        <cfvo type="min"/>
        <cfvo type="max"/>
        <color rgb="FF638EC6"/>
      </dataBar>
    </cfRule>
    <cfRule type="colorScale" priority="12122">
      <colorScale>
        <cfvo type="min"/>
        <cfvo type="percentile" val="50"/>
        <cfvo type="max"/>
        <color rgb="FFF8696B"/>
        <color rgb="FFFFEB84"/>
        <color rgb="FF63BE7B"/>
      </colorScale>
    </cfRule>
    <cfRule type="cellIs" dxfId="6331" priority="12123" operator="equal">
      <formula>"Cost of Sales"</formula>
    </cfRule>
    <cfRule type="cellIs" dxfId="6330" priority="12124" operator="equal">
      <formula>"Payroll"</formula>
    </cfRule>
    <cfRule type="cellIs" dxfId="6329" priority="12125" operator="equal">
      <formula>"Investment"</formula>
    </cfRule>
    <cfRule type="cellIs" dxfId="6328" priority="12126" operator="equal">
      <formula>"Sunk"</formula>
    </cfRule>
    <cfRule type="cellIs" dxfId="6327" priority="12127" operator="equal">
      <formula>"OpEx"</formula>
    </cfRule>
    <cfRule type="cellIs" dxfId="6326" priority="12128" operator="equal">
      <formula>"CapEx"</formula>
    </cfRule>
    <cfRule type="cellIs" dxfId="6325" priority="12129" operator="equal">
      <formula>"Income"</formula>
    </cfRule>
  </conditionalFormatting>
  <conditionalFormatting sqref="F320:F321">
    <cfRule type="cellIs" dxfId="6324" priority="12056" operator="equal">
      <formula>"Income"</formula>
    </cfRule>
  </conditionalFormatting>
  <conditionalFormatting sqref="F321">
    <cfRule type="dataBar" priority="12054">
      <dataBar>
        <cfvo type="min"/>
        <cfvo type="max"/>
        <color rgb="FF638EC6"/>
      </dataBar>
    </cfRule>
    <cfRule type="colorScale" priority="12055">
      <colorScale>
        <cfvo type="min"/>
        <cfvo type="percentile" val="50"/>
        <cfvo type="max"/>
        <color rgb="FFF8696B"/>
        <color rgb="FFFFEB84"/>
        <color rgb="FF63BE7B"/>
      </colorScale>
    </cfRule>
    <cfRule type="cellIs" dxfId="6323" priority="12057" operator="equal">
      <formula>"Cost of Sales"</formula>
    </cfRule>
    <cfRule type="cellIs" dxfId="6322" priority="12058" operator="equal">
      <formula>"Payroll"</formula>
    </cfRule>
    <cfRule type="cellIs" dxfId="6321" priority="12059" operator="equal">
      <formula>"Investment"</formula>
    </cfRule>
    <cfRule type="cellIs" dxfId="6320" priority="12060" operator="equal">
      <formula>"Sunk"</formula>
    </cfRule>
    <cfRule type="cellIs" dxfId="6319" priority="12061" operator="equal">
      <formula>"OpEx"</formula>
    </cfRule>
    <cfRule type="cellIs" dxfId="6318" priority="12062" operator="equal">
      <formula>"CapEx"</formula>
    </cfRule>
  </conditionalFormatting>
  <conditionalFormatting sqref="F321:F322">
    <cfRule type="cellIs" dxfId="6317" priority="12001" operator="equal">
      <formula>"Tax"</formula>
    </cfRule>
  </conditionalFormatting>
  <conditionalFormatting sqref="F322">
    <cfRule type="dataBar" priority="11990">
      <dataBar>
        <cfvo type="min"/>
        <cfvo type="max"/>
        <color rgb="FF638EC6"/>
      </dataBar>
    </cfRule>
    <cfRule type="colorScale" priority="11991">
      <colorScale>
        <cfvo type="min"/>
        <cfvo type="percentile" val="50"/>
        <cfvo type="max"/>
        <color rgb="FFF8696B"/>
        <color rgb="FFFFEB84"/>
        <color rgb="FF63BE7B"/>
      </colorScale>
    </cfRule>
    <cfRule type="dataBar" priority="11992">
      <dataBar>
        <cfvo type="min"/>
        <cfvo type="max"/>
        <color rgb="FF638EC6"/>
      </dataBar>
    </cfRule>
    <cfRule type="colorScale" priority="11993">
      <colorScale>
        <cfvo type="min"/>
        <cfvo type="percentile" val="50"/>
        <cfvo type="max"/>
        <color rgb="FFF8696B"/>
        <color rgb="FFFFEB84"/>
        <color rgb="FF63BE7B"/>
      </colorScale>
    </cfRule>
  </conditionalFormatting>
  <conditionalFormatting sqref="F322:F323">
    <cfRule type="cellIs" dxfId="6316" priority="11994" operator="equal">
      <formula>"Cost of Sales"</formula>
    </cfRule>
    <cfRule type="cellIs" dxfId="6315" priority="11995" operator="equal">
      <formula>"Payroll"</formula>
    </cfRule>
    <cfRule type="cellIs" dxfId="6314" priority="11996" operator="equal">
      <formula>"Investment"</formula>
    </cfRule>
    <cfRule type="cellIs" dxfId="6313" priority="11997" operator="equal">
      <formula>"Sunk"</formula>
    </cfRule>
    <cfRule type="cellIs" dxfId="6312" priority="11998" operator="equal">
      <formula>"OpEx"</formula>
    </cfRule>
    <cfRule type="cellIs" dxfId="6311" priority="11999" operator="equal">
      <formula>"CapEx"</formula>
    </cfRule>
    <cfRule type="cellIs" dxfId="6310" priority="12000" operator="equal">
      <formula>"Income"</formula>
    </cfRule>
  </conditionalFormatting>
  <conditionalFormatting sqref="F323">
    <cfRule type="dataBar" priority="12029">
      <dataBar>
        <cfvo type="min"/>
        <cfvo type="max"/>
        <color rgb="FF638EC6"/>
      </dataBar>
    </cfRule>
    <cfRule type="colorScale" priority="12030">
      <colorScale>
        <cfvo type="min"/>
        <cfvo type="percentile" val="50"/>
        <cfvo type="max"/>
        <color rgb="FFF8696B"/>
        <color rgb="FFFFEB84"/>
        <color rgb="FF63BE7B"/>
      </colorScale>
    </cfRule>
    <cfRule type="cellIs" dxfId="6309" priority="12031" operator="equal">
      <formula>"Tax"</formula>
    </cfRule>
    <cfRule type="cellIs" dxfId="6308" priority="12032" operator="equal">
      <formula>"Cost of Sales"</formula>
    </cfRule>
    <cfRule type="cellIs" dxfId="6307" priority="12033" operator="equal">
      <formula>"Payroll"</formula>
    </cfRule>
    <cfRule type="cellIs" dxfId="6306" priority="12034" operator="equal">
      <formula>"Investment"</formula>
    </cfRule>
    <cfRule type="cellIs" dxfId="6305" priority="12035" operator="equal">
      <formula>"Sunk"</formula>
    </cfRule>
    <cfRule type="cellIs" dxfId="6304" priority="12036" operator="equal">
      <formula>"OpEx"</formula>
    </cfRule>
    <cfRule type="cellIs" dxfId="6303" priority="12037" operator="equal">
      <formula>"CapEx"</formula>
    </cfRule>
    <cfRule type="dataBar" priority="12038">
      <dataBar>
        <cfvo type="min"/>
        <cfvo type="max"/>
        <color rgb="FF638EC6"/>
      </dataBar>
    </cfRule>
    <cfRule type="colorScale" priority="12039">
      <colorScale>
        <cfvo type="min"/>
        <cfvo type="percentile" val="50"/>
        <cfvo type="max"/>
        <color rgb="FFF8696B"/>
        <color rgb="FFFFEB84"/>
        <color rgb="FF63BE7B"/>
      </colorScale>
    </cfRule>
    <cfRule type="cellIs" dxfId="6302" priority="12040" operator="equal">
      <formula>"Tax"</formula>
    </cfRule>
    <cfRule type="cellIs" dxfId="6301" priority="12041" operator="equal">
      <formula>"Income"</formula>
    </cfRule>
  </conditionalFormatting>
  <conditionalFormatting sqref="F324">
    <cfRule type="dataBar" priority="11968">
      <dataBar>
        <cfvo type="min"/>
        <cfvo type="max"/>
        <color rgb="FF638EC6"/>
      </dataBar>
    </cfRule>
    <cfRule type="colorScale" priority="11969">
      <colorScale>
        <cfvo type="min"/>
        <cfvo type="percentile" val="50"/>
        <cfvo type="max"/>
        <color rgb="FFF8696B"/>
        <color rgb="FFFFEB84"/>
        <color rgb="FF63BE7B"/>
      </colorScale>
    </cfRule>
  </conditionalFormatting>
  <conditionalFormatting sqref="F324:F325">
    <cfRule type="cellIs" dxfId="6300" priority="11970" operator="equal">
      <formula>"Tax"</formula>
    </cfRule>
    <cfRule type="cellIs" dxfId="6299" priority="11971" operator="equal">
      <formula>"Income"</formula>
    </cfRule>
    <cfRule type="cellIs" dxfId="6298" priority="11972" operator="equal">
      <formula>"Cost of Sales"</formula>
    </cfRule>
    <cfRule type="cellIs" dxfId="6297" priority="11973" operator="equal">
      <formula>"Payroll"</formula>
    </cfRule>
    <cfRule type="cellIs" dxfId="6296" priority="11974" operator="equal">
      <formula>"Investment"</formula>
    </cfRule>
    <cfRule type="cellIs" dxfId="6295" priority="11975" operator="equal">
      <formula>"Sunk"</formula>
    </cfRule>
    <cfRule type="cellIs" dxfId="6294" priority="11976" operator="equal">
      <formula>"OpEx"</formula>
    </cfRule>
    <cfRule type="cellIs" dxfId="6293" priority="11977" operator="equal">
      <formula>"CapEx"</formula>
    </cfRule>
  </conditionalFormatting>
  <conditionalFormatting sqref="F326">
    <cfRule type="cellIs" dxfId="6292" priority="11939" operator="equal">
      <formula>"Income"</formula>
    </cfRule>
    <cfRule type="cellIs" dxfId="6291" priority="11940" operator="equal">
      <formula>"Cost of Sales"</formula>
    </cfRule>
    <cfRule type="cellIs" dxfId="6290" priority="11941" operator="equal">
      <formula>"Payroll"</formula>
    </cfRule>
    <cfRule type="cellIs" dxfId="6289" priority="11942" operator="equal">
      <formula>"Investment"</formula>
    </cfRule>
    <cfRule type="cellIs" dxfId="6288" priority="11943" operator="equal">
      <formula>"Sunk"</formula>
    </cfRule>
    <cfRule type="cellIs" dxfId="6287" priority="11944" operator="equal">
      <formula>"OpEx"</formula>
    </cfRule>
    <cfRule type="cellIs" dxfId="6286" priority="11945" operator="equal">
      <formula>"CapEx"</formula>
    </cfRule>
    <cfRule type="dataBar" priority="11946">
      <dataBar>
        <cfvo type="min"/>
        <cfvo type="max"/>
        <color rgb="FF638EC6"/>
      </dataBar>
    </cfRule>
    <cfRule type="colorScale" priority="11947">
      <colorScale>
        <cfvo type="min"/>
        <cfvo type="percentile" val="50"/>
        <cfvo type="max"/>
        <color rgb="FFF8696B"/>
        <color rgb="FFFFEB84"/>
        <color rgb="FF63BE7B"/>
      </colorScale>
    </cfRule>
    <cfRule type="cellIs" dxfId="6285" priority="11948" operator="equal">
      <formula>"Tax"</formula>
    </cfRule>
    <cfRule type="dataBar" priority="11949">
      <dataBar>
        <cfvo type="min"/>
        <cfvo type="max"/>
        <color rgb="FF638EC6"/>
      </dataBar>
    </cfRule>
    <cfRule type="colorScale" priority="11950">
      <colorScale>
        <cfvo type="min"/>
        <cfvo type="percentile" val="50"/>
        <cfvo type="max"/>
        <color rgb="FFF8696B"/>
        <color rgb="FFFFEB84"/>
        <color rgb="FF63BE7B"/>
      </colorScale>
    </cfRule>
  </conditionalFormatting>
  <conditionalFormatting sqref="F326:F327">
    <cfRule type="cellIs" dxfId="6284" priority="11951" operator="equal">
      <formula>"Tax"</formula>
    </cfRule>
    <cfRule type="cellIs" dxfId="6283" priority="11952" operator="equal">
      <formula>"Cost of Sales"</formula>
    </cfRule>
    <cfRule type="cellIs" dxfId="6282" priority="11953" operator="equal">
      <formula>"Payroll"</formula>
    </cfRule>
    <cfRule type="cellIs" dxfId="6281" priority="11954" operator="equal">
      <formula>"Investment"</formula>
    </cfRule>
    <cfRule type="cellIs" dxfId="6280" priority="11955" operator="equal">
      <formula>"Sunk"</formula>
    </cfRule>
    <cfRule type="cellIs" dxfId="6279" priority="11956" operator="equal">
      <formula>"OpEx"</formula>
    </cfRule>
    <cfRule type="cellIs" dxfId="6278" priority="11957" operator="equal">
      <formula>"CapEx"</formula>
    </cfRule>
    <cfRule type="cellIs" dxfId="6277" priority="11958" operator="equal">
      <formula>"Income"</formula>
    </cfRule>
  </conditionalFormatting>
  <conditionalFormatting sqref="F328 F342 F345:F346">
    <cfRule type="cellIs" dxfId="6276" priority="11919" operator="equal">
      <formula>"Tax"</formula>
    </cfRule>
    <cfRule type="cellIs" dxfId="6275" priority="11920" operator="equal">
      <formula>"Income"</formula>
    </cfRule>
    <cfRule type="cellIs" dxfId="6274" priority="11921" operator="equal">
      <formula>"Cost of Sales"</formula>
    </cfRule>
    <cfRule type="cellIs" dxfId="6273" priority="11922" operator="equal">
      <formula>"Payroll"</formula>
    </cfRule>
    <cfRule type="cellIs" dxfId="6272" priority="11923" operator="equal">
      <formula>"Investment"</formula>
    </cfRule>
    <cfRule type="cellIs" dxfId="6271" priority="11924" operator="equal">
      <formula>"Sunk"</formula>
    </cfRule>
    <cfRule type="cellIs" dxfId="6270" priority="11925" operator="equal">
      <formula>"OpEx"</formula>
    </cfRule>
    <cfRule type="cellIs" dxfId="6269" priority="11926" operator="equal">
      <formula>"CapEx"</formula>
    </cfRule>
  </conditionalFormatting>
  <conditionalFormatting sqref="F329">
    <cfRule type="dataBar" priority="11896">
      <dataBar>
        <cfvo type="min"/>
        <cfvo type="max"/>
        <color rgb="FF638EC6"/>
      </dataBar>
    </cfRule>
    <cfRule type="colorScale" priority="11897">
      <colorScale>
        <cfvo type="min"/>
        <cfvo type="percentile" val="50"/>
        <cfvo type="max"/>
        <color rgb="FFF8696B"/>
        <color rgb="FFFFEB84"/>
        <color rgb="FF63BE7B"/>
      </colorScale>
    </cfRule>
    <cfRule type="cellIs" dxfId="6268" priority="11898" operator="equal">
      <formula>"Tax"</formula>
    </cfRule>
    <cfRule type="cellIs" dxfId="6267" priority="11899" operator="equal">
      <formula>"Cost of Sales"</formula>
    </cfRule>
    <cfRule type="cellIs" dxfId="6266" priority="11900" operator="equal">
      <formula>"Payroll"</formula>
    </cfRule>
    <cfRule type="cellIs" dxfId="6265" priority="11901" operator="equal">
      <formula>"Investment"</formula>
    </cfRule>
    <cfRule type="cellIs" dxfId="6264" priority="11902" operator="equal">
      <formula>"Sunk"</formula>
    </cfRule>
    <cfRule type="cellIs" dxfId="6263" priority="11903" operator="equal">
      <formula>"OpEx"</formula>
    </cfRule>
    <cfRule type="cellIs" dxfId="6262" priority="11904" operator="equal">
      <formula>"CapEx"</formula>
    </cfRule>
  </conditionalFormatting>
  <conditionalFormatting sqref="F329:F330">
    <cfRule type="cellIs" dxfId="6261" priority="11889" operator="equal">
      <formula>"Income"</formula>
    </cfRule>
  </conditionalFormatting>
  <conditionalFormatting sqref="F330">
    <cfRule type="dataBar" priority="11887">
      <dataBar>
        <cfvo type="min"/>
        <cfvo type="max"/>
        <color rgb="FF638EC6"/>
      </dataBar>
    </cfRule>
    <cfRule type="colorScale" priority="11888">
      <colorScale>
        <cfvo type="min"/>
        <cfvo type="percentile" val="50"/>
        <cfvo type="max"/>
        <color rgb="FFF8696B"/>
        <color rgb="FFFFEB84"/>
        <color rgb="FF63BE7B"/>
      </colorScale>
    </cfRule>
    <cfRule type="cellIs" dxfId="6260" priority="11890" operator="equal">
      <formula>"Cost of Sales"</formula>
    </cfRule>
    <cfRule type="cellIs" dxfId="6259" priority="11891" operator="equal">
      <formula>"Payroll"</formula>
    </cfRule>
    <cfRule type="cellIs" dxfId="6258" priority="11892" operator="equal">
      <formula>"Investment"</formula>
    </cfRule>
    <cfRule type="cellIs" dxfId="6257" priority="11893" operator="equal">
      <formula>"Sunk"</formula>
    </cfRule>
    <cfRule type="cellIs" dxfId="6256" priority="11894" operator="equal">
      <formula>"OpEx"</formula>
    </cfRule>
    <cfRule type="cellIs" dxfId="6255" priority="11895" operator="equal">
      <formula>"CapEx"</formula>
    </cfRule>
  </conditionalFormatting>
  <conditionalFormatting sqref="F330:F331">
    <cfRule type="cellIs" dxfId="6254" priority="11214" operator="equal">
      <formula>"Tax"</formula>
    </cfRule>
  </conditionalFormatting>
  <conditionalFormatting sqref="F331">
    <cfRule type="cellIs" dxfId="6253" priority="11203" operator="equal">
      <formula>"Cost of Sales"</formula>
    </cfRule>
    <cfRule type="cellIs" dxfId="6252" priority="11204" operator="equal">
      <formula>"Payroll"</formula>
    </cfRule>
    <cfRule type="cellIs" dxfId="6251" priority="11205" operator="equal">
      <formula>"Investment"</formula>
    </cfRule>
    <cfRule type="cellIs" dxfId="6250" priority="11206" operator="equal">
      <formula>"Sunk"</formula>
    </cfRule>
    <cfRule type="cellIs" dxfId="6249" priority="11207" operator="equal">
      <formula>"OpEx"</formula>
    </cfRule>
    <cfRule type="cellIs" dxfId="6248" priority="11208" operator="equal">
      <formula>"CapEx"</formula>
    </cfRule>
    <cfRule type="cellIs" dxfId="6247" priority="11209" operator="equal">
      <formula>"Income"</formula>
    </cfRule>
    <cfRule type="dataBar" priority="11210">
      <dataBar>
        <cfvo type="min"/>
        <cfvo type="max"/>
        <color rgb="FF638EC6"/>
      </dataBar>
    </cfRule>
    <cfRule type="colorScale" priority="11211">
      <colorScale>
        <cfvo type="min"/>
        <cfvo type="percentile" val="50"/>
        <cfvo type="max"/>
        <color rgb="FFF8696B"/>
        <color rgb="FFFFEB84"/>
        <color rgb="FF63BE7B"/>
      </colorScale>
    </cfRule>
    <cfRule type="dataBar" priority="11212">
      <dataBar>
        <cfvo type="min"/>
        <cfvo type="max"/>
        <color rgb="FF638EC6"/>
      </dataBar>
    </cfRule>
    <cfRule type="colorScale" priority="11213">
      <colorScale>
        <cfvo type="min"/>
        <cfvo type="percentile" val="50"/>
        <cfvo type="max"/>
        <color rgb="FFF8696B"/>
        <color rgb="FFFFEB84"/>
        <color rgb="FF63BE7B"/>
      </colorScale>
    </cfRule>
  </conditionalFormatting>
  <conditionalFormatting sqref="F332">
    <cfRule type="dataBar" priority="11853">
      <dataBar>
        <cfvo type="min"/>
        <cfvo type="max"/>
        <color rgb="FF638EC6"/>
      </dataBar>
    </cfRule>
    <cfRule type="colorScale" priority="11854">
      <colorScale>
        <cfvo type="min"/>
        <cfvo type="percentile" val="50"/>
        <cfvo type="max"/>
        <color rgb="FFF8696B"/>
        <color rgb="FFFFEB84"/>
        <color rgb="FF63BE7B"/>
      </colorScale>
    </cfRule>
    <cfRule type="dataBar" priority="11855">
      <dataBar>
        <cfvo type="min"/>
        <cfvo type="max"/>
        <color rgb="FF638EC6"/>
      </dataBar>
    </cfRule>
    <cfRule type="colorScale" priority="11856">
      <colorScale>
        <cfvo type="min"/>
        <cfvo type="percentile" val="50"/>
        <cfvo type="max"/>
        <color rgb="FFF8696B"/>
        <color rgb="FFFFEB84"/>
        <color rgb="FF63BE7B"/>
      </colorScale>
    </cfRule>
    <cfRule type="cellIs" dxfId="6246" priority="11857" operator="equal">
      <formula>"Tax"</formula>
    </cfRule>
    <cfRule type="cellIs" dxfId="6245" priority="11858" operator="equal">
      <formula>"Income"</formula>
    </cfRule>
    <cfRule type="cellIs" dxfId="6244" priority="11859" operator="equal">
      <formula>"Cost of Sales"</formula>
    </cfRule>
    <cfRule type="cellIs" dxfId="6243" priority="11860" operator="equal">
      <formula>"Payroll"</formula>
    </cfRule>
    <cfRule type="cellIs" dxfId="6242" priority="11861" operator="equal">
      <formula>"Investment"</formula>
    </cfRule>
    <cfRule type="cellIs" dxfId="6241" priority="11862" operator="equal">
      <formula>"Sunk"</formula>
    </cfRule>
    <cfRule type="cellIs" dxfId="6240" priority="11863" operator="equal">
      <formula>"OpEx"</formula>
    </cfRule>
    <cfRule type="cellIs" dxfId="6239" priority="11864" operator="equal">
      <formula>"CapEx"</formula>
    </cfRule>
  </conditionalFormatting>
  <conditionalFormatting sqref="F333:F334">
    <cfRule type="dataBar" priority="11850">
      <dataBar>
        <cfvo type="min"/>
        <cfvo type="max"/>
        <color rgb="FF638EC6"/>
      </dataBar>
    </cfRule>
    <cfRule type="colorScale" priority="11851">
      <colorScale>
        <cfvo type="min"/>
        <cfvo type="percentile" val="50"/>
        <cfvo type="max"/>
        <color rgb="FFF8696B"/>
        <color rgb="FFFFEB84"/>
        <color rgb="FF63BE7B"/>
      </colorScale>
    </cfRule>
    <cfRule type="cellIs" dxfId="6238" priority="11852" operator="equal">
      <formula>"Tax"</formula>
    </cfRule>
  </conditionalFormatting>
  <conditionalFormatting sqref="F333:F335">
    <cfRule type="cellIs" dxfId="6237" priority="11813" operator="equal">
      <formula>"Income"</formula>
    </cfRule>
    <cfRule type="cellIs" dxfId="6236" priority="11814" operator="equal">
      <formula>"Cost of Sales"</formula>
    </cfRule>
    <cfRule type="cellIs" dxfId="6235" priority="11815" operator="equal">
      <formula>"Payroll"</formula>
    </cfRule>
    <cfRule type="cellIs" dxfId="6234" priority="11816" operator="equal">
      <formula>"Investment"</formula>
    </cfRule>
    <cfRule type="cellIs" dxfId="6233" priority="11817" operator="equal">
      <formula>"Sunk"</formula>
    </cfRule>
    <cfRule type="cellIs" dxfId="6232" priority="11818" operator="equal">
      <formula>"OpEx"</formula>
    </cfRule>
    <cfRule type="cellIs" dxfId="6231" priority="11819" operator="equal">
      <formula>"CapEx"</formula>
    </cfRule>
  </conditionalFormatting>
  <conditionalFormatting sqref="F335">
    <cfRule type="dataBar" priority="11808">
      <dataBar>
        <cfvo type="min"/>
        <cfvo type="max"/>
        <color rgb="FF638EC6"/>
      </dataBar>
    </cfRule>
    <cfRule type="colorScale" priority="11809">
      <colorScale>
        <cfvo type="min"/>
        <cfvo type="percentile" val="50"/>
        <cfvo type="max"/>
        <color rgb="FFF8696B"/>
        <color rgb="FFFFEB84"/>
        <color rgb="FF63BE7B"/>
      </colorScale>
    </cfRule>
    <cfRule type="dataBar" priority="11810">
      <dataBar>
        <cfvo type="min"/>
        <cfvo type="max"/>
        <color rgb="FF638EC6"/>
      </dataBar>
    </cfRule>
    <cfRule type="colorScale" priority="11811">
      <colorScale>
        <cfvo type="min"/>
        <cfvo type="percentile" val="50"/>
        <cfvo type="max"/>
        <color rgb="FFF8696B"/>
        <color rgb="FFFFEB84"/>
        <color rgb="FF63BE7B"/>
      </colorScale>
    </cfRule>
    <cfRule type="cellIs" dxfId="6230" priority="11812" operator="equal">
      <formula>"Tax"</formula>
    </cfRule>
  </conditionalFormatting>
  <conditionalFormatting sqref="F336:F337">
    <cfRule type="dataBar" priority="11805">
      <dataBar>
        <cfvo type="min"/>
        <cfvo type="max"/>
        <color rgb="FF638EC6"/>
      </dataBar>
    </cfRule>
    <cfRule type="colorScale" priority="11806">
      <colorScale>
        <cfvo type="min"/>
        <cfvo type="percentile" val="50"/>
        <cfvo type="max"/>
        <color rgb="FFF8696B"/>
        <color rgb="FFFFEB84"/>
        <color rgb="FF63BE7B"/>
      </colorScale>
    </cfRule>
    <cfRule type="cellIs" dxfId="6229" priority="11807" operator="equal">
      <formula>"Tax"</formula>
    </cfRule>
  </conditionalFormatting>
  <conditionalFormatting sqref="F336:F338">
    <cfRule type="cellIs" dxfId="6228" priority="11770" operator="equal">
      <formula>"Cost of Sales"</formula>
    </cfRule>
    <cfRule type="cellIs" dxfId="6227" priority="11771" operator="equal">
      <formula>"Payroll"</formula>
    </cfRule>
    <cfRule type="cellIs" dxfId="6226" priority="11772" operator="equal">
      <formula>"Investment"</formula>
    </cfRule>
    <cfRule type="cellIs" dxfId="6225" priority="11773" operator="equal">
      <formula>"Sunk"</formula>
    </cfRule>
    <cfRule type="cellIs" dxfId="6224" priority="11774" operator="equal">
      <formula>"OpEx"</formula>
    </cfRule>
    <cfRule type="cellIs" dxfId="6223" priority="11775" operator="equal">
      <formula>"CapEx"</formula>
    </cfRule>
    <cfRule type="cellIs" dxfId="6222" priority="11776" operator="equal">
      <formula>"Income"</formula>
    </cfRule>
  </conditionalFormatting>
  <conditionalFormatting sqref="F338">
    <cfRule type="dataBar" priority="11767">
      <dataBar>
        <cfvo type="min"/>
        <cfvo type="max"/>
        <color rgb="FF638EC6"/>
      </dataBar>
    </cfRule>
    <cfRule type="colorScale" priority="11768">
      <colorScale>
        <cfvo type="min"/>
        <cfvo type="percentile" val="50"/>
        <cfvo type="max"/>
        <color rgb="FFF8696B"/>
        <color rgb="FFFFEB84"/>
        <color rgb="FF63BE7B"/>
      </colorScale>
    </cfRule>
    <cfRule type="cellIs" dxfId="6221" priority="11769" operator="equal">
      <formula>"Tax"</formula>
    </cfRule>
  </conditionalFormatting>
  <conditionalFormatting sqref="F339">
    <cfRule type="dataBar" priority="11760">
      <dataBar>
        <cfvo type="min"/>
        <cfvo type="max"/>
        <color rgb="FF638EC6"/>
      </dataBar>
    </cfRule>
    <cfRule type="colorScale" priority="11761">
      <colorScale>
        <cfvo type="min"/>
        <cfvo type="percentile" val="50"/>
        <cfvo type="max"/>
        <color rgb="FFF8696B"/>
        <color rgb="FFFFEB84"/>
        <color rgb="FF63BE7B"/>
      </colorScale>
    </cfRule>
    <cfRule type="cellIs" dxfId="6220" priority="11762" operator="equal">
      <formula>"Tax"</formula>
    </cfRule>
  </conditionalFormatting>
  <conditionalFormatting sqref="F339:F341">
    <cfRule type="cellIs" dxfId="6219" priority="11729" operator="equal">
      <formula>"Income"</formula>
    </cfRule>
    <cfRule type="cellIs" dxfId="6218" priority="11733" operator="equal">
      <formula>"Cost of Sales"</formula>
    </cfRule>
    <cfRule type="cellIs" dxfId="6217" priority="11734" operator="equal">
      <formula>"Payroll"</formula>
    </cfRule>
    <cfRule type="cellIs" dxfId="6216" priority="11735" operator="equal">
      <formula>"Investment"</formula>
    </cfRule>
    <cfRule type="cellIs" dxfId="6215" priority="11736" operator="equal">
      <formula>"Sunk"</formula>
    </cfRule>
    <cfRule type="cellIs" dxfId="6214" priority="11737" operator="equal">
      <formula>"OpEx"</formula>
    </cfRule>
    <cfRule type="cellIs" dxfId="6213" priority="11738" operator="equal">
      <formula>"CapEx"</formula>
    </cfRule>
  </conditionalFormatting>
  <conditionalFormatting sqref="F340">
    <cfRule type="dataBar" priority="11757">
      <dataBar>
        <cfvo type="min"/>
        <cfvo type="max"/>
        <color rgb="FF638EC6"/>
      </dataBar>
    </cfRule>
    <cfRule type="colorScale" priority="11758">
      <colorScale>
        <cfvo type="min"/>
        <cfvo type="percentile" val="50"/>
        <cfvo type="max"/>
        <color rgb="FFF8696B"/>
        <color rgb="FFFFEB84"/>
        <color rgb="FF63BE7B"/>
      </colorScale>
    </cfRule>
    <cfRule type="cellIs" dxfId="6212" priority="11759" operator="equal">
      <formula>"Tax"</formula>
    </cfRule>
  </conditionalFormatting>
  <conditionalFormatting sqref="F341">
    <cfRule type="dataBar" priority="11730">
      <dataBar>
        <cfvo type="min"/>
        <cfvo type="max"/>
        <color rgb="FF638EC6"/>
      </dataBar>
    </cfRule>
    <cfRule type="colorScale" priority="11731">
      <colorScale>
        <cfvo type="min"/>
        <cfvo type="percentile" val="50"/>
        <cfvo type="max"/>
        <color rgb="FFF8696B"/>
        <color rgb="FFFFEB84"/>
        <color rgb="FF63BE7B"/>
      </colorScale>
    </cfRule>
    <cfRule type="cellIs" dxfId="6211" priority="11732" operator="equal">
      <formula>"Tax"</formula>
    </cfRule>
  </conditionalFormatting>
  <conditionalFormatting sqref="F342 F328 F345:F346">
    <cfRule type="dataBar" priority="11917">
      <dataBar>
        <cfvo type="min"/>
        <cfvo type="max"/>
        <color rgb="FF638EC6"/>
      </dataBar>
    </cfRule>
    <cfRule type="colorScale" priority="11918">
      <colorScale>
        <cfvo type="min"/>
        <cfvo type="percentile" val="50"/>
        <cfvo type="max"/>
        <color rgb="FFF8696B"/>
        <color rgb="FFFFEB84"/>
        <color rgb="FF63BE7B"/>
      </colorScale>
    </cfRule>
  </conditionalFormatting>
  <conditionalFormatting sqref="F343">
    <cfRule type="dataBar" priority="11708">
      <dataBar>
        <cfvo type="min"/>
        <cfvo type="max"/>
        <color rgb="FF638EC6"/>
      </dataBar>
    </cfRule>
    <cfRule type="colorScale" priority="11709">
      <colorScale>
        <cfvo type="min"/>
        <cfvo type="percentile" val="50"/>
        <cfvo type="max"/>
        <color rgb="FFF8696B"/>
        <color rgb="FFFFEB84"/>
        <color rgb="FF63BE7B"/>
      </colorScale>
    </cfRule>
    <cfRule type="cellIs" dxfId="6210" priority="11710" operator="equal">
      <formula>"Tax"</formula>
    </cfRule>
    <cfRule type="cellIs" dxfId="6209" priority="11711" operator="equal">
      <formula>"Income"</formula>
    </cfRule>
    <cfRule type="cellIs" dxfId="6208" priority="11712" operator="equal">
      <formula>"Cost of Sales"</formula>
    </cfRule>
    <cfRule type="cellIs" dxfId="6207" priority="11713" operator="equal">
      <formula>"Payroll"</formula>
    </cfRule>
    <cfRule type="cellIs" dxfId="6206" priority="11714" operator="equal">
      <formula>"Investment"</formula>
    </cfRule>
    <cfRule type="cellIs" dxfId="6205" priority="11715" operator="equal">
      <formula>"Sunk"</formula>
    </cfRule>
    <cfRule type="cellIs" dxfId="6204" priority="11716" operator="equal">
      <formula>"OpEx"</formula>
    </cfRule>
    <cfRule type="cellIs" dxfId="6203" priority="11717" operator="equal">
      <formula>"CapEx"</formula>
    </cfRule>
    <cfRule type="dataBar" priority="11718">
      <dataBar>
        <cfvo type="min"/>
        <cfvo type="max"/>
        <color rgb="FF638EC6"/>
      </dataBar>
    </cfRule>
    <cfRule type="colorScale" priority="11719">
      <colorScale>
        <cfvo type="min"/>
        <cfvo type="percentile" val="50"/>
        <cfvo type="max"/>
        <color rgb="FFF8696B"/>
        <color rgb="FFFFEB84"/>
        <color rgb="FF63BE7B"/>
      </colorScale>
    </cfRule>
    <cfRule type="cellIs" dxfId="6202" priority="11720" operator="equal">
      <formula>"Tax"</formula>
    </cfRule>
  </conditionalFormatting>
  <conditionalFormatting sqref="F343:F344">
    <cfRule type="cellIs" dxfId="6201" priority="11679" operator="equal">
      <formula>"Income"</formula>
    </cfRule>
    <cfRule type="cellIs" dxfId="6200" priority="11680" operator="equal">
      <formula>"Cost of Sales"</formula>
    </cfRule>
    <cfRule type="cellIs" dxfId="6199" priority="11681" operator="equal">
      <formula>"Payroll"</formula>
    </cfRule>
    <cfRule type="cellIs" dxfId="6198" priority="11682" operator="equal">
      <formula>"Investment"</formula>
    </cfRule>
    <cfRule type="cellIs" dxfId="6197" priority="11683" operator="equal">
      <formula>"Sunk"</formula>
    </cfRule>
    <cfRule type="cellIs" dxfId="6196" priority="11684" operator="equal">
      <formula>"OpEx"</formula>
    </cfRule>
    <cfRule type="cellIs" dxfId="6195" priority="11685" operator="equal">
      <formula>"CapEx"</formula>
    </cfRule>
  </conditionalFormatting>
  <conditionalFormatting sqref="F344">
    <cfRule type="cellIs" dxfId="6194" priority="11669" operator="equal">
      <formula>"Cost of Sales"</formula>
    </cfRule>
    <cfRule type="cellIs" dxfId="6193" priority="11670" operator="equal">
      <formula>"Payroll"</formula>
    </cfRule>
    <cfRule type="cellIs" dxfId="6192" priority="11671" operator="equal">
      <formula>"Investment"</formula>
    </cfRule>
    <cfRule type="cellIs" dxfId="6191" priority="11672" operator="equal">
      <formula>"Sunk"</formula>
    </cfRule>
    <cfRule type="cellIs" dxfId="6190" priority="11673" operator="equal">
      <formula>"OpEx"</formula>
    </cfRule>
    <cfRule type="cellIs" dxfId="6189" priority="11674" operator="equal">
      <formula>"CapEx"</formula>
    </cfRule>
    <cfRule type="cellIs" dxfId="6188" priority="11675" operator="equal">
      <formula>"Income"</formula>
    </cfRule>
    <cfRule type="dataBar" priority="11676">
      <dataBar>
        <cfvo type="min"/>
        <cfvo type="max"/>
        <color rgb="FF638EC6"/>
      </dataBar>
    </cfRule>
    <cfRule type="colorScale" priority="11677">
      <colorScale>
        <cfvo type="min"/>
        <cfvo type="percentile" val="50"/>
        <cfvo type="max"/>
        <color rgb="FFF8696B"/>
        <color rgb="FFFFEB84"/>
        <color rgb="FF63BE7B"/>
      </colorScale>
    </cfRule>
    <cfRule type="cellIs" dxfId="6187" priority="11678" operator="equal">
      <formula>"Tax"</formula>
    </cfRule>
    <cfRule type="dataBar" priority="11686">
      <dataBar>
        <cfvo type="min"/>
        <cfvo type="max"/>
        <color rgb="FF638EC6"/>
      </dataBar>
    </cfRule>
    <cfRule type="colorScale" priority="11687">
      <colorScale>
        <cfvo type="min"/>
        <cfvo type="percentile" val="50"/>
        <cfvo type="max"/>
        <color rgb="FFF8696B"/>
        <color rgb="FFFFEB84"/>
        <color rgb="FF63BE7B"/>
      </colorScale>
    </cfRule>
    <cfRule type="cellIs" dxfId="6186" priority="11688" operator="equal">
      <formula>"Tax"</formula>
    </cfRule>
  </conditionalFormatting>
  <conditionalFormatting sqref="F347">
    <cfRule type="dataBar" priority="11176">
      <dataBar>
        <cfvo type="min"/>
        <cfvo type="max"/>
        <color rgb="FF638EC6"/>
      </dataBar>
    </cfRule>
    <cfRule type="colorScale" priority="11177">
      <colorScale>
        <cfvo type="min"/>
        <cfvo type="percentile" val="50"/>
        <cfvo type="max"/>
        <color rgb="FFF8696B"/>
        <color rgb="FFFFEB84"/>
        <color rgb="FF63BE7B"/>
      </colorScale>
    </cfRule>
    <cfRule type="cellIs" dxfId="6185" priority="11178" operator="equal">
      <formula>"Tax"</formula>
    </cfRule>
    <cfRule type="cellIs" dxfId="6184" priority="11179" operator="equal">
      <formula>"Income"</formula>
    </cfRule>
    <cfRule type="cellIs" dxfId="6183" priority="11180" operator="equal">
      <formula>"Cost of Sales"</formula>
    </cfRule>
    <cfRule type="cellIs" dxfId="6182" priority="11181" operator="equal">
      <formula>"Payroll"</formula>
    </cfRule>
    <cfRule type="cellIs" dxfId="6181" priority="11182" operator="equal">
      <formula>"Investment"</formula>
    </cfRule>
    <cfRule type="cellIs" dxfId="6180" priority="11183" operator="equal">
      <formula>"Sunk"</formula>
    </cfRule>
    <cfRule type="cellIs" dxfId="6179" priority="11184" operator="equal">
      <formula>"OpEx"</formula>
    </cfRule>
    <cfRule type="cellIs" dxfId="6178" priority="11185" operator="equal">
      <formula>"CapEx"</formula>
    </cfRule>
  </conditionalFormatting>
  <conditionalFormatting sqref="F348">
    <cfRule type="dataBar" priority="11648">
      <dataBar>
        <cfvo type="min"/>
        <cfvo type="max"/>
        <color rgb="FF638EC6"/>
      </dataBar>
    </cfRule>
    <cfRule type="colorScale" priority="11649">
      <colorScale>
        <cfvo type="min"/>
        <cfvo type="percentile" val="50"/>
        <cfvo type="max"/>
        <color rgb="FFF8696B"/>
        <color rgb="FFFFEB84"/>
        <color rgb="FF63BE7B"/>
      </colorScale>
    </cfRule>
    <cfRule type="cellIs" dxfId="6177" priority="11650" operator="equal">
      <formula>"Tax"</formula>
    </cfRule>
    <cfRule type="cellIs" dxfId="6176" priority="11651" operator="equal">
      <formula>"Income"</formula>
    </cfRule>
    <cfRule type="cellIs" dxfId="6175" priority="11652" operator="equal">
      <formula>"Cost of Sales"</formula>
    </cfRule>
    <cfRule type="cellIs" dxfId="6174" priority="11653" operator="equal">
      <formula>"Payroll"</formula>
    </cfRule>
    <cfRule type="cellIs" dxfId="6173" priority="11654" operator="equal">
      <formula>"Investment"</formula>
    </cfRule>
    <cfRule type="cellIs" dxfId="6172" priority="11655" operator="equal">
      <formula>"Sunk"</formula>
    </cfRule>
    <cfRule type="cellIs" dxfId="6171" priority="11656" operator="equal">
      <formula>"OpEx"</formula>
    </cfRule>
    <cfRule type="cellIs" dxfId="6170" priority="11657" operator="equal">
      <formula>"CapEx"</formula>
    </cfRule>
  </conditionalFormatting>
  <conditionalFormatting sqref="F349">
    <cfRule type="dataBar" priority="11628">
      <dataBar>
        <cfvo type="min"/>
        <cfvo type="max"/>
        <color rgb="FF638EC6"/>
      </dataBar>
    </cfRule>
    <cfRule type="colorScale" priority="11629">
      <colorScale>
        <cfvo type="min"/>
        <cfvo type="percentile" val="50"/>
        <cfvo type="max"/>
        <color rgb="FFF8696B"/>
        <color rgb="FFFFEB84"/>
        <color rgb="FF63BE7B"/>
      </colorScale>
    </cfRule>
    <cfRule type="cellIs" dxfId="6169" priority="11630" operator="equal">
      <formula>"Tax"</formula>
    </cfRule>
    <cfRule type="cellIs" dxfId="6168" priority="11631" operator="equal">
      <formula>"Cost of Sales"</formula>
    </cfRule>
    <cfRule type="cellIs" dxfId="6167" priority="11632" operator="equal">
      <formula>"Payroll"</formula>
    </cfRule>
    <cfRule type="cellIs" dxfId="6166" priority="11633" operator="equal">
      <formula>"Investment"</formula>
    </cfRule>
    <cfRule type="cellIs" dxfId="6165" priority="11634" operator="equal">
      <formula>"Sunk"</formula>
    </cfRule>
    <cfRule type="cellIs" dxfId="6164" priority="11635" operator="equal">
      <formula>"OpEx"</formula>
    </cfRule>
    <cfRule type="cellIs" dxfId="6163" priority="11636" operator="equal">
      <formula>"CapEx"</formula>
    </cfRule>
    <cfRule type="dataBar" priority="11637">
      <dataBar>
        <cfvo type="min"/>
        <cfvo type="max"/>
        <color rgb="FF638EC6"/>
      </dataBar>
    </cfRule>
    <cfRule type="colorScale" priority="11638">
      <colorScale>
        <cfvo type="min"/>
        <cfvo type="percentile" val="50"/>
        <cfvo type="max"/>
        <color rgb="FFF8696B"/>
        <color rgb="FFFFEB84"/>
        <color rgb="FF63BE7B"/>
      </colorScale>
    </cfRule>
    <cfRule type="cellIs" dxfId="6162" priority="11639" operator="equal">
      <formula>"Tax"</formula>
    </cfRule>
    <cfRule type="cellIs" dxfId="6161" priority="11640" operator="equal">
      <formula>"Income"</formula>
    </cfRule>
  </conditionalFormatting>
  <conditionalFormatting sqref="F349:F350">
    <cfRule type="cellIs" dxfId="6160" priority="11582" operator="equal">
      <formula>"Income"</formula>
    </cfRule>
    <cfRule type="cellIs" dxfId="6159" priority="11586" operator="equal">
      <formula>"Cost of Sales"</formula>
    </cfRule>
    <cfRule type="cellIs" dxfId="6158" priority="11587" operator="equal">
      <formula>"Payroll"</formula>
    </cfRule>
    <cfRule type="cellIs" dxfId="6157" priority="11588" operator="equal">
      <formula>"Investment"</formula>
    </cfRule>
    <cfRule type="cellIs" dxfId="6156" priority="11589" operator="equal">
      <formula>"Sunk"</formula>
    </cfRule>
    <cfRule type="cellIs" dxfId="6155" priority="11590" operator="equal">
      <formula>"OpEx"</formula>
    </cfRule>
    <cfRule type="cellIs" dxfId="6154" priority="11591" operator="equal">
      <formula>"CapEx"</formula>
    </cfRule>
  </conditionalFormatting>
  <conditionalFormatting sqref="F350">
    <cfRule type="dataBar" priority="11583">
      <dataBar>
        <cfvo type="min"/>
        <cfvo type="max"/>
        <color rgb="FF638EC6"/>
      </dataBar>
    </cfRule>
    <cfRule type="colorScale" priority="11584">
      <colorScale>
        <cfvo type="min"/>
        <cfvo type="percentile" val="50"/>
        <cfvo type="max"/>
        <color rgb="FFF8696B"/>
        <color rgb="FFFFEB84"/>
        <color rgb="FF63BE7B"/>
      </colorScale>
    </cfRule>
    <cfRule type="cellIs" dxfId="6153" priority="11585" operator="equal">
      <formula>"Tax"</formula>
    </cfRule>
  </conditionalFormatting>
  <conditionalFormatting sqref="F351">
    <cfRule type="dataBar" priority="11599">
      <dataBar>
        <cfvo type="min"/>
        <cfvo type="max"/>
        <color rgb="FF638EC6"/>
      </dataBar>
    </cfRule>
    <cfRule type="colorScale" priority="11600">
      <colorScale>
        <cfvo type="min"/>
        <cfvo type="percentile" val="50"/>
        <cfvo type="max"/>
        <color rgb="FFF8696B"/>
        <color rgb="FFFFEB84"/>
        <color rgb="FF63BE7B"/>
      </colorScale>
    </cfRule>
    <cfRule type="cellIs" dxfId="6152" priority="11601" operator="equal">
      <formula>"Tax"</formula>
    </cfRule>
    <cfRule type="cellIs" dxfId="6151" priority="11602" operator="equal">
      <formula>"Income"</formula>
    </cfRule>
    <cfRule type="cellIs" dxfId="6150" priority="11603" operator="equal">
      <formula>"Cost of Sales"</formula>
    </cfRule>
    <cfRule type="cellIs" dxfId="6149" priority="11604" operator="equal">
      <formula>"Payroll"</formula>
    </cfRule>
    <cfRule type="cellIs" dxfId="6148" priority="11605" operator="equal">
      <formula>"Investment"</formula>
    </cfRule>
    <cfRule type="cellIs" dxfId="6147" priority="11606" operator="equal">
      <formula>"Sunk"</formula>
    </cfRule>
    <cfRule type="cellIs" dxfId="6146" priority="11607" operator="equal">
      <formula>"OpEx"</formula>
    </cfRule>
    <cfRule type="cellIs" dxfId="6145" priority="11608" operator="equal">
      <formula>"CapEx"</formula>
    </cfRule>
  </conditionalFormatting>
  <conditionalFormatting sqref="F352">
    <cfRule type="dataBar" priority="11548">
      <dataBar>
        <cfvo type="min"/>
        <cfvo type="max"/>
        <color rgb="FF638EC6"/>
      </dataBar>
    </cfRule>
    <cfRule type="colorScale" priority="11549">
      <colorScale>
        <cfvo type="min"/>
        <cfvo type="percentile" val="50"/>
        <cfvo type="max"/>
        <color rgb="FFF8696B"/>
        <color rgb="FFFFEB84"/>
        <color rgb="FF63BE7B"/>
      </colorScale>
    </cfRule>
    <cfRule type="cellIs" dxfId="6144" priority="11550" operator="equal">
      <formula>"Tax"</formula>
    </cfRule>
    <cfRule type="cellIs" dxfId="6143" priority="11551" operator="equal">
      <formula>"Cost of Sales"</formula>
    </cfRule>
    <cfRule type="cellIs" dxfId="6142" priority="11552" operator="equal">
      <formula>"Payroll"</formula>
    </cfRule>
    <cfRule type="cellIs" dxfId="6141" priority="11553" operator="equal">
      <formula>"Investment"</formula>
    </cfRule>
    <cfRule type="cellIs" dxfId="6140" priority="11554" operator="equal">
      <formula>"Sunk"</formula>
    </cfRule>
    <cfRule type="cellIs" dxfId="6139" priority="11555" operator="equal">
      <formula>"OpEx"</formula>
    </cfRule>
    <cfRule type="cellIs" dxfId="6138" priority="11556" operator="equal">
      <formula>"CapEx"</formula>
    </cfRule>
    <cfRule type="cellIs" dxfId="6137" priority="11557" operator="equal">
      <formula>"Income"</formula>
    </cfRule>
  </conditionalFormatting>
  <conditionalFormatting sqref="F353">
    <cfRule type="dataBar" priority="11541">
      <dataBar>
        <cfvo type="min"/>
        <cfvo type="max"/>
        <color rgb="FF638EC6"/>
      </dataBar>
    </cfRule>
    <cfRule type="colorScale" priority="11542">
      <colorScale>
        <cfvo type="min"/>
        <cfvo type="percentile" val="50"/>
        <cfvo type="max"/>
        <color rgb="FFF8696B"/>
        <color rgb="FFFFEB84"/>
        <color rgb="FF63BE7B"/>
      </colorScale>
    </cfRule>
    <cfRule type="cellIs" dxfId="6136" priority="11543" operator="equal">
      <formula>"Tax"</formula>
    </cfRule>
  </conditionalFormatting>
  <conditionalFormatting sqref="F353:F355">
    <cfRule type="cellIs" dxfId="6135" priority="11510" operator="equal">
      <formula>"Income"</formula>
    </cfRule>
    <cfRule type="cellIs" dxfId="6134" priority="11514" operator="equal">
      <formula>"Cost of Sales"</formula>
    </cfRule>
    <cfRule type="cellIs" dxfId="6133" priority="11515" operator="equal">
      <formula>"Payroll"</formula>
    </cfRule>
    <cfRule type="cellIs" dxfId="6132" priority="11516" operator="equal">
      <formula>"Investment"</formula>
    </cfRule>
    <cfRule type="cellIs" dxfId="6131" priority="11517" operator="equal">
      <formula>"Sunk"</formula>
    </cfRule>
    <cfRule type="cellIs" dxfId="6130" priority="11518" operator="equal">
      <formula>"OpEx"</formula>
    </cfRule>
    <cfRule type="cellIs" dxfId="6129" priority="11519" operator="equal">
      <formula>"CapEx"</formula>
    </cfRule>
  </conditionalFormatting>
  <conditionalFormatting sqref="F354">
    <cfRule type="dataBar" priority="11538">
      <dataBar>
        <cfvo type="min"/>
        <cfvo type="max"/>
        <color rgb="FF638EC6"/>
      </dataBar>
    </cfRule>
    <cfRule type="colorScale" priority="11539">
      <colorScale>
        <cfvo type="min"/>
        <cfvo type="percentile" val="50"/>
        <cfvo type="max"/>
        <color rgb="FFF8696B"/>
        <color rgb="FFFFEB84"/>
        <color rgb="FF63BE7B"/>
      </colorScale>
    </cfRule>
    <cfRule type="cellIs" dxfId="6128" priority="11540" operator="equal">
      <formula>"Tax"</formula>
    </cfRule>
  </conditionalFormatting>
  <conditionalFormatting sqref="F355">
    <cfRule type="dataBar" priority="11511">
      <dataBar>
        <cfvo type="min"/>
        <cfvo type="max"/>
        <color rgb="FF638EC6"/>
      </dataBar>
    </cfRule>
    <cfRule type="colorScale" priority="11512">
      <colorScale>
        <cfvo type="min"/>
        <cfvo type="percentile" val="50"/>
        <cfvo type="max"/>
        <color rgb="FFF8696B"/>
        <color rgb="FFFFEB84"/>
        <color rgb="FF63BE7B"/>
      </colorScale>
    </cfRule>
    <cfRule type="cellIs" dxfId="6127" priority="11513" operator="equal">
      <formula>"Tax"</formula>
    </cfRule>
  </conditionalFormatting>
  <conditionalFormatting sqref="F356">
    <cfRule type="dataBar" priority="11565">
      <dataBar>
        <cfvo type="min"/>
        <cfvo type="max"/>
        <color rgb="FF638EC6"/>
      </dataBar>
    </cfRule>
    <cfRule type="colorScale" priority="11566">
      <colorScale>
        <cfvo type="min"/>
        <cfvo type="percentile" val="50"/>
        <cfvo type="max"/>
        <color rgb="FFF8696B"/>
        <color rgb="FFFFEB84"/>
        <color rgb="FF63BE7B"/>
      </colorScale>
    </cfRule>
    <cfRule type="cellIs" dxfId="6126" priority="11567" operator="equal">
      <formula>"Tax"</formula>
    </cfRule>
    <cfRule type="cellIs" dxfId="6125" priority="11568" operator="equal">
      <formula>"Income"</formula>
    </cfRule>
    <cfRule type="cellIs" dxfId="6124" priority="11569" operator="equal">
      <formula>"Cost of Sales"</formula>
    </cfRule>
    <cfRule type="cellIs" dxfId="6123" priority="11570" operator="equal">
      <formula>"Payroll"</formula>
    </cfRule>
    <cfRule type="cellIs" dxfId="6122" priority="11571" operator="equal">
      <formula>"Investment"</formula>
    </cfRule>
    <cfRule type="cellIs" dxfId="6121" priority="11572" operator="equal">
      <formula>"Sunk"</formula>
    </cfRule>
    <cfRule type="cellIs" dxfId="6120" priority="11573" operator="equal">
      <formula>"OpEx"</formula>
    </cfRule>
    <cfRule type="cellIs" dxfId="6119" priority="11574" operator="equal">
      <formula>"CapEx"</formula>
    </cfRule>
  </conditionalFormatting>
  <conditionalFormatting sqref="F357">
    <cfRule type="dataBar" priority="11492">
      <dataBar>
        <cfvo type="min"/>
        <cfvo type="max"/>
        <color rgb="FF638EC6"/>
      </dataBar>
    </cfRule>
    <cfRule type="colorScale" priority="11493">
      <colorScale>
        <cfvo type="min"/>
        <cfvo type="percentile" val="50"/>
        <cfvo type="max"/>
        <color rgb="FFF8696B"/>
        <color rgb="FFFFEB84"/>
        <color rgb="FF63BE7B"/>
      </colorScale>
    </cfRule>
    <cfRule type="cellIs" dxfId="6118" priority="11494" operator="equal">
      <formula>"Tax"</formula>
    </cfRule>
    <cfRule type="cellIs" dxfId="6117" priority="11496" operator="equal">
      <formula>"Cost of Sales"</formula>
    </cfRule>
    <cfRule type="cellIs" dxfId="6116" priority="11497" operator="equal">
      <formula>"Payroll"</formula>
    </cfRule>
    <cfRule type="cellIs" dxfId="6115" priority="11498" operator="equal">
      <formula>"Investment"</formula>
    </cfRule>
    <cfRule type="cellIs" dxfId="6114" priority="11499" operator="equal">
      <formula>"Sunk"</formula>
    </cfRule>
    <cfRule type="cellIs" dxfId="6113" priority="11500" operator="equal">
      <formula>"OpEx"</formula>
    </cfRule>
    <cfRule type="cellIs" dxfId="6112" priority="11501" operator="equal">
      <formula>"CapEx"</formula>
    </cfRule>
  </conditionalFormatting>
  <conditionalFormatting sqref="F357:F358">
    <cfRule type="cellIs" dxfId="6111" priority="11495" operator="equal">
      <formula>"Income"</formula>
    </cfRule>
  </conditionalFormatting>
  <conditionalFormatting sqref="F358">
    <cfRule type="dataBar" priority="11483">
      <dataBar>
        <cfvo type="min"/>
        <cfvo type="max"/>
        <color rgb="FF638EC6"/>
      </dataBar>
    </cfRule>
    <cfRule type="colorScale" priority="11484">
      <colorScale>
        <cfvo type="min"/>
        <cfvo type="percentile" val="50"/>
        <cfvo type="max"/>
        <color rgb="FFF8696B"/>
        <color rgb="FFFFEB84"/>
        <color rgb="FF63BE7B"/>
      </colorScale>
    </cfRule>
    <cfRule type="cellIs" dxfId="6110" priority="11485" operator="equal">
      <formula>"Tax"</formula>
    </cfRule>
    <cfRule type="cellIs" dxfId="6109" priority="11486" operator="equal">
      <formula>"Cost of Sales"</formula>
    </cfRule>
    <cfRule type="cellIs" dxfId="6108" priority="11487" operator="equal">
      <formula>"Payroll"</formula>
    </cfRule>
    <cfRule type="cellIs" dxfId="6107" priority="11488" operator="equal">
      <formula>"Investment"</formula>
    </cfRule>
    <cfRule type="cellIs" dxfId="6106" priority="11489" operator="equal">
      <formula>"Sunk"</formula>
    </cfRule>
    <cfRule type="cellIs" dxfId="6105" priority="11490" operator="equal">
      <formula>"OpEx"</formula>
    </cfRule>
    <cfRule type="cellIs" dxfId="6104" priority="11491" operator="equal">
      <formula>"CapEx"</formula>
    </cfRule>
  </conditionalFormatting>
  <conditionalFormatting sqref="F359">
    <cfRule type="dataBar" priority="11480">
      <dataBar>
        <cfvo type="min"/>
        <cfvo type="max"/>
        <color rgb="FF638EC6"/>
      </dataBar>
    </cfRule>
    <cfRule type="colorScale" priority="11481">
      <colorScale>
        <cfvo type="min"/>
        <cfvo type="percentile" val="50"/>
        <cfvo type="max"/>
        <color rgb="FFF8696B"/>
        <color rgb="FFFFEB84"/>
        <color rgb="FF63BE7B"/>
      </colorScale>
    </cfRule>
    <cfRule type="cellIs" dxfId="6103" priority="11482" operator="equal">
      <formula>"Tax"</formula>
    </cfRule>
  </conditionalFormatting>
  <conditionalFormatting sqref="F359:F360">
    <cfRule type="cellIs" dxfId="6102" priority="11473" operator="equal">
      <formula>"Cost of Sales"</formula>
    </cfRule>
    <cfRule type="cellIs" dxfId="6101" priority="11474" operator="equal">
      <formula>"Payroll"</formula>
    </cfRule>
    <cfRule type="cellIs" dxfId="6100" priority="11475" operator="equal">
      <formula>"Investment"</formula>
    </cfRule>
    <cfRule type="cellIs" dxfId="6099" priority="11476" operator="equal">
      <formula>"Sunk"</formula>
    </cfRule>
    <cfRule type="cellIs" dxfId="6098" priority="11477" operator="equal">
      <formula>"OpEx"</formula>
    </cfRule>
    <cfRule type="cellIs" dxfId="6097" priority="11478" operator="equal">
      <formula>"CapEx"</formula>
    </cfRule>
    <cfRule type="cellIs" dxfId="6096" priority="11479" operator="equal">
      <formula>"Income"</formula>
    </cfRule>
  </conditionalFormatting>
  <conditionalFormatting sqref="F360">
    <cfRule type="dataBar" priority="11467">
      <dataBar>
        <cfvo type="min"/>
        <cfvo type="max"/>
        <color rgb="FF638EC6"/>
      </dataBar>
    </cfRule>
    <cfRule type="colorScale" priority="11468">
      <colorScale>
        <cfvo type="min"/>
        <cfvo type="percentile" val="50"/>
        <cfvo type="max"/>
        <color rgb="FFF8696B"/>
        <color rgb="FFFFEB84"/>
        <color rgb="FF63BE7B"/>
      </colorScale>
    </cfRule>
    <cfRule type="cellIs" dxfId="6095" priority="11469" operator="equal">
      <formula>"Tax"</formula>
    </cfRule>
    <cfRule type="dataBar" priority="11470">
      <dataBar>
        <cfvo type="min"/>
        <cfvo type="max"/>
        <color rgb="FF638EC6"/>
      </dataBar>
    </cfRule>
    <cfRule type="colorScale" priority="11471">
      <colorScale>
        <cfvo type="min"/>
        <cfvo type="percentile" val="50"/>
        <cfvo type="max"/>
        <color rgb="FFF8696B"/>
        <color rgb="FFFFEB84"/>
        <color rgb="FF63BE7B"/>
      </colorScale>
    </cfRule>
    <cfRule type="cellIs" dxfId="6094" priority="11472" operator="equal">
      <formula>"Tax"</formula>
    </cfRule>
  </conditionalFormatting>
  <conditionalFormatting sqref="F360:F361">
    <cfRule type="cellIs" dxfId="6093" priority="11460" operator="equal">
      <formula>"Income"</formula>
    </cfRule>
    <cfRule type="cellIs" dxfId="6092" priority="11461" operator="equal">
      <formula>"Cost of Sales"</formula>
    </cfRule>
    <cfRule type="cellIs" dxfId="6091" priority="11462" operator="equal">
      <formula>"Payroll"</formula>
    </cfRule>
    <cfRule type="cellIs" dxfId="6090" priority="11463" operator="equal">
      <formula>"Investment"</formula>
    </cfRule>
    <cfRule type="cellIs" dxfId="6089" priority="11464" operator="equal">
      <formula>"Sunk"</formula>
    </cfRule>
    <cfRule type="cellIs" dxfId="6088" priority="11465" operator="equal">
      <formula>"OpEx"</formula>
    </cfRule>
    <cfRule type="cellIs" dxfId="6087" priority="11466" operator="equal">
      <formula>"CapEx"</formula>
    </cfRule>
  </conditionalFormatting>
  <conditionalFormatting sqref="F361">
    <cfRule type="dataBar" priority="11457">
      <dataBar>
        <cfvo type="min"/>
        <cfvo type="max"/>
        <color rgb="FF638EC6"/>
      </dataBar>
    </cfRule>
    <cfRule type="colorScale" priority="11458">
      <colorScale>
        <cfvo type="min"/>
        <cfvo type="percentile" val="50"/>
        <cfvo type="max"/>
        <color rgb="FFF8696B"/>
        <color rgb="FFFFEB84"/>
        <color rgb="FF63BE7B"/>
      </colorScale>
    </cfRule>
    <cfRule type="cellIs" dxfId="6086" priority="11459" operator="equal">
      <formula>"Tax"</formula>
    </cfRule>
  </conditionalFormatting>
  <conditionalFormatting sqref="F362">
    <cfRule type="dataBar" priority="11444">
      <dataBar>
        <cfvo type="min"/>
        <cfvo type="max"/>
        <color rgb="FF638EC6"/>
      </dataBar>
    </cfRule>
    <cfRule type="colorScale" priority="11445">
      <colorScale>
        <cfvo type="min"/>
        <cfvo type="percentile" val="50"/>
        <cfvo type="max"/>
        <color rgb="FFF8696B"/>
        <color rgb="FFFFEB84"/>
        <color rgb="FF63BE7B"/>
      </colorScale>
    </cfRule>
    <cfRule type="cellIs" dxfId="6085" priority="11446" operator="equal">
      <formula>"Tax"</formula>
    </cfRule>
  </conditionalFormatting>
  <conditionalFormatting sqref="F362:F363">
    <cfRule type="cellIs" dxfId="6084" priority="11433" operator="equal">
      <formula>"Cost of Sales"</formula>
    </cfRule>
    <cfRule type="cellIs" dxfId="6083" priority="11434" operator="equal">
      <formula>"Payroll"</formula>
    </cfRule>
    <cfRule type="cellIs" dxfId="6082" priority="11435" operator="equal">
      <formula>"Investment"</formula>
    </cfRule>
    <cfRule type="cellIs" dxfId="6081" priority="11436" operator="equal">
      <formula>"Sunk"</formula>
    </cfRule>
    <cfRule type="cellIs" dxfId="6080" priority="11437" operator="equal">
      <formula>"OpEx"</formula>
    </cfRule>
    <cfRule type="cellIs" dxfId="6079" priority="11438" operator="equal">
      <formula>"CapEx"</formula>
    </cfRule>
    <cfRule type="cellIs" dxfId="6078" priority="11439" operator="equal">
      <formula>"Income"</formula>
    </cfRule>
  </conditionalFormatting>
  <conditionalFormatting sqref="F363">
    <cfRule type="dataBar" priority="11430">
      <dataBar>
        <cfvo type="min"/>
        <cfvo type="max"/>
        <color rgb="FF638EC6"/>
      </dataBar>
    </cfRule>
    <cfRule type="colorScale" priority="11431">
      <colorScale>
        <cfvo type="min"/>
        <cfvo type="percentile" val="50"/>
        <cfvo type="max"/>
        <color rgb="FFF8696B"/>
        <color rgb="FFFFEB84"/>
        <color rgb="FF63BE7B"/>
      </colorScale>
    </cfRule>
    <cfRule type="cellIs" dxfId="6077" priority="11432" operator="equal">
      <formula>"Tax"</formula>
    </cfRule>
  </conditionalFormatting>
  <conditionalFormatting sqref="F364">
    <cfRule type="dataBar" priority="11410">
      <dataBar>
        <cfvo type="min"/>
        <cfvo type="max"/>
        <color rgb="FF638EC6"/>
      </dataBar>
    </cfRule>
    <cfRule type="colorScale" priority="11411">
      <colorScale>
        <cfvo type="min"/>
        <cfvo type="percentile" val="50"/>
        <cfvo type="max"/>
        <color rgb="FFF8696B"/>
        <color rgb="FFFFEB84"/>
        <color rgb="FF63BE7B"/>
      </colorScale>
    </cfRule>
    <cfRule type="cellIs" dxfId="6076" priority="11412" operator="equal">
      <formula>"Tax"</formula>
    </cfRule>
    <cfRule type="dataBar" priority="11413">
      <dataBar>
        <cfvo type="min"/>
        <cfvo type="max"/>
        <color rgb="FF638EC6"/>
      </dataBar>
    </cfRule>
    <cfRule type="colorScale" priority="11414">
      <colorScale>
        <cfvo type="min"/>
        <cfvo type="percentile" val="50"/>
        <cfvo type="max"/>
        <color rgb="FFF8696B"/>
        <color rgb="FFFFEB84"/>
        <color rgb="FF63BE7B"/>
      </colorScale>
    </cfRule>
    <cfRule type="cellIs" dxfId="6075" priority="11415" operator="equal">
      <formula>"Tax"</formula>
    </cfRule>
    <cfRule type="cellIs" dxfId="6074" priority="11416" operator="equal">
      <formula>"Cost of Sales"</formula>
    </cfRule>
    <cfRule type="cellIs" dxfId="6073" priority="11417" operator="equal">
      <formula>"Payroll"</formula>
    </cfRule>
    <cfRule type="cellIs" dxfId="6072" priority="11418" operator="equal">
      <formula>"Investment"</formula>
    </cfRule>
    <cfRule type="cellIs" dxfId="6071" priority="11419" operator="equal">
      <formula>"Sunk"</formula>
    </cfRule>
    <cfRule type="cellIs" dxfId="6070" priority="11420" operator="equal">
      <formula>"OpEx"</formula>
    </cfRule>
    <cfRule type="cellIs" dxfId="6069" priority="11421" operator="equal">
      <formula>"CapEx"</formula>
    </cfRule>
    <cfRule type="cellIs" dxfId="6068" priority="11422" operator="equal">
      <formula>"Income"</formula>
    </cfRule>
  </conditionalFormatting>
  <conditionalFormatting sqref="F364:F366">
    <cfRule type="cellIs" dxfId="6067" priority="11403" operator="equal">
      <formula>"Income"</formula>
    </cfRule>
    <cfRule type="cellIs" dxfId="6066" priority="11404" operator="equal">
      <formula>"Cost of Sales"</formula>
    </cfRule>
    <cfRule type="cellIs" dxfId="6065" priority="11405" operator="equal">
      <formula>"Payroll"</formula>
    </cfRule>
    <cfRule type="cellIs" dxfId="6064" priority="11406" operator="equal">
      <formula>"Investment"</formula>
    </cfRule>
    <cfRule type="cellIs" dxfId="6063" priority="11407" operator="equal">
      <formula>"Sunk"</formula>
    </cfRule>
    <cfRule type="cellIs" dxfId="6062" priority="11408" operator="equal">
      <formula>"OpEx"</formula>
    </cfRule>
    <cfRule type="cellIs" dxfId="6061" priority="11409" operator="equal">
      <formula>"CapEx"</formula>
    </cfRule>
  </conditionalFormatting>
  <conditionalFormatting sqref="F365">
    <cfRule type="dataBar" priority="11400">
      <dataBar>
        <cfvo type="min"/>
        <cfvo type="max"/>
        <color rgb="FF638EC6"/>
      </dataBar>
    </cfRule>
    <cfRule type="colorScale" priority="11401">
      <colorScale>
        <cfvo type="min"/>
        <cfvo type="percentile" val="50"/>
        <cfvo type="max"/>
        <color rgb="FFF8696B"/>
        <color rgb="FFFFEB84"/>
        <color rgb="FF63BE7B"/>
      </colorScale>
    </cfRule>
    <cfRule type="cellIs" dxfId="6060" priority="11402" operator="equal">
      <formula>"Tax"</formula>
    </cfRule>
  </conditionalFormatting>
  <conditionalFormatting sqref="F366">
    <cfRule type="dataBar" priority="11397">
      <dataBar>
        <cfvo type="min"/>
        <cfvo type="max"/>
        <color rgb="FF638EC6"/>
      </dataBar>
    </cfRule>
    <cfRule type="colorScale" priority="11398">
      <colorScale>
        <cfvo type="min"/>
        <cfvo type="percentile" val="50"/>
        <cfvo type="max"/>
        <color rgb="FFF8696B"/>
        <color rgb="FFFFEB84"/>
        <color rgb="FF63BE7B"/>
      </colorScale>
    </cfRule>
    <cfRule type="cellIs" dxfId="6059" priority="11399" operator="equal">
      <formula>"Tax"</formula>
    </cfRule>
  </conditionalFormatting>
  <conditionalFormatting sqref="F367">
    <cfRule type="dataBar" priority="11387">
      <dataBar>
        <cfvo type="min"/>
        <cfvo type="max"/>
        <color rgb="FF638EC6"/>
      </dataBar>
    </cfRule>
    <cfRule type="colorScale" priority="11388">
      <colorScale>
        <cfvo type="min"/>
        <cfvo type="percentile" val="50"/>
        <cfvo type="max"/>
        <color rgb="FFF8696B"/>
        <color rgb="FFFFEB84"/>
        <color rgb="FF63BE7B"/>
      </colorScale>
    </cfRule>
    <cfRule type="cellIs" dxfId="6058" priority="11389" operator="equal">
      <formula>"Tax"</formula>
    </cfRule>
    <cfRule type="cellIs" dxfId="6057" priority="11390" operator="equal">
      <formula>"Income"</formula>
    </cfRule>
    <cfRule type="cellIs" dxfId="6056" priority="11391" operator="equal">
      <formula>"Cost of Sales"</formula>
    </cfRule>
    <cfRule type="cellIs" dxfId="6055" priority="11392" operator="equal">
      <formula>"Payroll"</formula>
    </cfRule>
    <cfRule type="cellIs" dxfId="6054" priority="11393" operator="equal">
      <formula>"Investment"</formula>
    </cfRule>
    <cfRule type="cellIs" dxfId="6053" priority="11394" operator="equal">
      <formula>"Sunk"</formula>
    </cfRule>
    <cfRule type="cellIs" dxfId="6052" priority="11395" operator="equal">
      <formula>"OpEx"</formula>
    </cfRule>
    <cfRule type="cellIs" dxfId="6051" priority="11396" operator="equal">
      <formula>"CapEx"</formula>
    </cfRule>
  </conditionalFormatting>
  <conditionalFormatting sqref="F368">
    <cfRule type="dataBar" priority="11377">
      <dataBar>
        <cfvo type="min"/>
        <cfvo type="max"/>
        <color rgb="FF638EC6"/>
      </dataBar>
    </cfRule>
    <cfRule type="colorScale" priority="11378">
      <colorScale>
        <cfvo type="min"/>
        <cfvo type="percentile" val="50"/>
        <cfvo type="max"/>
        <color rgb="FFF8696B"/>
        <color rgb="FFFFEB84"/>
        <color rgb="FF63BE7B"/>
      </colorScale>
    </cfRule>
    <cfRule type="cellIs" dxfId="6050" priority="11379" operator="equal">
      <formula>"Tax"</formula>
    </cfRule>
    <cfRule type="cellIs" dxfId="6049" priority="11380" operator="equal">
      <formula>"Income"</formula>
    </cfRule>
    <cfRule type="cellIs" dxfId="6048" priority="11381" operator="equal">
      <formula>"Cost of Sales"</formula>
    </cfRule>
    <cfRule type="cellIs" dxfId="6047" priority="11382" operator="equal">
      <formula>"Payroll"</formula>
    </cfRule>
    <cfRule type="cellIs" dxfId="6046" priority="11383" operator="equal">
      <formula>"Investment"</formula>
    </cfRule>
    <cfRule type="cellIs" dxfId="6045" priority="11384" operator="equal">
      <formula>"Sunk"</formula>
    </cfRule>
    <cfRule type="cellIs" dxfId="6044" priority="11385" operator="equal">
      <formula>"OpEx"</formula>
    </cfRule>
    <cfRule type="cellIs" dxfId="6043" priority="11386" operator="equal">
      <formula>"CapEx"</formula>
    </cfRule>
  </conditionalFormatting>
  <conditionalFormatting sqref="F369">
    <cfRule type="dataBar" priority="11367">
      <dataBar>
        <cfvo type="min"/>
        <cfvo type="max"/>
        <color rgb="FF638EC6"/>
      </dataBar>
    </cfRule>
    <cfRule type="colorScale" priority="11368">
      <colorScale>
        <cfvo type="min"/>
        <cfvo type="percentile" val="50"/>
        <cfvo type="max"/>
        <color rgb="FFF8696B"/>
        <color rgb="FFFFEB84"/>
        <color rgb="FF63BE7B"/>
      </colorScale>
    </cfRule>
    <cfRule type="cellIs" dxfId="6042" priority="11369" operator="equal">
      <formula>"Tax"</formula>
    </cfRule>
  </conditionalFormatting>
  <conditionalFormatting sqref="F369:F370">
    <cfRule type="cellIs" dxfId="6041" priority="11370" operator="equal">
      <formula>"Income"</formula>
    </cfRule>
    <cfRule type="cellIs" dxfId="6040" priority="11371" operator="equal">
      <formula>"Cost of Sales"</formula>
    </cfRule>
    <cfRule type="cellIs" dxfId="6039" priority="11372" operator="equal">
      <formula>"Payroll"</formula>
    </cfRule>
    <cfRule type="cellIs" dxfId="6038" priority="11373" operator="equal">
      <formula>"Investment"</formula>
    </cfRule>
    <cfRule type="cellIs" dxfId="6037" priority="11374" operator="equal">
      <formula>"Sunk"</formula>
    </cfRule>
    <cfRule type="cellIs" dxfId="6036" priority="11375" operator="equal">
      <formula>"OpEx"</formula>
    </cfRule>
    <cfRule type="cellIs" dxfId="6035" priority="11376" operator="equal">
      <formula>"CapEx"</formula>
    </cfRule>
  </conditionalFormatting>
  <conditionalFormatting sqref="F370">
    <cfRule type="dataBar" priority="192284">
      <dataBar>
        <cfvo type="min"/>
        <cfvo type="max"/>
        <color rgb="FF638EC6"/>
      </dataBar>
    </cfRule>
    <cfRule type="colorScale" priority="192285">
      <colorScale>
        <cfvo type="min"/>
        <cfvo type="percentile" val="50"/>
        <cfvo type="max"/>
        <color rgb="FFF8696B"/>
        <color rgb="FFFFEB84"/>
        <color rgb="FF63BE7B"/>
      </colorScale>
    </cfRule>
    <cfRule type="cellIs" dxfId="6034" priority="192286" operator="equal">
      <formula>"Tax"</formula>
    </cfRule>
    <cfRule type="cellIs" dxfId="6033" priority="192287" operator="equal">
      <formula>"Cost of Sales"</formula>
    </cfRule>
    <cfRule type="cellIs" dxfId="6032" priority="192288" operator="equal">
      <formula>"Payroll"</formula>
    </cfRule>
    <cfRule type="cellIs" dxfId="6031" priority="192289" operator="equal">
      <formula>"Investment"</formula>
    </cfRule>
    <cfRule type="cellIs" dxfId="6030" priority="192290" operator="equal">
      <formula>"Sunk"</formula>
    </cfRule>
    <cfRule type="cellIs" dxfId="6029" priority="192291" operator="equal">
      <formula>"OpEx"</formula>
    </cfRule>
    <cfRule type="cellIs" dxfId="6028" priority="192292" operator="equal">
      <formula>"CapEx"</formula>
    </cfRule>
    <cfRule type="dataBar" priority="192293">
      <dataBar>
        <cfvo type="min"/>
        <cfvo type="max"/>
        <color rgb="FF638EC6"/>
      </dataBar>
    </cfRule>
    <cfRule type="colorScale" priority="192294">
      <colorScale>
        <cfvo type="min"/>
        <cfvo type="percentile" val="50"/>
        <cfvo type="max"/>
        <color rgb="FFF8696B"/>
        <color rgb="FFFFEB84"/>
        <color rgb="FF63BE7B"/>
      </colorScale>
    </cfRule>
    <cfRule type="cellIs" dxfId="6027" priority="192295" operator="equal">
      <formula>"Tax"</formula>
    </cfRule>
    <cfRule type="cellIs" dxfId="6026" priority="192296" operator="equal">
      <formula>"Income"</formula>
    </cfRule>
  </conditionalFormatting>
  <conditionalFormatting sqref="F371">
    <cfRule type="dataBar" priority="11275">
      <dataBar>
        <cfvo type="min"/>
        <cfvo type="max"/>
        <color rgb="FF638EC6"/>
      </dataBar>
    </cfRule>
    <cfRule type="colorScale" priority="11276">
      <colorScale>
        <cfvo type="min"/>
        <cfvo type="percentile" val="50"/>
        <cfvo type="max"/>
        <color rgb="FFF8696B"/>
        <color rgb="FFFFEB84"/>
        <color rgb="FF63BE7B"/>
      </colorScale>
    </cfRule>
    <cfRule type="cellIs" dxfId="6025" priority="11277" operator="equal">
      <formula>"Tax"</formula>
    </cfRule>
    <cfRule type="cellIs" dxfId="6024" priority="11278" operator="equal">
      <formula>"Cost of Sales"</formula>
    </cfRule>
    <cfRule type="cellIs" dxfId="6023" priority="11279" operator="equal">
      <formula>"Payroll"</formula>
    </cfRule>
    <cfRule type="cellIs" dxfId="6022" priority="11280" operator="equal">
      <formula>"Investment"</formula>
    </cfRule>
    <cfRule type="cellIs" dxfId="6021" priority="11281" operator="equal">
      <formula>"Sunk"</formula>
    </cfRule>
    <cfRule type="cellIs" dxfId="6020" priority="11282" operator="equal">
      <formula>"OpEx"</formula>
    </cfRule>
    <cfRule type="cellIs" dxfId="6019" priority="11283" operator="equal">
      <formula>"CapEx"</formula>
    </cfRule>
    <cfRule type="dataBar" priority="11284">
      <dataBar>
        <cfvo type="min"/>
        <cfvo type="max"/>
        <color rgb="FF638EC6"/>
      </dataBar>
    </cfRule>
    <cfRule type="colorScale" priority="11285">
      <colorScale>
        <cfvo type="min"/>
        <cfvo type="percentile" val="50"/>
        <cfvo type="max"/>
        <color rgb="FFF8696B"/>
        <color rgb="FFFFEB84"/>
        <color rgb="FF63BE7B"/>
      </colorScale>
    </cfRule>
    <cfRule type="cellIs" dxfId="6018" priority="11286" operator="equal">
      <formula>"Tax"</formula>
    </cfRule>
    <cfRule type="cellIs" dxfId="6017" priority="11287" operator="equal">
      <formula>"Income"</formula>
    </cfRule>
    <cfRule type="cellIs" dxfId="6016" priority="11299" operator="equal">
      <formula>"Cost of Sales"</formula>
    </cfRule>
    <cfRule type="cellIs" dxfId="6015" priority="11300" operator="equal">
      <formula>"Payroll"</formula>
    </cfRule>
    <cfRule type="cellIs" dxfId="6014" priority="11301" operator="equal">
      <formula>"Investment"</formula>
    </cfRule>
    <cfRule type="cellIs" dxfId="6013" priority="11302" operator="equal">
      <formula>"Sunk"</formula>
    </cfRule>
    <cfRule type="cellIs" dxfId="6012" priority="11303" operator="equal">
      <formula>"OpEx"</formula>
    </cfRule>
    <cfRule type="cellIs" dxfId="6011" priority="11304" operator="equal">
      <formula>"CapEx"</formula>
    </cfRule>
  </conditionalFormatting>
  <conditionalFormatting sqref="F372">
    <cfRule type="dataBar" priority="11243">
      <dataBar>
        <cfvo type="min"/>
        <cfvo type="max"/>
        <color rgb="FF638EC6"/>
      </dataBar>
    </cfRule>
    <cfRule type="colorScale" priority="11244">
      <colorScale>
        <cfvo type="min"/>
        <cfvo type="percentile" val="50"/>
        <cfvo type="max"/>
        <color rgb="FFF8696B"/>
        <color rgb="FFFFEB84"/>
        <color rgb="FF63BE7B"/>
      </colorScale>
    </cfRule>
    <cfRule type="cellIs" dxfId="6010" priority="11245" operator="equal">
      <formula>"Tax"</formula>
    </cfRule>
    <cfRule type="cellIs" dxfId="6009" priority="11246" operator="equal">
      <formula>"Cost of Sales"</formula>
    </cfRule>
    <cfRule type="cellIs" dxfId="6008" priority="11247" operator="equal">
      <formula>"Payroll"</formula>
    </cfRule>
    <cfRule type="cellIs" dxfId="6007" priority="11248" operator="equal">
      <formula>"Investment"</formula>
    </cfRule>
    <cfRule type="cellIs" dxfId="6006" priority="11249" operator="equal">
      <formula>"Sunk"</formula>
    </cfRule>
    <cfRule type="cellIs" dxfId="6005" priority="11250" operator="equal">
      <formula>"OpEx"</formula>
    </cfRule>
    <cfRule type="cellIs" dxfId="6004" priority="11251" operator="equal">
      <formula>"CapEx"</formula>
    </cfRule>
    <cfRule type="dataBar" priority="11252">
      <dataBar>
        <cfvo type="min"/>
        <cfvo type="max"/>
        <color rgb="FF638EC6"/>
      </dataBar>
    </cfRule>
    <cfRule type="colorScale" priority="11253">
      <colorScale>
        <cfvo type="min"/>
        <cfvo type="percentile" val="50"/>
        <cfvo type="max"/>
        <color rgb="FFF8696B"/>
        <color rgb="FFFFEB84"/>
        <color rgb="FF63BE7B"/>
      </colorScale>
    </cfRule>
    <cfRule type="cellIs" dxfId="6003" priority="11254" operator="equal">
      <formula>"Tax"</formula>
    </cfRule>
    <cfRule type="cellIs" dxfId="6002" priority="11255" operator="equal">
      <formula>"Income"</formula>
    </cfRule>
    <cfRule type="cellIs" dxfId="6001" priority="11267" operator="equal">
      <formula>"Cost of Sales"</formula>
    </cfRule>
    <cfRule type="cellIs" dxfId="6000" priority="11268" operator="equal">
      <formula>"Payroll"</formula>
    </cfRule>
    <cfRule type="cellIs" dxfId="5999" priority="11269" operator="equal">
      <formula>"Investment"</formula>
    </cfRule>
    <cfRule type="cellIs" dxfId="5998" priority="11270" operator="equal">
      <formula>"Sunk"</formula>
    </cfRule>
    <cfRule type="cellIs" dxfId="5997" priority="11271" operator="equal">
      <formula>"OpEx"</formula>
    </cfRule>
    <cfRule type="cellIs" dxfId="5996" priority="11272" operator="equal">
      <formula>"CapEx"</formula>
    </cfRule>
  </conditionalFormatting>
  <conditionalFormatting sqref="F373">
    <cfRule type="dataBar" priority="11221">
      <dataBar>
        <cfvo type="min"/>
        <cfvo type="max"/>
        <color rgb="FF638EC6"/>
      </dataBar>
    </cfRule>
    <cfRule type="colorScale" priority="11222">
      <colorScale>
        <cfvo type="min"/>
        <cfvo type="percentile" val="50"/>
        <cfvo type="max"/>
        <color rgb="FFF8696B"/>
        <color rgb="FFFFEB84"/>
        <color rgb="FF63BE7B"/>
      </colorScale>
    </cfRule>
    <cfRule type="cellIs" dxfId="5995" priority="11223" operator="equal">
      <formula>"Tax"</formula>
    </cfRule>
    <cfRule type="cellIs" dxfId="5994" priority="11235" operator="equal">
      <formula>"Cost of Sales"</formula>
    </cfRule>
    <cfRule type="cellIs" dxfId="5993" priority="11236" operator="equal">
      <formula>"Payroll"</formula>
    </cfRule>
    <cfRule type="cellIs" dxfId="5992" priority="11237" operator="equal">
      <formula>"Investment"</formula>
    </cfRule>
    <cfRule type="cellIs" dxfId="5991" priority="11238" operator="equal">
      <formula>"Sunk"</formula>
    </cfRule>
    <cfRule type="cellIs" dxfId="5990" priority="11239" operator="equal">
      <formula>"OpEx"</formula>
    </cfRule>
    <cfRule type="cellIs" dxfId="5989" priority="11240" operator="equal">
      <formula>"CapEx"</formula>
    </cfRule>
    <cfRule type="cellIs" dxfId="5988" priority="11241" operator="equal">
      <formula>"Income"</formula>
    </cfRule>
  </conditionalFormatting>
  <conditionalFormatting sqref="F374">
    <cfRule type="dataBar" priority="11155">
      <dataBar>
        <cfvo type="min"/>
        <cfvo type="max"/>
        <color rgb="FF638EC6"/>
      </dataBar>
    </cfRule>
    <cfRule type="colorScale" priority="11156">
      <colorScale>
        <cfvo type="min"/>
        <cfvo type="percentile" val="50"/>
        <cfvo type="max"/>
        <color rgb="FFF8696B"/>
        <color rgb="FFFFEB84"/>
        <color rgb="FF63BE7B"/>
      </colorScale>
    </cfRule>
    <cfRule type="cellIs" dxfId="5987" priority="11157" operator="equal">
      <formula>"Tax"</formula>
    </cfRule>
    <cfRule type="cellIs" dxfId="5986" priority="11158" operator="equal">
      <formula>"Income"</formula>
    </cfRule>
    <cfRule type="cellIs" dxfId="5985" priority="11159" operator="equal">
      <formula>"Cost of Sales"</formula>
    </cfRule>
    <cfRule type="cellIs" dxfId="5984" priority="11160" operator="equal">
      <formula>"Payroll"</formula>
    </cfRule>
    <cfRule type="cellIs" dxfId="5983" priority="11161" operator="equal">
      <formula>"Investment"</formula>
    </cfRule>
    <cfRule type="cellIs" dxfId="5982" priority="11162" operator="equal">
      <formula>"Sunk"</formula>
    </cfRule>
    <cfRule type="cellIs" dxfId="5981" priority="11163" operator="equal">
      <formula>"OpEx"</formula>
    </cfRule>
    <cfRule type="cellIs" dxfId="5980" priority="11164" operator="equal">
      <formula>"CapEx"</formula>
    </cfRule>
  </conditionalFormatting>
  <conditionalFormatting sqref="F375">
    <cfRule type="dataBar" priority="11151">
      <dataBar>
        <cfvo type="min"/>
        <cfvo type="max"/>
        <color rgb="FF638EC6"/>
      </dataBar>
    </cfRule>
    <cfRule type="colorScale" priority="11152">
      <colorScale>
        <cfvo type="min"/>
        <cfvo type="percentile" val="50"/>
        <cfvo type="max"/>
        <color rgb="FFF8696B"/>
        <color rgb="FFFFEB84"/>
        <color rgb="FF63BE7B"/>
      </colorScale>
    </cfRule>
    <cfRule type="cellIs" dxfId="5979" priority="11153" operator="equal">
      <formula>"Tax"</formula>
    </cfRule>
  </conditionalFormatting>
  <conditionalFormatting sqref="F375:F376">
    <cfRule type="cellIs" dxfId="5978" priority="11137" operator="equal">
      <formula>"Income"</formula>
    </cfRule>
    <cfRule type="cellIs" dxfId="5977" priority="11138" operator="equal">
      <formula>"Cost of Sales"</formula>
    </cfRule>
    <cfRule type="cellIs" dxfId="5976" priority="11139" operator="equal">
      <formula>"Payroll"</formula>
    </cfRule>
    <cfRule type="cellIs" dxfId="5975" priority="11140" operator="equal">
      <formula>"Investment"</formula>
    </cfRule>
    <cfRule type="cellIs" dxfId="5974" priority="11141" operator="equal">
      <formula>"Sunk"</formula>
    </cfRule>
    <cfRule type="cellIs" dxfId="5973" priority="11142" operator="equal">
      <formula>"OpEx"</formula>
    </cfRule>
    <cfRule type="cellIs" dxfId="5972" priority="11143" operator="equal">
      <formula>"CapEx"</formula>
    </cfRule>
  </conditionalFormatting>
  <conditionalFormatting sqref="F376">
    <cfRule type="dataBar" priority="11134">
      <dataBar>
        <cfvo type="min"/>
        <cfvo type="max"/>
        <color rgb="FF638EC6"/>
      </dataBar>
    </cfRule>
    <cfRule type="colorScale" priority="11135">
      <colorScale>
        <cfvo type="min"/>
        <cfvo type="percentile" val="50"/>
        <cfvo type="max"/>
        <color rgb="FFF8696B"/>
        <color rgb="FFFFEB84"/>
        <color rgb="FF63BE7B"/>
      </colorScale>
    </cfRule>
    <cfRule type="cellIs" dxfId="5971" priority="11136" operator="equal">
      <formula>"Tax"</formula>
    </cfRule>
    <cfRule type="dataBar" priority="11144">
      <dataBar>
        <cfvo type="min"/>
        <cfvo type="max"/>
        <color rgb="FF638EC6"/>
      </dataBar>
    </cfRule>
    <cfRule type="colorScale" priority="11145">
      <colorScale>
        <cfvo type="min"/>
        <cfvo type="percentile" val="50"/>
        <cfvo type="max"/>
        <color rgb="FFF8696B"/>
        <color rgb="FFFFEB84"/>
        <color rgb="FF63BE7B"/>
      </colorScale>
    </cfRule>
    <cfRule type="cellIs" dxfId="5970" priority="11146" operator="equal">
      <formula>"Tax"</formula>
    </cfRule>
  </conditionalFormatting>
  <conditionalFormatting sqref="F376:F377">
    <cfRule type="cellIs" dxfId="5969" priority="11080" operator="equal">
      <formula>"Income"</formula>
    </cfRule>
    <cfRule type="cellIs" dxfId="5968" priority="11081" operator="equal">
      <formula>"Cost of Sales"</formula>
    </cfRule>
    <cfRule type="cellIs" dxfId="5967" priority="11082" operator="equal">
      <formula>"Payroll"</formula>
    </cfRule>
    <cfRule type="cellIs" dxfId="5966" priority="11083" operator="equal">
      <formula>"Investment"</formula>
    </cfRule>
    <cfRule type="cellIs" dxfId="5965" priority="11084" operator="equal">
      <formula>"Sunk"</formula>
    </cfRule>
    <cfRule type="cellIs" dxfId="5964" priority="11085" operator="equal">
      <formula>"OpEx"</formula>
    </cfRule>
    <cfRule type="cellIs" dxfId="5963" priority="11086" operator="equal">
      <formula>"CapEx"</formula>
    </cfRule>
  </conditionalFormatting>
  <conditionalFormatting sqref="F377">
    <cfRule type="dataBar" priority="11077">
      <dataBar>
        <cfvo type="min"/>
        <cfvo type="max"/>
        <color rgb="FF638EC6"/>
      </dataBar>
    </cfRule>
    <cfRule type="colorScale" priority="11078">
      <colorScale>
        <cfvo type="min"/>
        <cfvo type="percentile" val="50"/>
        <cfvo type="max"/>
        <color rgb="FFF8696B"/>
        <color rgb="FFFFEB84"/>
        <color rgb="FF63BE7B"/>
      </colorScale>
    </cfRule>
    <cfRule type="cellIs" dxfId="5962" priority="11079" operator="equal">
      <formula>"Tax"</formula>
    </cfRule>
  </conditionalFormatting>
  <conditionalFormatting sqref="F378">
    <cfRule type="dataBar" priority="11108">
      <dataBar>
        <cfvo type="min"/>
        <cfvo type="max"/>
        <color rgb="FF638EC6"/>
      </dataBar>
    </cfRule>
    <cfRule type="colorScale" priority="11109">
      <colorScale>
        <cfvo type="min"/>
        <cfvo type="percentile" val="50"/>
        <cfvo type="max"/>
        <color rgb="FFF8696B"/>
        <color rgb="FFFFEB84"/>
        <color rgb="FF63BE7B"/>
      </colorScale>
    </cfRule>
    <cfRule type="cellIs" dxfId="5961" priority="11110" operator="equal">
      <formula>"Tax"</formula>
    </cfRule>
    <cfRule type="cellIs" dxfId="5960" priority="11111" operator="equal">
      <formula>"Cost of Sales"</formula>
    </cfRule>
    <cfRule type="cellIs" dxfId="5959" priority="11112" operator="equal">
      <formula>"Payroll"</formula>
    </cfRule>
    <cfRule type="cellIs" dxfId="5958" priority="11113" operator="equal">
      <formula>"Investment"</formula>
    </cfRule>
    <cfRule type="cellIs" dxfId="5957" priority="11114" operator="equal">
      <formula>"Sunk"</formula>
    </cfRule>
    <cfRule type="cellIs" dxfId="5956" priority="11115" operator="equal">
      <formula>"OpEx"</formula>
    </cfRule>
    <cfRule type="cellIs" dxfId="5955" priority="11116" operator="equal">
      <formula>"CapEx"</formula>
    </cfRule>
    <cfRule type="dataBar" priority="11117">
      <dataBar>
        <cfvo type="min"/>
        <cfvo type="max"/>
        <color rgb="FF638EC6"/>
      </dataBar>
    </cfRule>
    <cfRule type="colorScale" priority="11118">
      <colorScale>
        <cfvo type="min"/>
        <cfvo type="percentile" val="50"/>
        <cfvo type="max"/>
        <color rgb="FFF8696B"/>
        <color rgb="FFFFEB84"/>
        <color rgb="FF63BE7B"/>
      </colorScale>
    </cfRule>
    <cfRule type="cellIs" dxfId="5954" priority="11119" operator="equal">
      <formula>"Tax"</formula>
    </cfRule>
    <cfRule type="cellIs" dxfId="5953" priority="11120" operator="equal">
      <formula>"Income"</formula>
    </cfRule>
  </conditionalFormatting>
  <conditionalFormatting sqref="F378:F379">
    <cfRule type="cellIs" dxfId="5952" priority="11101" operator="equal">
      <formula>"Income"</formula>
    </cfRule>
    <cfRule type="cellIs" dxfId="5951" priority="11102" operator="equal">
      <formula>"Cost of Sales"</formula>
    </cfRule>
    <cfRule type="cellIs" dxfId="5950" priority="11103" operator="equal">
      <formula>"Payroll"</formula>
    </cfRule>
    <cfRule type="cellIs" dxfId="5949" priority="11104" operator="equal">
      <formula>"Investment"</formula>
    </cfRule>
    <cfRule type="cellIs" dxfId="5948" priority="11105" operator="equal">
      <formula>"Sunk"</formula>
    </cfRule>
    <cfRule type="cellIs" dxfId="5947" priority="11106" operator="equal">
      <formula>"OpEx"</formula>
    </cfRule>
    <cfRule type="cellIs" dxfId="5946" priority="11107" operator="equal">
      <formula>"CapEx"</formula>
    </cfRule>
  </conditionalFormatting>
  <conditionalFormatting sqref="F379">
    <cfRule type="dataBar" priority="11098">
      <dataBar>
        <cfvo type="min"/>
        <cfvo type="max"/>
        <color rgb="FF638EC6"/>
      </dataBar>
    </cfRule>
    <cfRule type="colorScale" priority="11099">
      <colorScale>
        <cfvo type="min"/>
        <cfvo type="percentile" val="50"/>
        <cfvo type="max"/>
        <color rgb="FFF8696B"/>
        <color rgb="FFFFEB84"/>
        <color rgb="FF63BE7B"/>
      </colorScale>
    </cfRule>
    <cfRule type="cellIs" dxfId="5945" priority="11100" operator="equal">
      <formula>"Tax"</formula>
    </cfRule>
  </conditionalFormatting>
  <conditionalFormatting sqref="F380">
    <cfRule type="dataBar" priority="11056">
      <dataBar>
        <cfvo type="min"/>
        <cfvo type="max"/>
        <color rgb="FF638EC6"/>
      </dataBar>
    </cfRule>
    <cfRule type="colorScale" priority="11057">
      <colorScale>
        <cfvo type="min"/>
        <cfvo type="percentile" val="50"/>
        <cfvo type="max"/>
        <color rgb="FFF8696B"/>
        <color rgb="FFFFEB84"/>
        <color rgb="FF63BE7B"/>
      </colorScale>
    </cfRule>
    <cfRule type="cellIs" dxfId="5944" priority="11058" operator="equal">
      <formula>"Tax"</formula>
    </cfRule>
    <cfRule type="cellIs" dxfId="5943" priority="11059" operator="equal">
      <formula>"Income"</formula>
    </cfRule>
    <cfRule type="cellIs" dxfId="5942" priority="11060" operator="equal">
      <formula>"Cost of Sales"</formula>
    </cfRule>
    <cfRule type="cellIs" dxfId="5941" priority="11061" operator="equal">
      <formula>"Payroll"</formula>
    </cfRule>
    <cfRule type="cellIs" dxfId="5940" priority="11062" operator="equal">
      <formula>"Investment"</formula>
    </cfRule>
    <cfRule type="cellIs" dxfId="5939" priority="11063" operator="equal">
      <formula>"Sunk"</formula>
    </cfRule>
    <cfRule type="cellIs" dxfId="5938" priority="11064" operator="equal">
      <formula>"OpEx"</formula>
    </cfRule>
    <cfRule type="cellIs" dxfId="5937" priority="11065" operator="equal">
      <formula>"CapEx"</formula>
    </cfRule>
  </conditionalFormatting>
  <conditionalFormatting sqref="F381">
    <cfRule type="dataBar" priority="11037">
      <dataBar>
        <cfvo type="min"/>
        <cfvo type="max"/>
        <color rgb="FF638EC6"/>
      </dataBar>
    </cfRule>
    <cfRule type="colorScale" priority="11038">
      <colorScale>
        <cfvo type="min"/>
        <cfvo type="percentile" val="50"/>
        <cfvo type="max"/>
        <color rgb="FFF8696B"/>
        <color rgb="FFFFEB84"/>
        <color rgb="FF63BE7B"/>
      </colorScale>
    </cfRule>
    <cfRule type="cellIs" dxfId="5936" priority="11039" operator="equal">
      <formula>"Tax"</formula>
    </cfRule>
    <cfRule type="cellIs" dxfId="5935" priority="11040" operator="equal">
      <formula>"Cost of Sales"</formula>
    </cfRule>
    <cfRule type="cellIs" dxfId="5934" priority="11041" operator="equal">
      <formula>"Payroll"</formula>
    </cfRule>
    <cfRule type="cellIs" dxfId="5933" priority="11042" operator="equal">
      <formula>"Investment"</formula>
    </cfRule>
    <cfRule type="cellIs" dxfId="5932" priority="11043" operator="equal">
      <formula>"Sunk"</formula>
    </cfRule>
    <cfRule type="cellIs" dxfId="5931" priority="11044" operator="equal">
      <formula>"OpEx"</formula>
    </cfRule>
    <cfRule type="cellIs" dxfId="5930" priority="11045" operator="equal">
      <formula>"CapEx"</formula>
    </cfRule>
    <cfRule type="cellIs" dxfId="5929" priority="11046" operator="equal">
      <formula>"Income"</formula>
    </cfRule>
  </conditionalFormatting>
  <conditionalFormatting sqref="F382 F395 F412:F417 F419:F420 F423:F424 F429 F434 F443:F445">
    <cfRule type="cellIs" dxfId="5928" priority="11036" operator="equal">
      <formula>"Tax"</formula>
    </cfRule>
  </conditionalFormatting>
  <conditionalFormatting sqref="F382:F384">
    <cfRule type="cellIs" dxfId="5927" priority="9367" operator="equal">
      <formula>"Cost of Sales"</formula>
    </cfRule>
    <cfRule type="cellIs" dxfId="5926" priority="9368" operator="equal">
      <formula>"Payroll"</formula>
    </cfRule>
    <cfRule type="cellIs" dxfId="5925" priority="9369" operator="equal">
      <formula>"Investment"</formula>
    </cfRule>
    <cfRule type="cellIs" dxfId="5924" priority="9370" operator="equal">
      <formula>"Sunk"</formula>
    </cfRule>
    <cfRule type="cellIs" dxfId="5923" priority="9371" operator="equal">
      <formula>"OpEx"</formula>
    </cfRule>
    <cfRule type="cellIs" dxfId="5922" priority="9372" operator="equal">
      <formula>"CapEx"</formula>
    </cfRule>
  </conditionalFormatting>
  <conditionalFormatting sqref="F382:F387">
    <cfRule type="cellIs" dxfId="5921" priority="9366" operator="equal">
      <formula>"Income"</formula>
    </cfRule>
  </conditionalFormatting>
  <conditionalFormatting sqref="F383">
    <cfRule type="dataBar" priority="10997">
      <dataBar>
        <cfvo type="min"/>
        <cfvo type="max"/>
        <color rgb="FF638EC6"/>
      </dataBar>
    </cfRule>
    <cfRule type="colorScale" priority="10998">
      <colorScale>
        <cfvo type="min"/>
        <cfvo type="percentile" val="50"/>
        <cfvo type="max"/>
        <color rgb="FFF8696B"/>
        <color rgb="FFFFEB84"/>
        <color rgb="FF63BE7B"/>
      </colorScale>
    </cfRule>
    <cfRule type="cellIs" dxfId="5920" priority="10999" operator="equal">
      <formula>"Tax"</formula>
    </cfRule>
  </conditionalFormatting>
  <conditionalFormatting sqref="F384">
    <cfRule type="cellIs" dxfId="5919" priority="9365" operator="equal">
      <formula>"Tax"</formula>
    </cfRule>
    <cfRule type="dataBar" priority="9377">
      <dataBar>
        <cfvo type="min"/>
        <cfvo type="max"/>
        <color rgb="FF638EC6"/>
      </dataBar>
    </cfRule>
    <cfRule type="colorScale" priority="9378">
      <colorScale>
        <cfvo type="min"/>
        <cfvo type="percentile" val="50"/>
        <cfvo type="max"/>
        <color rgb="FFF8696B"/>
        <color rgb="FFFFEB84"/>
        <color rgb="FF63BE7B"/>
      </colorScale>
    </cfRule>
  </conditionalFormatting>
  <conditionalFormatting sqref="F385">
    <cfRule type="dataBar" priority="10962">
      <dataBar>
        <cfvo type="min"/>
        <cfvo type="max"/>
        <color rgb="FF638EC6"/>
      </dataBar>
    </cfRule>
    <cfRule type="colorScale" priority="10963">
      <colorScale>
        <cfvo type="min"/>
        <cfvo type="percentile" val="50"/>
        <cfvo type="max"/>
        <color rgb="FFF8696B"/>
        <color rgb="FFFFEB84"/>
        <color rgb="FF63BE7B"/>
      </colorScale>
    </cfRule>
    <cfRule type="cellIs" dxfId="5918" priority="10964" operator="equal">
      <formula>"Tax"</formula>
    </cfRule>
  </conditionalFormatting>
  <conditionalFormatting sqref="F385:F387">
    <cfRule type="cellIs" dxfId="5917" priority="10935" operator="equal">
      <formula>"Cost of Sales"</formula>
    </cfRule>
    <cfRule type="cellIs" dxfId="5916" priority="10936" operator="equal">
      <formula>"Payroll"</formula>
    </cfRule>
    <cfRule type="cellIs" dxfId="5915" priority="10937" operator="equal">
      <formula>"Investment"</formula>
    </cfRule>
    <cfRule type="cellIs" dxfId="5914" priority="10938" operator="equal">
      <formula>"Sunk"</formula>
    </cfRule>
    <cfRule type="cellIs" dxfId="5913" priority="10939" operator="equal">
      <formula>"OpEx"</formula>
    </cfRule>
    <cfRule type="cellIs" dxfId="5912" priority="10940" operator="equal">
      <formula>"CapEx"</formula>
    </cfRule>
  </conditionalFormatting>
  <conditionalFormatting sqref="F386">
    <cfRule type="dataBar" priority="10959">
      <dataBar>
        <cfvo type="min"/>
        <cfvo type="max"/>
        <color rgb="FF638EC6"/>
      </dataBar>
    </cfRule>
    <cfRule type="colorScale" priority="10960">
      <colorScale>
        <cfvo type="min"/>
        <cfvo type="percentile" val="50"/>
        <cfvo type="max"/>
        <color rgb="FFF8696B"/>
        <color rgb="FFFFEB84"/>
        <color rgb="FF63BE7B"/>
      </colorScale>
    </cfRule>
    <cfRule type="cellIs" dxfId="5911" priority="10961" operator="equal">
      <formula>"Tax"</formula>
    </cfRule>
  </conditionalFormatting>
  <conditionalFormatting sqref="F387">
    <cfRule type="dataBar" priority="10932">
      <dataBar>
        <cfvo type="min"/>
        <cfvo type="max"/>
        <color rgb="FF638EC6"/>
      </dataBar>
    </cfRule>
    <cfRule type="colorScale" priority="10933">
      <colorScale>
        <cfvo type="min"/>
        <cfvo type="percentile" val="50"/>
        <cfvo type="max"/>
        <color rgb="FFF8696B"/>
        <color rgb="FFFFEB84"/>
        <color rgb="FF63BE7B"/>
      </colorScale>
    </cfRule>
    <cfRule type="cellIs" dxfId="5910" priority="10934" operator="equal">
      <formula>"Tax"</formula>
    </cfRule>
  </conditionalFormatting>
  <conditionalFormatting sqref="F388">
    <cfRule type="dataBar" priority="11007">
      <dataBar>
        <cfvo type="min"/>
        <cfvo type="max"/>
        <color rgb="FF638EC6"/>
      </dataBar>
    </cfRule>
    <cfRule type="colorScale" priority="11008">
      <colorScale>
        <cfvo type="min"/>
        <cfvo type="percentile" val="50"/>
        <cfvo type="max"/>
        <color rgb="FFF8696B"/>
        <color rgb="FFFFEB84"/>
        <color rgb="FF63BE7B"/>
      </colorScale>
    </cfRule>
    <cfRule type="cellIs" dxfId="5909" priority="11009" operator="equal">
      <formula>"Tax"</formula>
    </cfRule>
    <cfRule type="cellIs" dxfId="5908" priority="11010" operator="equal">
      <formula>"Income"</formula>
    </cfRule>
    <cfRule type="cellIs" dxfId="5907" priority="11011" operator="equal">
      <formula>"Cost of Sales"</formula>
    </cfRule>
    <cfRule type="cellIs" dxfId="5906" priority="11012" operator="equal">
      <formula>"Payroll"</formula>
    </cfRule>
    <cfRule type="cellIs" dxfId="5905" priority="11013" operator="equal">
      <formula>"Investment"</formula>
    </cfRule>
    <cfRule type="cellIs" dxfId="5904" priority="11014" operator="equal">
      <formula>"Sunk"</formula>
    </cfRule>
    <cfRule type="cellIs" dxfId="5903" priority="11015" operator="equal">
      <formula>"OpEx"</formula>
    </cfRule>
    <cfRule type="cellIs" dxfId="5902" priority="11016" operator="equal">
      <formula>"CapEx"</formula>
    </cfRule>
  </conditionalFormatting>
  <conditionalFormatting sqref="F389">
    <cfRule type="dataBar" priority="10911">
      <dataBar>
        <cfvo type="min"/>
        <cfvo type="max"/>
        <color rgb="FF638EC6"/>
      </dataBar>
    </cfRule>
    <cfRule type="colorScale" priority="10912">
      <colorScale>
        <cfvo type="min"/>
        <cfvo type="percentile" val="50"/>
        <cfvo type="max"/>
        <color rgb="FFF8696B"/>
        <color rgb="FFFFEB84"/>
        <color rgb="FF63BE7B"/>
      </colorScale>
    </cfRule>
    <cfRule type="cellIs" dxfId="5901" priority="10913" operator="equal">
      <formula>"Tax"</formula>
    </cfRule>
    <cfRule type="cellIs" dxfId="5900" priority="10914" operator="equal">
      <formula>"Income"</formula>
    </cfRule>
    <cfRule type="cellIs" dxfId="5899" priority="10915" operator="equal">
      <formula>"Cost of Sales"</formula>
    </cfRule>
    <cfRule type="cellIs" dxfId="5898" priority="10916" operator="equal">
      <formula>"Payroll"</formula>
    </cfRule>
    <cfRule type="cellIs" dxfId="5897" priority="10917" operator="equal">
      <formula>"Investment"</formula>
    </cfRule>
    <cfRule type="cellIs" dxfId="5896" priority="10918" operator="equal">
      <formula>"Sunk"</formula>
    </cfRule>
    <cfRule type="cellIs" dxfId="5895" priority="10919" operator="equal">
      <formula>"OpEx"</formula>
    </cfRule>
    <cfRule type="cellIs" dxfId="5894" priority="10920" operator="equal">
      <formula>"CapEx"</formula>
    </cfRule>
    <cfRule type="dataBar" priority="10921">
      <dataBar>
        <cfvo type="min"/>
        <cfvo type="max"/>
        <color rgb="FF638EC6"/>
      </dataBar>
    </cfRule>
    <cfRule type="colorScale" priority="10922">
      <colorScale>
        <cfvo type="min"/>
        <cfvo type="percentile" val="50"/>
        <cfvo type="max"/>
        <color rgb="FFF8696B"/>
        <color rgb="FFFFEB84"/>
        <color rgb="FF63BE7B"/>
      </colorScale>
    </cfRule>
    <cfRule type="cellIs" dxfId="5893" priority="10923" operator="equal">
      <formula>"Tax"</formula>
    </cfRule>
  </conditionalFormatting>
  <conditionalFormatting sqref="F389:F390">
    <cfRule type="cellIs" dxfId="5892" priority="10883" operator="equal">
      <formula>"Income"</formula>
    </cfRule>
    <cfRule type="cellIs" dxfId="5891" priority="10884" operator="equal">
      <formula>"Cost of Sales"</formula>
    </cfRule>
    <cfRule type="cellIs" dxfId="5890" priority="10885" operator="equal">
      <formula>"Payroll"</formula>
    </cfRule>
    <cfRule type="cellIs" dxfId="5889" priority="10886" operator="equal">
      <formula>"Investment"</formula>
    </cfRule>
    <cfRule type="cellIs" dxfId="5888" priority="10887" operator="equal">
      <formula>"Sunk"</formula>
    </cfRule>
    <cfRule type="cellIs" dxfId="5887" priority="10888" operator="equal">
      <formula>"OpEx"</formula>
    </cfRule>
    <cfRule type="cellIs" dxfId="5886" priority="10889" operator="equal">
      <formula>"CapEx"</formula>
    </cfRule>
  </conditionalFormatting>
  <conditionalFormatting sqref="F390">
    <cfRule type="dataBar" priority="10880">
      <dataBar>
        <cfvo type="min"/>
        <cfvo type="max"/>
        <color rgb="FF638EC6"/>
      </dataBar>
    </cfRule>
    <cfRule type="colorScale" priority="10881">
      <colorScale>
        <cfvo type="min"/>
        <cfvo type="percentile" val="50"/>
        <cfvo type="max"/>
        <color rgb="FFF8696B"/>
        <color rgb="FFFFEB84"/>
        <color rgb="FF63BE7B"/>
      </colorScale>
    </cfRule>
    <cfRule type="cellIs" dxfId="5885" priority="10882" operator="equal">
      <formula>"Tax"</formula>
    </cfRule>
    <cfRule type="dataBar" priority="10890">
      <dataBar>
        <cfvo type="min"/>
        <cfvo type="max"/>
        <color rgb="FF638EC6"/>
      </dataBar>
    </cfRule>
    <cfRule type="colorScale" priority="10891">
      <colorScale>
        <cfvo type="min"/>
        <cfvo type="percentile" val="50"/>
        <cfvo type="max"/>
        <color rgb="FFF8696B"/>
        <color rgb="FFFFEB84"/>
        <color rgb="FF63BE7B"/>
      </colorScale>
    </cfRule>
    <cfRule type="cellIs" dxfId="5884" priority="10892" operator="equal">
      <formula>"Tax"</formula>
    </cfRule>
  </conditionalFormatting>
  <conditionalFormatting sqref="F390:F391">
    <cfRule type="cellIs" dxfId="5883" priority="10855" operator="equal">
      <formula>"Income"</formula>
    </cfRule>
    <cfRule type="cellIs" dxfId="5882" priority="10856" operator="equal">
      <formula>"Cost of Sales"</formula>
    </cfRule>
    <cfRule type="cellIs" dxfId="5881" priority="10857" operator="equal">
      <formula>"Payroll"</formula>
    </cfRule>
    <cfRule type="cellIs" dxfId="5880" priority="10858" operator="equal">
      <formula>"Investment"</formula>
    </cfRule>
    <cfRule type="cellIs" dxfId="5879" priority="10859" operator="equal">
      <formula>"Sunk"</formula>
    </cfRule>
    <cfRule type="cellIs" dxfId="5878" priority="10860" operator="equal">
      <formula>"OpEx"</formula>
    </cfRule>
    <cfRule type="cellIs" dxfId="5877" priority="10861" operator="equal">
      <formula>"CapEx"</formula>
    </cfRule>
  </conditionalFormatting>
  <conditionalFormatting sqref="F391">
    <cfRule type="dataBar" priority="10849">
      <dataBar>
        <cfvo type="min"/>
        <cfvo type="max"/>
        <color rgb="FF638EC6"/>
      </dataBar>
    </cfRule>
    <cfRule type="colorScale" priority="10850">
      <colorScale>
        <cfvo type="min"/>
        <cfvo type="percentile" val="50"/>
        <cfvo type="max"/>
        <color rgb="FFF8696B"/>
        <color rgb="FFFFEB84"/>
        <color rgb="FF63BE7B"/>
      </colorScale>
    </cfRule>
    <cfRule type="cellIs" dxfId="5876" priority="10851" operator="equal">
      <formula>"Tax"</formula>
    </cfRule>
    <cfRule type="dataBar" priority="10852">
      <dataBar>
        <cfvo type="min"/>
        <cfvo type="max"/>
        <color rgb="FF638EC6"/>
      </dataBar>
    </cfRule>
    <cfRule type="colorScale" priority="10853">
      <colorScale>
        <cfvo type="min"/>
        <cfvo type="percentile" val="50"/>
        <cfvo type="max"/>
        <color rgb="FFF8696B"/>
        <color rgb="FFFFEB84"/>
        <color rgb="FF63BE7B"/>
      </colorScale>
    </cfRule>
    <cfRule type="cellIs" dxfId="5875" priority="10854" operator="equal">
      <formula>"Tax"</formula>
    </cfRule>
  </conditionalFormatting>
  <conditionalFormatting sqref="F391:F392">
    <cfRule type="cellIs" dxfId="5874" priority="10829" operator="equal">
      <formula>"Cost of Sales"</formula>
    </cfRule>
    <cfRule type="cellIs" dxfId="5873" priority="10830" operator="equal">
      <formula>"Payroll"</formula>
    </cfRule>
    <cfRule type="cellIs" dxfId="5872" priority="10831" operator="equal">
      <formula>"Investment"</formula>
    </cfRule>
    <cfRule type="cellIs" dxfId="5871" priority="10832" operator="equal">
      <formula>"Sunk"</formula>
    </cfRule>
    <cfRule type="cellIs" dxfId="5870" priority="10833" operator="equal">
      <formula>"OpEx"</formula>
    </cfRule>
    <cfRule type="cellIs" dxfId="5869" priority="10834" operator="equal">
      <formula>"CapEx"</formula>
    </cfRule>
  </conditionalFormatting>
  <conditionalFormatting sqref="F391:F395">
    <cfRule type="cellIs" dxfId="5868" priority="10819" operator="equal">
      <formula>"Income"</formula>
    </cfRule>
  </conditionalFormatting>
  <conditionalFormatting sqref="F392">
    <cfRule type="dataBar" priority="10826">
      <dataBar>
        <cfvo type="min"/>
        <cfvo type="max"/>
        <color rgb="FF638EC6"/>
      </dataBar>
    </cfRule>
    <cfRule type="colorScale" priority="10827">
      <colorScale>
        <cfvo type="min"/>
        <cfvo type="percentile" val="50"/>
        <cfvo type="max"/>
        <color rgb="FFF8696B"/>
        <color rgb="FFFFEB84"/>
        <color rgb="FF63BE7B"/>
      </colorScale>
    </cfRule>
    <cfRule type="cellIs" dxfId="5867" priority="10828" operator="equal">
      <formula>"Tax"</formula>
    </cfRule>
  </conditionalFormatting>
  <conditionalFormatting sqref="F393">
    <cfRule type="dataBar" priority="10817">
      <dataBar>
        <cfvo type="min"/>
        <cfvo type="max"/>
        <color rgb="FF638EC6"/>
      </dataBar>
    </cfRule>
    <cfRule type="colorScale" priority="10818">
      <colorScale>
        <cfvo type="min"/>
        <cfvo type="percentile" val="50"/>
        <cfvo type="max"/>
        <color rgb="FFF8696B"/>
        <color rgb="FFFFEB84"/>
        <color rgb="FF63BE7B"/>
      </colorScale>
    </cfRule>
    <cfRule type="cellIs" dxfId="5866" priority="10820" operator="equal">
      <formula>"Cost of Sales"</formula>
    </cfRule>
    <cfRule type="cellIs" dxfId="5865" priority="10821" operator="equal">
      <formula>"Payroll"</formula>
    </cfRule>
    <cfRule type="cellIs" dxfId="5864" priority="10822" operator="equal">
      <formula>"Investment"</formula>
    </cfRule>
    <cfRule type="cellIs" dxfId="5863" priority="10823" operator="equal">
      <formula>"Sunk"</formula>
    </cfRule>
    <cfRule type="cellIs" dxfId="5862" priority="10824" operator="equal">
      <formula>"OpEx"</formula>
    </cfRule>
    <cfRule type="cellIs" dxfId="5861" priority="10825" operator="equal">
      <formula>"CapEx"</formula>
    </cfRule>
  </conditionalFormatting>
  <conditionalFormatting sqref="F393:F394">
    <cfRule type="cellIs" dxfId="5860" priority="10816" operator="equal">
      <formula>"Tax"</formula>
    </cfRule>
  </conditionalFormatting>
  <conditionalFormatting sqref="F394">
    <cfRule type="dataBar" priority="10809">
      <dataBar>
        <cfvo type="min"/>
        <cfvo type="max"/>
        <color rgb="FF638EC6"/>
      </dataBar>
    </cfRule>
    <cfRule type="colorScale" priority="10810">
      <colorScale>
        <cfvo type="min"/>
        <cfvo type="percentile" val="50"/>
        <cfvo type="max"/>
        <color rgb="FFF8696B"/>
        <color rgb="FFFFEB84"/>
        <color rgb="FF63BE7B"/>
      </colorScale>
    </cfRule>
  </conditionalFormatting>
  <conditionalFormatting sqref="F394:F396">
    <cfRule type="cellIs" dxfId="5859" priority="10789" operator="equal">
      <formula>"Cost of Sales"</formula>
    </cfRule>
    <cfRule type="cellIs" dxfId="5858" priority="10790" operator="equal">
      <formula>"Payroll"</formula>
    </cfRule>
    <cfRule type="cellIs" dxfId="5857" priority="10791" operator="equal">
      <formula>"Investment"</formula>
    </cfRule>
    <cfRule type="cellIs" dxfId="5856" priority="10792" operator="equal">
      <formula>"Sunk"</formula>
    </cfRule>
    <cfRule type="cellIs" dxfId="5855" priority="10793" operator="equal">
      <formula>"OpEx"</formula>
    </cfRule>
    <cfRule type="cellIs" dxfId="5854" priority="10794" operator="equal">
      <formula>"CapEx"</formula>
    </cfRule>
  </conditionalFormatting>
  <conditionalFormatting sqref="F396">
    <cfRule type="dataBar" priority="10787">
      <dataBar>
        <cfvo type="min"/>
        <cfvo type="max"/>
        <color rgb="FF638EC6"/>
      </dataBar>
    </cfRule>
    <cfRule type="colorScale" priority="10788">
      <colorScale>
        <cfvo type="min"/>
        <cfvo type="percentile" val="50"/>
        <cfvo type="max"/>
        <color rgb="FFF8696B"/>
        <color rgb="FFFFEB84"/>
        <color rgb="FF63BE7B"/>
      </colorScale>
    </cfRule>
    <cfRule type="cellIs" dxfId="5853" priority="10795" operator="equal">
      <formula>"Tax"</formula>
    </cfRule>
    <cfRule type="cellIs" dxfId="5852" priority="10796" operator="equal">
      <formula>"Income"</formula>
    </cfRule>
  </conditionalFormatting>
  <conditionalFormatting sqref="F397">
    <cfRule type="dataBar" priority="10778">
      <dataBar>
        <cfvo type="min"/>
        <cfvo type="max"/>
        <color rgb="FF638EC6"/>
      </dataBar>
    </cfRule>
    <cfRule type="colorScale" priority="10779">
      <colorScale>
        <cfvo type="min"/>
        <cfvo type="percentile" val="50"/>
        <cfvo type="max"/>
        <color rgb="FFF8696B"/>
        <color rgb="FFFFEB84"/>
        <color rgb="FF63BE7B"/>
      </colorScale>
    </cfRule>
    <cfRule type="cellIs" dxfId="5851" priority="10780" operator="equal">
      <formula>"Tax"</formula>
    </cfRule>
  </conditionalFormatting>
  <conditionalFormatting sqref="F397:F399">
    <cfRule type="cellIs" dxfId="5850" priority="10777" operator="equal">
      <formula>"Income"</formula>
    </cfRule>
    <cfRule type="cellIs" dxfId="5849" priority="10781" operator="equal">
      <formula>"Cost of Sales"</formula>
    </cfRule>
    <cfRule type="cellIs" dxfId="5848" priority="10782" operator="equal">
      <formula>"Payroll"</formula>
    </cfRule>
    <cfRule type="cellIs" dxfId="5847" priority="10783" operator="equal">
      <formula>"Investment"</formula>
    </cfRule>
    <cfRule type="cellIs" dxfId="5846" priority="10784" operator="equal">
      <formula>"Sunk"</formula>
    </cfRule>
    <cfRule type="cellIs" dxfId="5845" priority="10785" operator="equal">
      <formula>"OpEx"</formula>
    </cfRule>
    <cfRule type="cellIs" dxfId="5844" priority="10786" operator="equal">
      <formula>"CapEx"</formula>
    </cfRule>
  </conditionalFormatting>
  <conditionalFormatting sqref="F398">
    <cfRule type="dataBar" priority="10765">
      <dataBar>
        <cfvo type="min"/>
        <cfvo type="max"/>
        <color rgb="FF638EC6"/>
      </dataBar>
    </cfRule>
    <cfRule type="colorScale" priority="10766">
      <colorScale>
        <cfvo type="min"/>
        <cfvo type="percentile" val="50"/>
        <cfvo type="max"/>
        <color rgb="FFF8696B"/>
        <color rgb="FFFFEB84"/>
        <color rgb="FF63BE7B"/>
      </colorScale>
    </cfRule>
    <cfRule type="cellIs" dxfId="5843" priority="10767" operator="equal">
      <formula>"Tax"</formula>
    </cfRule>
    <cfRule type="cellIs" dxfId="5842" priority="10768" operator="equal">
      <formula>"Cost of Sales"</formula>
    </cfRule>
    <cfRule type="cellIs" dxfId="5841" priority="10769" operator="equal">
      <formula>"Payroll"</formula>
    </cfRule>
    <cfRule type="cellIs" dxfId="5840" priority="10770" operator="equal">
      <formula>"Investment"</formula>
    </cfRule>
    <cfRule type="cellIs" dxfId="5839" priority="10771" operator="equal">
      <formula>"Sunk"</formula>
    </cfRule>
    <cfRule type="cellIs" dxfId="5838" priority="10772" operator="equal">
      <formula>"OpEx"</formula>
    </cfRule>
    <cfRule type="cellIs" dxfId="5837" priority="10773" operator="equal">
      <formula>"CapEx"</formula>
    </cfRule>
    <cfRule type="dataBar" priority="10774">
      <dataBar>
        <cfvo type="min"/>
        <cfvo type="max"/>
        <color rgb="FF638EC6"/>
      </dataBar>
    </cfRule>
    <cfRule type="colorScale" priority="10775">
      <colorScale>
        <cfvo type="min"/>
        <cfvo type="percentile" val="50"/>
        <cfvo type="max"/>
        <color rgb="FFF8696B"/>
        <color rgb="FFFFEB84"/>
        <color rgb="FF63BE7B"/>
      </colorScale>
    </cfRule>
  </conditionalFormatting>
  <conditionalFormatting sqref="F398:F399">
    <cfRule type="cellIs" dxfId="5836" priority="10776" operator="equal">
      <formula>"Tax"</formula>
    </cfRule>
  </conditionalFormatting>
  <conditionalFormatting sqref="F399">
    <cfRule type="dataBar" priority="10753">
      <dataBar>
        <cfvo type="min"/>
        <cfvo type="max"/>
        <color rgb="FF638EC6"/>
      </dataBar>
    </cfRule>
    <cfRule type="colorScale" priority="10754">
      <colorScale>
        <cfvo type="min"/>
        <cfvo type="percentile" val="50"/>
        <cfvo type="max"/>
        <color rgb="FFF8696B"/>
        <color rgb="FFFFEB84"/>
        <color rgb="FF63BE7B"/>
      </colorScale>
    </cfRule>
  </conditionalFormatting>
  <conditionalFormatting sqref="F400">
    <cfRule type="dataBar" priority="10750">
      <dataBar>
        <cfvo type="min"/>
        <cfvo type="max"/>
        <color rgb="FF638EC6"/>
      </dataBar>
    </cfRule>
    <cfRule type="colorScale" priority="10751">
      <colorScale>
        <cfvo type="min"/>
        <cfvo type="percentile" val="50"/>
        <cfvo type="max"/>
        <color rgb="FFF8696B"/>
        <color rgb="FFFFEB84"/>
        <color rgb="FF63BE7B"/>
      </colorScale>
    </cfRule>
    <cfRule type="cellIs" dxfId="5835" priority="10752" operator="equal">
      <formula>"Tax"</formula>
    </cfRule>
  </conditionalFormatting>
  <conditionalFormatting sqref="F400:F401">
    <cfRule type="cellIs" dxfId="5834" priority="10743" operator="equal">
      <formula>"Cost of Sales"</formula>
    </cfRule>
    <cfRule type="cellIs" dxfId="5833" priority="10744" operator="equal">
      <formula>"Payroll"</formula>
    </cfRule>
    <cfRule type="cellIs" dxfId="5832" priority="10745" operator="equal">
      <formula>"Investment"</formula>
    </cfRule>
    <cfRule type="cellIs" dxfId="5831" priority="10746" operator="equal">
      <formula>"Sunk"</formula>
    </cfRule>
    <cfRule type="cellIs" dxfId="5830" priority="10747" operator="equal">
      <formula>"OpEx"</formula>
    </cfRule>
    <cfRule type="cellIs" dxfId="5829" priority="10748" operator="equal">
      <formula>"CapEx"</formula>
    </cfRule>
    <cfRule type="cellIs" dxfId="5828" priority="10749" operator="equal">
      <formula>"Income"</formula>
    </cfRule>
  </conditionalFormatting>
  <conditionalFormatting sqref="F401">
    <cfRule type="dataBar" priority="10738">
      <dataBar>
        <cfvo type="min"/>
        <cfvo type="max"/>
        <color rgb="FF638EC6"/>
      </dataBar>
    </cfRule>
    <cfRule type="colorScale" priority="10739">
      <colorScale>
        <cfvo type="min"/>
        <cfvo type="percentile" val="50"/>
        <cfvo type="max"/>
        <color rgb="FFF8696B"/>
        <color rgb="FFFFEB84"/>
        <color rgb="FF63BE7B"/>
      </colorScale>
    </cfRule>
    <cfRule type="cellIs" dxfId="5827" priority="10740" operator="equal">
      <formula>"Tax"</formula>
    </cfRule>
    <cfRule type="dataBar" priority="10741">
      <dataBar>
        <cfvo type="min"/>
        <cfvo type="max"/>
        <color rgb="FF638EC6"/>
      </dataBar>
    </cfRule>
    <cfRule type="colorScale" priority="10742">
      <colorScale>
        <cfvo type="min"/>
        <cfvo type="percentile" val="50"/>
        <cfvo type="max"/>
        <color rgb="FFF8696B"/>
        <color rgb="FFFFEB84"/>
        <color rgb="FF63BE7B"/>
      </colorScale>
    </cfRule>
  </conditionalFormatting>
  <conditionalFormatting sqref="F401:F402">
    <cfRule type="cellIs" dxfId="5826" priority="10731" operator="equal">
      <formula>"Cost of Sales"</formula>
    </cfRule>
    <cfRule type="cellIs" dxfId="5825" priority="10732" operator="equal">
      <formula>"Payroll"</formula>
    </cfRule>
    <cfRule type="cellIs" dxfId="5824" priority="10733" operator="equal">
      <formula>"Investment"</formula>
    </cfRule>
    <cfRule type="cellIs" dxfId="5823" priority="10734" operator="equal">
      <formula>"Sunk"</formula>
    </cfRule>
    <cfRule type="cellIs" dxfId="5822" priority="10735" operator="equal">
      <formula>"OpEx"</formula>
    </cfRule>
    <cfRule type="cellIs" dxfId="5821" priority="10736" operator="equal">
      <formula>"CapEx"</formula>
    </cfRule>
    <cfRule type="cellIs" dxfId="5820" priority="10737" operator="equal">
      <formula>"Income"</formula>
    </cfRule>
  </conditionalFormatting>
  <conditionalFormatting sqref="F402">
    <cfRule type="dataBar" priority="10724">
      <dataBar>
        <cfvo type="min"/>
        <cfvo type="max"/>
        <color rgb="FF638EC6"/>
      </dataBar>
    </cfRule>
    <cfRule type="colorScale" priority="10725">
      <colorScale>
        <cfvo type="min"/>
        <cfvo type="percentile" val="50"/>
        <cfvo type="max"/>
        <color rgb="FFF8696B"/>
        <color rgb="FFFFEB84"/>
        <color rgb="FF63BE7B"/>
      </colorScale>
    </cfRule>
    <cfRule type="cellIs" dxfId="5819" priority="10726" operator="equal">
      <formula>"Tax"</formula>
    </cfRule>
    <cfRule type="cellIs" dxfId="5818" priority="10727" operator="equal">
      <formula>"Income"</formula>
    </cfRule>
    <cfRule type="dataBar" priority="10728">
      <dataBar>
        <cfvo type="min"/>
        <cfvo type="max"/>
        <color rgb="FF638EC6"/>
      </dataBar>
    </cfRule>
    <cfRule type="colorScale" priority="10729">
      <colorScale>
        <cfvo type="min"/>
        <cfvo type="percentile" val="50"/>
        <cfvo type="max"/>
        <color rgb="FFF8696B"/>
        <color rgb="FFFFEB84"/>
        <color rgb="FF63BE7B"/>
      </colorScale>
    </cfRule>
    <cfRule type="cellIs" dxfId="5817" priority="10730" operator="equal">
      <formula>"Tax"</formula>
    </cfRule>
  </conditionalFormatting>
  <conditionalFormatting sqref="F403">
    <cfRule type="dataBar" priority="10698">
      <dataBar>
        <cfvo type="min"/>
        <cfvo type="max"/>
        <color rgb="FF638EC6"/>
      </dataBar>
    </cfRule>
    <cfRule type="colorScale" priority="10699">
      <colorScale>
        <cfvo type="min"/>
        <cfvo type="percentile" val="50"/>
        <cfvo type="max"/>
        <color rgb="FFF8696B"/>
        <color rgb="FFFFEB84"/>
        <color rgb="FF63BE7B"/>
      </colorScale>
    </cfRule>
    <cfRule type="cellIs" dxfId="5816" priority="10700" operator="equal">
      <formula>"Tax"</formula>
    </cfRule>
    <cfRule type="dataBar" priority="10701">
      <dataBar>
        <cfvo type="min"/>
        <cfvo type="max"/>
        <color rgb="FF638EC6"/>
      </dataBar>
    </cfRule>
    <cfRule type="colorScale" priority="10702">
      <colorScale>
        <cfvo type="min"/>
        <cfvo type="percentile" val="50"/>
        <cfvo type="max"/>
        <color rgb="FFF8696B"/>
        <color rgb="FFFFEB84"/>
        <color rgb="FF63BE7B"/>
      </colorScale>
    </cfRule>
    <cfRule type="cellIs" dxfId="5815" priority="10703" operator="equal">
      <formula>"Cost of Sales"</formula>
    </cfRule>
    <cfRule type="cellIs" dxfId="5814" priority="10704" operator="equal">
      <formula>"Payroll"</formula>
    </cfRule>
    <cfRule type="cellIs" dxfId="5813" priority="10705" operator="equal">
      <formula>"Investment"</formula>
    </cfRule>
    <cfRule type="cellIs" dxfId="5812" priority="10706" operator="equal">
      <formula>"Sunk"</formula>
    </cfRule>
    <cfRule type="cellIs" dxfId="5811" priority="10707" operator="equal">
      <formula>"OpEx"</formula>
    </cfRule>
    <cfRule type="cellIs" dxfId="5810" priority="10708" operator="equal">
      <formula>"CapEx"</formula>
    </cfRule>
    <cfRule type="cellIs" dxfId="5809" priority="10709" operator="equal">
      <formula>"Income"</formula>
    </cfRule>
  </conditionalFormatting>
  <conditionalFormatting sqref="F403:F404">
    <cfRule type="cellIs" dxfId="5808" priority="10682" operator="equal">
      <formula>"Cost of Sales"</formula>
    </cfRule>
    <cfRule type="cellIs" dxfId="5807" priority="10683" operator="equal">
      <formula>"Payroll"</formula>
    </cfRule>
    <cfRule type="cellIs" dxfId="5806" priority="10684" operator="equal">
      <formula>"Investment"</formula>
    </cfRule>
    <cfRule type="cellIs" dxfId="5805" priority="10685" operator="equal">
      <formula>"Sunk"</formula>
    </cfRule>
    <cfRule type="cellIs" dxfId="5804" priority="10686" operator="equal">
      <formula>"OpEx"</formula>
    </cfRule>
    <cfRule type="cellIs" dxfId="5803" priority="10687" operator="equal">
      <formula>"CapEx"</formula>
    </cfRule>
    <cfRule type="cellIs" dxfId="5802" priority="10688" operator="equal">
      <formula>"Income"</formula>
    </cfRule>
    <cfRule type="cellIs" dxfId="5801" priority="10689" operator="equal">
      <formula>"Tax"</formula>
    </cfRule>
  </conditionalFormatting>
  <conditionalFormatting sqref="F404">
    <cfRule type="dataBar" priority="10669">
      <dataBar>
        <cfvo type="min"/>
        <cfvo type="max"/>
        <color rgb="FF638EC6"/>
      </dataBar>
    </cfRule>
    <cfRule type="colorScale" priority="10670">
      <colorScale>
        <cfvo type="min"/>
        <cfvo type="percentile" val="50"/>
        <cfvo type="max"/>
        <color rgb="FFF8696B"/>
        <color rgb="FFFFEB84"/>
        <color rgb="FF63BE7B"/>
      </colorScale>
    </cfRule>
    <cfRule type="cellIs" dxfId="5800" priority="10671" operator="equal">
      <formula>"Tax"</formula>
    </cfRule>
    <cfRule type="cellIs" dxfId="5799" priority="10672" operator="equal">
      <formula>"Cost of Sales"</formula>
    </cfRule>
    <cfRule type="cellIs" dxfId="5798" priority="10673" operator="equal">
      <formula>"Payroll"</formula>
    </cfRule>
    <cfRule type="cellIs" dxfId="5797" priority="10674" operator="equal">
      <formula>"Investment"</formula>
    </cfRule>
    <cfRule type="cellIs" dxfId="5796" priority="10675" operator="equal">
      <formula>"Sunk"</formula>
    </cfRule>
    <cfRule type="cellIs" dxfId="5795" priority="10676" operator="equal">
      <formula>"OpEx"</formula>
    </cfRule>
    <cfRule type="cellIs" dxfId="5794" priority="10677" operator="equal">
      <formula>"CapEx"</formula>
    </cfRule>
    <cfRule type="dataBar" priority="10678">
      <dataBar>
        <cfvo type="min"/>
        <cfvo type="max"/>
        <color rgb="FF638EC6"/>
      </dataBar>
    </cfRule>
    <cfRule type="colorScale" priority="10679">
      <colorScale>
        <cfvo type="min"/>
        <cfvo type="percentile" val="50"/>
        <cfvo type="max"/>
        <color rgb="FFF8696B"/>
        <color rgb="FFFFEB84"/>
        <color rgb="FF63BE7B"/>
      </colorScale>
    </cfRule>
    <cfRule type="dataBar" priority="10680">
      <dataBar>
        <cfvo type="min"/>
        <cfvo type="max"/>
        <color rgb="FF638EC6"/>
      </dataBar>
    </cfRule>
    <cfRule type="colorScale" priority="10681">
      <colorScale>
        <cfvo type="min"/>
        <cfvo type="percentile" val="50"/>
        <cfvo type="max"/>
        <color rgb="FFF8696B"/>
        <color rgb="FFFFEB84"/>
        <color rgb="FF63BE7B"/>
      </colorScale>
    </cfRule>
  </conditionalFormatting>
  <conditionalFormatting sqref="F404:F405">
    <cfRule type="cellIs" dxfId="5793" priority="10638" operator="equal">
      <formula>"Income"</formula>
    </cfRule>
  </conditionalFormatting>
  <conditionalFormatting sqref="F405">
    <cfRule type="dataBar" priority="10635">
      <dataBar>
        <cfvo type="min"/>
        <cfvo type="max"/>
        <color rgb="FF638EC6"/>
      </dataBar>
    </cfRule>
    <cfRule type="colorScale" priority="10636">
      <colorScale>
        <cfvo type="min"/>
        <cfvo type="percentile" val="50"/>
        <cfvo type="max"/>
        <color rgb="FFF8696B"/>
        <color rgb="FFFFEB84"/>
        <color rgb="FF63BE7B"/>
      </colorScale>
    </cfRule>
    <cfRule type="cellIs" dxfId="5792" priority="10637" operator="equal">
      <formula>"Tax"</formula>
    </cfRule>
  </conditionalFormatting>
  <conditionalFormatting sqref="F405:F406">
    <cfRule type="cellIs" dxfId="5791" priority="10629" operator="equal">
      <formula>"Cost of Sales"</formula>
    </cfRule>
    <cfRule type="cellIs" dxfId="5790" priority="10630" operator="equal">
      <formula>"Payroll"</formula>
    </cfRule>
    <cfRule type="cellIs" dxfId="5789" priority="10631" operator="equal">
      <formula>"Investment"</formula>
    </cfRule>
    <cfRule type="cellIs" dxfId="5788" priority="10632" operator="equal">
      <formula>"Sunk"</formula>
    </cfRule>
    <cfRule type="cellIs" dxfId="5787" priority="10633" operator="equal">
      <formula>"OpEx"</formula>
    </cfRule>
    <cfRule type="cellIs" dxfId="5786" priority="10634" operator="equal">
      <formula>"CapEx"</formula>
    </cfRule>
  </conditionalFormatting>
  <conditionalFormatting sqref="F406">
    <cfRule type="dataBar" priority="10626">
      <dataBar>
        <cfvo type="min"/>
        <cfvo type="max"/>
        <color rgb="FF638EC6"/>
      </dataBar>
    </cfRule>
    <cfRule type="colorScale" priority="10627">
      <colorScale>
        <cfvo type="min"/>
        <cfvo type="percentile" val="50"/>
        <cfvo type="max"/>
        <color rgb="FFF8696B"/>
        <color rgb="FFFFEB84"/>
        <color rgb="FF63BE7B"/>
      </colorScale>
    </cfRule>
    <cfRule type="cellIs" dxfId="5785" priority="10628" operator="equal">
      <formula>"Tax"</formula>
    </cfRule>
  </conditionalFormatting>
  <conditionalFormatting sqref="F406:F407">
    <cfRule type="cellIs" dxfId="5784" priority="10599" operator="equal">
      <formula>"Income"</formula>
    </cfRule>
  </conditionalFormatting>
  <conditionalFormatting sqref="F407">
    <cfRule type="dataBar" priority="10596">
      <dataBar>
        <cfvo type="min"/>
        <cfvo type="max"/>
        <color rgb="FF638EC6"/>
      </dataBar>
    </cfRule>
    <cfRule type="colorScale" priority="10597">
      <colorScale>
        <cfvo type="min"/>
        <cfvo type="percentile" val="50"/>
        <cfvo type="max"/>
        <color rgb="FFF8696B"/>
        <color rgb="FFFFEB84"/>
        <color rgb="FF63BE7B"/>
      </colorScale>
    </cfRule>
    <cfRule type="cellIs" dxfId="5783" priority="10598" operator="equal">
      <formula>"Tax"</formula>
    </cfRule>
    <cfRule type="cellIs" dxfId="5782" priority="10600" operator="equal">
      <formula>"Cost of Sales"</formula>
    </cfRule>
    <cfRule type="cellIs" dxfId="5781" priority="10601" operator="equal">
      <formula>"Payroll"</formula>
    </cfRule>
    <cfRule type="cellIs" dxfId="5780" priority="10602" operator="equal">
      <formula>"Investment"</formula>
    </cfRule>
    <cfRule type="cellIs" dxfId="5779" priority="10603" operator="equal">
      <formula>"Sunk"</formula>
    </cfRule>
    <cfRule type="cellIs" dxfId="5778" priority="10604" operator="equal">
      <formula>"OpEx"</formula>
    </cfRule>
    <cfRule type="cellIs" dxfId="5777" priority="10605" operator="equal">
      <formula>"CapEx"</formula>
    </cfRule>
  </conditionalFormatting>
  <conditionalFormatting sqref="F408">
    <cfRule type="dataBar" priority="10616">
      <dataBar>
        <cfvo type="min"/>
        <cfvo type="max"/>
        <color rgb="FF638EC6"/>
      </dataBar>
    </cfRule>
    <cfRule type="colorScale" priority="10617">
      <colorScale>
        <cfvo type="min"/>
        <cfvo type="percentile" val="50"/>
        <cfvo type="max"/>
        <color rgb="FFF8696B"/>
        <color rgb="FFFFEB84"/>
        <color rgb="FF63BE7B"/>
      </colorScale>
    </cfRule>
    <cfRule type="cellIs" dxfId="5776" priority="10618" operator="equal">
      <formula>"Tax"</formula>
    </cfRule>
    <cfRule type="cellIs" dxfId="5775" priority="10619" operator="equal">
      <formula>"Income"</formula>
    </cfRule>
    <cfRule type="cellIs" dxfId="5774" priority="10620" operator="equal">
      <formula>"Cost of Sales"</formula>
    </cfRule>
    <cfRule type="cellIs" dxfId="5773" priority="10621" operator="equal">
      <formula>"Payroll"</formula>
    </cfRule>
    <cfRule type="cellIs" dxfId="5772" priority="10622" operator="equal">
      <formula>"Investment"</formula>
    </cfRule>
    <cfRule type="cellIs" dxfId="5771" priority="10623" operator="equal">
      <formula>"Sunk"</formula>
    </cfRule>
    <cfRule type="cellIs" dxfId="5770" priority="10624" operator="equal">
      <formula>"OpEx"</formula>
    </cfRule>
    <cfRule type="cellIs" dxfId="5769" priority="10625" operator="equal">
      <formula>"CapEx"</formula>
    </cfRule>
  </conditionalFormatting>
  <conditionalFormatting sqref="F409">
    <cfRule type="dataBar" priority="10606">
      <dataBar>
        <cfvo type="min"/>
        <cfvo type="max"/>
        <color rgb="FF638EC6"/>
      </dataBar>
    </cfRule>
    <cfRule type="colorScale" priority="10607">
      <colorScale>
        <cfvo type="min"/>
        <cfvo type="percentile" val="50"/>
        <cfvo type="max"/>
        <color rgb="FFF8696B"/>
        <color rgb="FFFFEB84"/>
        <color rgb="FF63BE7B"/>
      </colorScale>
    </cfRule>
    <cfRule type="cellIs" dxfId="5768" priority="10608" operator="equal">
      <formula>"Tax"</formula>
    </cfRule>
    <cfRule type="cellIs" dxfId="5767" priority="10609" operator="equal">
      <formula>"Cost of Sales"</formula>
    </cfRule>
    <cfRule type="cellIs" dxfId="5766" priority="10610" operator="equal">
      <formula>"Payroll"</formula>
    </cfRule>
    <cfRule type="cellIs" dxfId="5765" priority="10611" operator="equal">
      <formula>"Investment"</formula>
    </cfRule>
    <cfRule type="cellIs" dxfId="5764" priority="10612" operator="equal">
      <formula>"Sunk"</formula>
    </cfRule>
    <cfRule type="cellIs" dxfId="5763" priority="10613" operator="equal">
      <formula>"OpEx"</formula>
    </cfRule>
    <cfRule type="cellIs" dxfId="5762" priority="10614" operator="equal">
      <formula>"CapEx"</formula>
    </cfRule>
    <cfRule type="cellIs" dxfId="5761" priority="10615" operator="equal">
      <formula>"Income"</formula>
    </cfRule>
  </conditionalFormatting>
  <conditionalFormatting sqref="F410">
    <cfRule type="dataBar" priority="10589">
      <dataBar>
        <cfvo type="min"/>
        <cfvo type="max"/>
        <color rgb="FF638EC6"/>
      </dataBar>
    </cfRule>
    <cfRule type="colorScale" priority="10590">
      <colorScale>
        <cfvo type="min"/>
        <cfvo type="percentile" val="50"/>
        <cfvo type="max"/>
        <color rgb="FFF8696B"/>
        <color rgb="FFFFEB84"/>
        <color rgb="FF63BE7B"/>
      </colorScale>
    </cfRule>
    <cfRule type="cellIs" dxfId="5760" priority="10591" operator="equal">
      <formula>"Tax"</formula>
    </cfRule>
  </conditionalFormatting>
  <conditionalFormatting sqref="F410:F417">
    <cfRule type="cellIs" dxfId="5759" priority="10568" operator="equal">
      <formula>"Income"</formula>
    </cfRule>
    <cfRule type="cellIs" dxfId="5758" priority="10580" operator="equal">
      <formula>"Cost of Sales"</formula>
    </cfRule>
    <cfRule type="cellIs" dxfId="5757" priority="10581" operator="equal">
      <formula>"Payroll"</formula>
    </cfRule>
    <cfRule type="cellIs" dxfId="5756" priority="10582" operator="equal">
      <formula>"Investment"</formula>
    </cfRule>
    <cfRule type="cellIs" dxfId="5755" priority="10583" operator="equal">
      <formula>"Sunk"</formula>
    </cfRule>
    <cfRule type="cellIs" dxfId="5754" priority="10584" operator="equal">
      <formula>"OpEx"</formula>
    </cfRule>
    <cfRule type="cellIs" dxfId="5753" priority="10585" operator="equal">
      <formula>"CapEx"</formula>
    </cfRule>
  </conditionalFormatting>
  <conditionalFormatting sqref="F411">
    <cfRule type="dataBar" priority="10565">
      <dataBar>
        <cfvo type="min"/>
        <cfvo type="max"/>
        <color rgb="FF638EC6"/>
      </dataBar>
    </cfRule>
    <cfRule type="colorScale" priority="10566">
      <colorScale>
        <cfvo type="min"/>
        <cfvo type="percentile" val="50"/>
        <cfvo type="max"/>
        <color rgb="FFF8696B"/>
        <color rgb="FFFFEB84"/>
        <color rgb="FF63BE7B"/>
      </colorScale>
    </cfRule>
    <cfRule type="cellIs" dxfId="5752" priority="10567" operator="equal">
      <formula>"Tax"</formula>
    </cfRule>
    <cfRule type="dataBar" priority="10586">
      <dataBar>
        <cfvo type="min"/>
        <cfvo type="max"/>
        <color rgb="FF638EC6"/>
      </dataBar>
    </cfRule>
    <cfRule type="colorScale" priority="10587">
      <colorScale>
        <cfvo type="min"/>
        <cfvo type="percentile" val="50"/>
        <cfvo type="max"/>
        <color rgb="FFF8696B"/>
        <color rgb="FFFFEB84"/>
        <color rgb="FF63BE7B"/>
      </colorScale>
    </cfRule>
    <cfRule type="cellIs" dxfId="5751" priority="10588" operator="equal">
      <formula>"Tax"</formula>
    </cfRule>
  </conditionalFormatting>
  <conditionalFormatting sqref="F411:F412">
    <cfRule type="cellIs" dxfId="5750" priority="10559" operator="equal">
      <formula>"Cost of Sales"</formula>
    </cfRule>
    <cfRule type="cellIs" dxfId="5749" priority="10560" operator="equal">
      <formula>"Payroll"</formula>
    </cfRule>
    <cfRule type="cellIs" dxfId="5748" priority="10561" operator="equal">
      <formula>"Investment"</formula>
    </cfRule>
    <cfRule type="cellIs" dxfId="5747" priority="10562" operator="equal">
      <formula>"Sunk"</formula>
    </cfRule>
    <cfRule type="cellIs" dxfId="5746" priority="10563" operator="equal">
      <formula>"OpEx"</formula>
    </cfRule>
    <cfRule type="cellIs" dxfId="5745" priority="10564" operator="equal">
      <formula>"CapEx"</formula>
    </cfRule>
  </conditionalFormatting>
  <conditionalFormatting sqref="F412">
    <cfRule type="dataBar" priority="10556">
      <dataBar>
        <cfvo type="min"/>
        <cfvo type="max"/>
        <color rgb="FF638EC6"/>
      </dataBar>
    </cfRule>
    <cfRule type="colorScale" priority="10557">
      <colorScale>
        <cfvo type="min"/>
        <cfvo type="percentile" val="50"/>
        <cfvo type="max"/>
        <color rgb="FFF8696B"/>
        <color rgb="FFFFEB84"/>
        <color rgb="FF63BE7B"/>
      </colorScale>
    </cfRule>
    <cfRule type="cellIs" dxfId="5744" priority="10558" operator="equal">
      <formula>"Tax"</formula>
    </cfRule>
  </conditionalFormatting>
  <conditionalFormatting sqref="F412:F413">
    <cfRule type="cellIs" dxfId="5743" priority="10529" operator="equal">
      <formula>"Income"</formula>
    </cfRule>
  </conditionalFormatting>
  <conditionalFormatting sqref="F412:F417 F395 F382 F419:F420 F423:F424 F429 F434 F443:F444">
    <cfRule type="dataBar" priority="11034">
      <dataBar>
        <cfvo type="min"/>
        <cfvo type="max"/>
        <color rgb="FF638EC6"/>
      </dataBar>
    </cfRule>
    <cfRule type="colorScale" priority="11035">
      <colorScale>
        <cfvo type="min"/>
        <cfvo type="percentile" val="50"/>
        <cfvo type="max"/>
        <color rgb="FFF8696B"/>
        <color rgb="FFFFEB84"/>
        <color rgb="FF63BE7B"/>
      </colorScale>
    </cfRule>
  </conditionalFormatting>
  <conditionalFormatting sqref="F413">
    <cfRule type="dataBar" priority="10526">
      <dataBar>
        <cfvo type="min"/>
        <cfvo type="max"/>
        <color rgb="FF638EC6"/>
      </dataBar>
    </cfRule>
    <cfRule type="colorScale" priority="10527">
      <colorScale>
        <cfvo type="min"/>
        <cfvo type="percentile" val="50"/>
        <cfvo type="max"/>
        <color rgb="FFF8696B"/>
        <color rgb="FFFFEB84"/>
        <color rgb="FF63BE7B"/>
      </colorScale>
    </cfRule>
    <cfRule type="cellIs" dxfId="5742" priority="10528" operator="equal">
      <formula>"Tax"</formula>
    </cfRule>
    <cfRule type="cellIs" dxfId="5741" priority="10530" operator="equal">
      <formula>"Cost of Sales"</formula>
    </cfRule>
    <cfRule type="cellIs" dxfId="5740" priority="10531" operator="equal">
      <formula>"Payroll"</formula>
    </cfRule>
    <cfRule type="cellIs" dxfId="5739" priority="10532" operator="equal">
      <formula>"Investment"</formula>
    </cfRule>
    <cfRule type="cellIs" dxfId="5738" priority="10533" operator="equal">
      <formula>"Sunk"</formula>
    </cfRule>
    <cfRule type="cellIs" dxfId="5737" priority="10534" operator="equal">
      <formula>"OpEx"</formula>
    </cfRule>
    <cfRule type="cellIs" dxfId="5736" priority="10535" operator="equal">
      <formula>"CapEx"</formula>
    </cfRule>
  </conditionalFormatting>
  <conditionalFormatting sqref="F414">
    <cfRule type="dataBar" priority="10546">
      <dataBar>
        <cfvo type="min"/>
        <cfvo type="max"/>
        <color rgb="FF638EC6"/>
      </dataBar>
    </cfRule>
    <cfRule type="colorScale" priority="10547">
      <colorScale>
        <cfvo type="min"/>
        <cfvo type="percentile" val="50"/>
        <cfvo type="max"/>
        <color rgb="FFF8696B"/>
        <color rgb="FFFFEB84"/>
        <color rgb="FF63BE7B"/>
      </colorScale>
    </cfRule>
    <cfRule type="cellIs" dxfId="5735" priority="10548" operator="equal">
      <formula>"Tax"</formula>
    </cfRule>
    <cfRule type="cellIs" dxfId="5734" priority="10549" operator="equal">
      <formula>"Income"</formula>
    </cfRule>
    <cfRule type="cellIs" dxfId="5733" priority="10550" operator="equal">
      <formula>"Cost of Sales"</formula>
    </cfRule>
    <cfRule type="cellIs" dxfId="5732" priority="10551" operator="equal">
      <formula>"Payroll"</formula>
    </cfRule>
    <cfRule type="cellIs" dxfId="5731" priority="10552" operator="equal">
      <formula>"Investment"</formula>
    </cfRule>
    <cfRule type="cellIs" dxfId="5730" priority="10553" operator="equal">
      <formula>"Sunk"</formula>
    </cfRule>
    <cfRule type="cellIs" dxfId="5729" priority="10554" operator="equal">
      <formula>"OpEx"</formula>
    </cfRule>
    <cfRule type="cellIs" dxfId="5728" priority="10555" operator="equal">
      <formula>"CapEx"</formula>
    </cfRule>
  </conditionalFormatting>
  <conditionalFormatting sqref="F415">
    <cfRule type="dataBar" priority="10536">
      <dataBar>
        <cfvo type="min"/>
        <cfvo type="max"/>
        <color rgb="FF638EC6"/>
      </dataBar>
    </cfRule>
    <cfRule type="colorScale" priority="10537">
      <colorScale>
        <cfvo type="min"/>
        <cfvo type="percentile" val="50"/>
        <cfvo type="max"/>
        <color rgb="FFF8696B"/>
        <color rgb="FFFFEB84"/>
        <color rgb="FF63BE7B"/>
      </colorScale>
    </cfRule>
    <cfRule type="cellIs" dxfId="5727" priority="10538" operator="equal">
      <formula>"Tax"</formula>
    </cfRule>
    <cfRule type="cellIs" dxfId="5726" priority="10539" operator="equal">
      <formula>"Cost of Sales"</formula>
    </cfRule>
    <cfRule type="cellIs" dxfId="5725" priority="10540" operator="equal">
      <formula>"Payroll"</formula>
    </cfRule>
    <cfRule type="cellIs" dxfId="5724" priority="10541" operator="equal">
      <formula>"Investment"</formula>
    </cfRule>
    <cfRule type="cellIs" dxfId="5723" priority="10542" operator="equal">
      <formula>"Sunk"</formula>
    </cfRule>
    <cfRule type="cellIs" dxfId="5722" priority="10543" operator="equal">
      <formula>"OpEx"</formula>
    </cfRule>
    <cfRule type="cellIs" dxfId="5721" priority="10544" operator="equal">
      <formula>"CapEx"</formula>
    </cfRule>
    <cfRule type="cellIs" dxfId="5720" priority="10545" operator="equal">
      <formula>"Income"</formula>
    </cfRule>
  </conditionalFormatting>
  <conditionalFormatting sqref="F416">
    <cfRule type="dataBar" priority="10519">
      <dataBar>
        <cfvo type="min"/>
        <cfvo type="max"/>
        <color rgb="FF638EC6"/>
      </dataBar>
    </cfRule>
    <cfRule type="colorScale" priority="10520">
      <colorScale>
        <cfvo type="min"/>
        <cfvo type="percentile" val="50"/>
        <cfvo type="max"/>
        <color rgb="FFF8696B"/>
        <color rgb="FFFFEB84"/>
        <color rgb="FF63BE7B"/>
      </colorScale>
    </cfRule>
    <cfRule type="cellIs" dxfId="5719" priority="10521" operator="equal">
      <formula>"Tax"</formula>
    </cfRule>
  </conditionalFormatting>
  <conditionalFormatting sqref="F416:F420">
    <cfRule type="cellIs" dxfId="5718" priority="10498" operator="equal">
      <formula>"Income"</formula>
    </cfRule>
    <cfRule type="cellIs" dxfId="5717" priority="10499" operator="equal">
      <formula>"Cost of Sales"</formula>
    </cfRule>
    <cfRule type="cellIs" dxfId="5716" priority="10500" operator="equal">
      <formula>"Payroll"</formula>
    </cfRule>
    <cfRule type="cellIs" dxfId="5715" priority="10501" operator="equal">
      <formula>"Investment"</formula>
    </cfRule>
    <cfRule type="cellIs" dxfId="5714" priority="10502" operator="equal">
      <formula>"Sunk"</formula>
    </cfRule>
    <cfRule type="cellIs" dxfId="5713" priority="10503" operator="equal">
      <formula>"OpEx"</formula>
    </cfRule>
    <cfRule type="cellIs" dxfId="5712" priority="10504" operator="equal">
      <formula>"CapEx"</formula>
    </cfRule>
  </conditionalFormatting>
  <conditionalFormatting sqref="F417">
    <cfRule type="dataBar" priority="10516">
      <dataBar>
        <cfvo type="min"/>
        <cfvo type="max"/>
        <color rgb="FF638EC6"/>
      </dataBar>
    </cfRule>
    <cfRule type="colorScale" priority="10517">
      <colorScale>
        <cfvo type="min"/>
        <cfvo type="percentile" val="50"/>
        <cfvo type="max"/>
        <color rgb="FFF8696B"/>
        <color rgb="FFFFEB84"/>
        <color rgb="FF63BE7B"/>
      </colorScale>
    </cfRule>
    <cfRule type="cellIs" dxfId="5711" priority="10518" operator="equal">
      <formula>"Tax"</formula>
    </cfRule>
  </conditionalFormatting>
  <conditionalFormatting sqref="F418">
    <cfRule type="dataBar" priority="10495">
      <dataBar>
        <cfvo type="min"/>
        <cfvo type="max"/>
        <color rgb="FF638EC6"/>
      </dataBar>
    </cfRule>
    <cfRule type="colorScale" priority="10496">
      <colorScale>
        <cfvo type="min"/>
        <cfvo type="percentile" val="50"/>
        <cfvo type="max"/>
        <color rgb="FFF8696B"/>
        <color rgb="FFFFEB84"/>
        <color rgb="FF63BE7B"/>
      </colorScale>
    </cfRule>
    <cfRule type="cellIs" dxfId="5710" priority="10497" operator="equal">
      <formula>"Tax"</formula>
    </cfRule>
  </conditionalFormatting>
  <conditionalFormatting sqref="F421">
    <cfRule type="dataBar" priority="10466">
      <dataBar>
        <cfvo type="min"/>
        <cfvo type="max"/>
        <color rgb="FF638EC6"/>
      </dataBar>
    </cfRule>
    <cfRule type="colorScale" priority="10467">
      <colorScale>
        <cfvo type="min"/>
        <cfvo type="percentile" val="50"/>
        <cfvo type="max"/>
        <color rgb="FFF8696B"/>
        <color rgb="FFFFEB84"/>
        <color rgb="FF63BE7B"/>
      </colorScale>
    </cfRule>
    <cfRule type="cellIs" dxfId="5709" priority="10468" operator="equal">
      <formula>"Tax"</formula>
    </cfRule>
  </conditionalFormatting>
  <conditionalFormatting sqref="F421:F422">
    <cfRule type="cellIs" dxfId="5708" priority="10459" operator="equal">
      <formula>"Income"</formula>
    </cfRule>
    <cfRule type="dataBar" priority="10482">
      <dataBar>
        <cfvo type="min"/>
        <cfvo type="max"/>
        <color rgb="FF638EC6"/>
      </dataBar>
    </cfRule>
    <cfRule type="colorScale" priority="10483">
      <colorScale>
        <cfvo type="min"/>
        <cfvo type="percentile" val="50"/>
        <cfvo type="max"/>
        <color rgb="FFF8696B"/>
        <color rgb="FFFFEB84"/>
        <color rgb="FF63BE7B"/>
      </colorScale>
    </cfRule>
    <cfRule type="cellIs" dxfId="5707" priority="10484" operator="equal">
      <formula>"Tax"</formula>
    </cfRule>
  </conditionalFormatting>
  <conditionalFormatting sqref="F421:F424">
    <cfRule type="cellIs" dxfId="5706" priority="10469" operator="equal">
      <formula>"Cost of Sales"</formula>
    </cfRule>
    <cfRule type="cellIs" dxfId="5705" priority="10470" operator="equal">
      <formula>"Payroll"</formula>
    </cfRule>
    <cfRule type="cellIs" dxfId="5704" priority="10471" operator="equal">
      <formula>"Investment"</formula>
    </cfRule>
    <cfRule type="cellIs" dxfId="5703" priority="10472" operator="equal">
      <formula>"Sunk"</formula>
    </cfRule>
    <cfRule type="cellIs" dxfId="5702" priority="10473" operator="equal">
      <formula>"OpEx"</formula>
    </cfRule>
    <cfRule type="cellIs" dxfId="5701" priority="10474" operator="equal">
      <formula>"CapEx"</formula>
    </cfRule>
    <cfRule type="cellIs" dxfId="5700" priority="10475" operator="equal">
      <formula>"Income"</formula>
    </cfRule>
  </conditionalFormatting>
  <conditionalFormatting sqref="F422">
    <cfRule type="dataBar" priority="10456">
      <dataBar>
        <cfvo type="min"/>
        <cfvo type="max"/>
        <color rgb="FF638EC6"/>
      </dataBar>
    </cfRule>
    <cfRule type="colorScale" priority="10457">
      <colorScale>
        <cfvo type="min"/>
        <cfvo type="percentile" val="50"/>
        <cfvo type="max"/>
        <color rgb="FFF8696B"/>
        <color rgb="FFFFEB84"/>
        <color rgb="FF63BE7B"/>
      </colorScale>
    </cfRule>
    <cfRule type="cellIs" dxfId="5699" priority="10458" operator="equal">
      <formula>"Tax"</formula>
    </cfRule>
    <cfRule type="cellIs" dxfId="5698" priority="10460" operator="equal">
      <formula>"Cost of Sales"</formula>
    </cfRule>
    <cfRule type="cellIs" dxfId="5697" priority="10461" operator="equal">
      <formula>"Payroll"</formula>
    </cfRule>
    <cfRule type="cellIs" dxfId="5696" priority="10462" operator="equal">
      <formula>"Investment"</formula>
    </cfRule>
    <cfRule type="cellIs" dxfId="5695" priority="10463" operator="equal">
      <formula>"Sunk"</formula>
    </cfRule>
    <cfRule type="cellIs" dxfId="5694" priority="10464" operator="equal">
      <formula>"OpEx"</formula>
    </cfRule>
    <cfRule type="cellIs" dxfId="5693" priority="10465" operator="equal">
      <formula>"CapEx"</formula>
    </cfRule>
  </conditionalFormatting>
  <conditionalFormatting sqref="F425">
    <cfRule type="dataBar" priority="10439">
      <dataBar>
        <cfvo type="min"/>
        <cfvo type="max"/>
        <color rgb="FF638EC6"/>
      </dataBar>
    </cfRule>
    <cfRule type="colorScale" priority="10440">
      <colorScale>
        <cfvo type="min"/>
        <cfvo type="percentile" val="50"/>
        <cfvo type="max"/>
        <color rgb="FFF8696B"/>
        <color rgb="FFFFEB84"/>
        <color rgb="FF63BE7B"/>
      </colorScale>
    </cfRule>
    <cfRule type="cellIs" dxfId="5692" priority="10441" operator="equal">
      <formula>"Tax"</formula>
    </cfRule>
    <cfRule type="cellIs" dxfId="5691" priority="10442" operator="equal">
      <formula>"Income"</formula>
    </cfRule>
    <cfRule type="cellIs" dxfId="5690" priority="10443" operator="equal">
      <formula>"Cost of Sales"</formula>
    </cfRule>
    <cfRule type="cellIs" dxfId="5689" priority="10444" operator="equal">
      <formula>"Payroll"</formula>
    </cfRule>
    <cfRule type="cellIs" dxfId="5688" priority="10445" operator="equal">
      <formula>"Investment"</formula>
    </cfRule>
    <cfRule type="cellIs" dxfId="5687" priority="10446" operator="equal">
      <formula>"Sunk"</formula>
    </cfRule>
    <cfRule type="cellIs" dxfId="5686" priority="10447" operator="equal">
      <formula>"OpEx"</formula>
    </cfRule>
    <cfRule type="cellIs" dxfId="5685" priority="10448" operator="equal">
      <formula>"CapEx"</formula>
    </cfRule>
    <cfRule type="dataBar" priority="10449">
      <dataBar>
        <cfvo type="min"/>
        <cfvo type="max"/>
        <color rgb="FF638EC6"/>
      </dataBar>
    </cfRule>
    <cfRule type="colorScale" priority="10450">
      <colorScale>
        <cfvo type="min"/>
        <cfvo type="percentile" val="50"/>
        <cfvo type="max"/>
        <color rgb="FFF8696B"/>
        <color rgb="FFFFEB84"/>
        <color rgb="FF63BE7B"/>
      </colorScale>
    </cfRule>
    <cfRule type="cellIs" dxfId="5684" priority="10451" operator="equal">
      <formula>"Tax"</formula>
    </cfRule>
  </conditionalFormatting>
  <conditionalFormatting sqref="F425:F426">
    <cfRule type="cellIs" dxfId="5683" priority="10429" operator="equal">
      <formula>"Income"</formula>
    </cfRule>
    <cfRule type="cellIs" dxfId="5682" priority="10430" operator="equal">
      <formula>"Cost of Sales"</formula>
    </cfRule>
    <cfRule type="cellIs" dxfId="5681" priority="10431" operator="equal">
      <formula>"Payroll"</formula>
    </cfRule>
    <cfRule type="cellIs" dxfId="5680" priority="10432" operator="equal">
      <formula>"Investment"</formula>
    </cfRule>
    <cfRule type="cellIs" dxfId="5679" priority="10433" operator="equal">
      <formula>"Sunk"</formula>
    </cfRule>
    <cfRule type="cellIs" dxfId="5678" priority="10434" operator="equal">
      <formula>"OpEx"</formula>
    </cfRule>
    <cfRule type="cellIs" dxfId="5677" priority="10435" operator="equal">
      <formula>"CapEx"</formula>
    </cfRule>
  </conditionalFormatting>
  <conditionalFormatting sqref="F426">
    <cfRule type="dataBar" priority="10426">
      <dataBar>
        <cfvo type="min"/>
        <cfvo type="max"/>
        <color rgb="FF638EC6"/>
      </dataBar>
    </cfRule>
    <cfRule type="colorScale" priority="10427">
      <colorScale>
        <cfvo type="min"/>
        <cfvo type="percentile" val="50"/>
        <cfvo type="max"/>
        <color rgb="FFF8696B"/>
        <color rgb="FFFFEB84"/>
        <color rgb="FF63BE7B"/>
      </colorScale>
    </cfRule>
    <cfRule type="cellIs" dxfId="5676" priority="10428" operator="equal">
      <formula>"Tax"</formula>
    </cfRule>
    <cfRule type="dataBar" priority="10436">
      <dataBar>
        <cfvo type="min"/>
        <cfvo type="max"/>
        <color rgb="FF638EC6"/>
      </dataBar>
    </cfRule>
    <cfRule type="colorScale" priority="10437">
      <colorScale>
        <cfvo type="min"/>
        <cfvo type="percentile" val="50"/>
        <cfvo type="max"/>
        <color rgb="FFF8696B"/>
        <color rgb="FFFFEB84"/>
        <color rgb="FF63BE7B"/>
      </colorScale>
    </cfRule>
    <cfRule type="cellIs" dxfId="5675" priority="10438" operator="equal">
      <formula>"Tax"</formula>
    </cfRule>
  </conditionalFormatting>
  <conditionalFormatting sqref="F426:F427">
    <cfRule type="cellIs" dxfId="5674" priority="10399" operator="equal">
      <formula>"Cost of Sales"</formula>
    </cfRule>
    <cfRule type="cellIs" dxfId="5673" priority="10400" operator="equal">
      <formula>"Payroll"</formula>
    </cfRule>
    <cfRule type="cellIs" dxfId="5672" priority="10401" operator="equal">
      <formula>"Investment"</formula>
    </cfRule>
    <cfRule type="cellIs" dxfId="5671" priority="10402" operator="equal">
      <formula>"Sunk"</formula>
    </cfRule>
    <cfRule type="cellIs" dxfId="5670" priority="10403" operator="equal">
      <formula>"OpEx"</formula>
    </cfRule>
    <cfRule type="cellIs" dxfId="5669" priority="10404" operator="equal">
      <formula>"CapEx"</formula>
    </cfRule>
    <cfRule type="cellIs" dxfId="5668" priority="10405" operator="equal">
      <formula>"Income"</formula>
    </cfRule>
  </conditionalFormatting>
  <conditionalFormatting sqref="F427">
    <cfRule type="dataBar" priority="10393">
      <dataBar>
        <cfvo type="min"/>
        <cfvo type="max"/>
        <color rgb="FF638EC6"/>
      </dataBar>
    </cfRule>
    <cfRule type="colorScale" priority="10394">
      <colorScale>
        <cfvo type="min"/>
        <cfvo type="percentile" val="50"/>
        <cfvo type="max"/>
        <color rgb="FFF8696B"/>
        <color rgb="FFFFEB84"/>
        <color rgb="FF63BE7B"/>
      </colorScale>
    </cfRule>
    <cfRule type="cellIs" dxfId="5667" priority="10395" operator="equal">
      <formula>"Tax"</formula>
    </cfRule>
    <cfRule type="dataBar" priority="10396">
      <dataBar>
        <cfvo type="min"/>
        <cfvo type="max"/>
        <color rgb="FF638EC6"/>
      </dataBar>
    </cfRule>
    <cfRule type="colorScale" priority="10397">
      <colorScale>
        <cfvo type="min"/>
        <cfvo type="percentile" val="50"/>
        <cfvo type="max"/>
        <color rgb="FFF8696B"/>
        <color rgb="FFFFEB84"/>
        <color rgb="FF63BE7B"/>
      </colorScale>
    </cfRule>
    <cfRule type="cellIs" dxfId="5666" priority="10398" operator="equal">
      <formula>"Tax"</formula>
    </cfRule>
  </conditionalFormatting>
  <conditionalFormatting sqref="F427:F429">
    <cfRule type="cellIs" dxfId="5665" priority="10366" operator="equal">
      <formula>"Cost of Sales"</formula>
    </cfRule>
    <cfRule type="cellIs" dxfId="5664" priority="10367" operator="equal">
      <formula>"Payroll"</formula>
    </cfRule>
    <cfRule type="cellIs" dxfId="5663" priority="10368" operator="equal">
      <formula>"Investment"</formula>
    </cfRule>
    <cfRule type="cellIs" dxfId="5662" priority="10369" operator="equal">
      <formula>"Sunk"</formula>
    </cfRule>
    <cfRule type="cellIs" dxfId="5661" priority="10370" operator="equal">
      <formula>"OpEx"</formula>
    </cfRule>
    <cfRule type="cellIs" dxfId="5660" priority="10371" operator="equal">
      <formula>"CapEx"</formula>
    </cfRule>
    <cfRule type="cellIs" dxfId="5659" priority="10375" operator="equal">
      <formula>"Income"</formula>
    </cfRule>
  </conditionalFormatting>
  <conditionalFormatting sqref="F428">
    <cfRule type="cellIs" dxfId="5658" priority="10351" operator="equal">
      <formula>"Income"</formula>
    </cfRule>
    <cfRule type="cellIs" dxfId="5657" priority="10352" operator="equal">
      <formula>"Cost of Sales"</formula>
    </cfRule>
    <cfRule type="cellIs" dxfId="5656" priority="10353" operator="equal">
      <formula>"Payroll"</formula>
    </cfRule>
    <cfRule type="cellIs" dxfId="5655" priority="10354" operator="equal">
      <formula>"Investment"</formula>
    </cfRule>
    <cfRule type="cellIs" dxfId="5654" priority="10355" operator="equal">
      <formula>"Sunk"</formula>
    </cfRule>
    <cfRule type="cellIs" dxfId="5653" priority="10356" operator="equal">
      <formula>"OpEx"</formula>
    </cfRule>
    <cfRule type="cellIs" dxfId="5652" priority="10357" operator="equal">
      <formula>"CapEx"</formula>
    </cfRule>
    <cfRule type="dataBar" priority="10363">
      <dataBar>
        <cfvo type="min"/>
        <cfvo type="max"/>
        <color rgb="FF638EC6"/>
      </dataBar>
    </cfRule>
    <cfRule type="colorScale" priority="10364">
      <colorScale>
        <cfvo type="min"/>
        <cfvo type="percentile" val="50"/>
        <cfvo type="max"/>
        <color rgb="FFF8696B"/>
        <color rgb="FFFFEB84"/>
        <color rgb="FF63BE7B"/>
      </colorScale>
    </cfRule>
    <cfRule type="cellIs" dxfId="5651" priority="10365" operator="equal">
      <formula>"Tax"</formula>
    </cfRule>
    <cfRule type="dataBar" priority="10372">
      <dataBar>
        <cfvo type="min"/>
        <cfvo type="max"/>
        <color rgb="FF638EC6"/>
      </dataBar>
    </cfRule>
    <cfRule type="colorScale" priority="10373">
      <colorScale>
        <cfvo type="min"/>
        <cfvo type="percentile" val="50"/>
        <cfvo type="max"/>
        <color rgb="FFF8696B"/>
        <color rgb="FFFFEB84"/>
        <color rgb="FF63BE7B"/>
      </colorScale>
    </cfRule>
    <cfRule type="cellIs" dxfId="5650" priority="10374" operator="equal">
      <formula>"Tax"</formula>
    </cfRule>
  </conditionalFormatting>
  <conditionalFormatting sqref="F430">
    <cfRule type="cellIs" dxfId="5649" priority="10182" operator="equal">
      <formula>"Income"</formula>
    </cfRule>
    <cfRule type="cellIs" dxfId="5648" priority="10183" operator="equal">
      <formula>"Cost of Sales"</formula>
    </cfRule>
    <cfRule type="cellIs" dxfId="5647" priority="10184" operator="equal">
      <formula>"Payroll"</formula>
    </cfRule>
    <cfRule type="cellIs" dxfId="5646" priority="10185" operator="equal">
      <formula>"Investment"</formula>
    </cfRule>
    <cfRule type="cellIs" dxfId="5645" priority="10186" operator="equal">
      <formula>"Sunk"</formula>
    </cfRule>
    <cfRule type="cellIs" dxfId="5644" priority="10187" operator="equal">
      <formula>"OpEx"</formula>
    </cfRule>
    <cfRule type="cellIs" dxfId="5643" priority="10188" operator="equal">
      <formula>"CapEx"</formula>
    </cfRule>
    <cfRule type="dataBar" priority="10189">
      <dataBar>
        <cfvo type="min"/>
        <cfvo type="max"/>
        <color rgb="FF638EC6"/>
      </dataBar>
    </cfRule>
    <cfRule type="colorScale" priority="10190">
      <colorScale>
        <cfvo type="min"/>
        <cfvo type="percentile" val="50"/>
        <cfvo type="max"/>
        <color rgb="FFF8696B"/>
        <color rgb="FFFFEB84"/>
        <color rgb="FF63BE7B"/>
      </colorScale>
    </cfRule>
    <cfRule type="cellIs" dxfId="5642" priority="10191" operator="equal">
      <formula>"Tax"</formula>
    </cfRule>
    <cfRule type="cellIs" dxfId="5641" priority="10192" operator="equal">
      <formula>"Income"</formula>
    </cfRule>
    <cfRule type="cellIs" dxfId="5640" priority="10193" operator="equal">
      <formula>"Cost of Sales"</formula>
    </cfRule>
    <cfRule type="cellIs" dxfId="5639" priority="10194" operator="equal">
      <formula>"Payroll"</formula>
    </cfRule>
    <cfRule type="cellIs" dxfId="5638" priority="10195" operator="equal">
      <formula>"Investment"</formula>
    </cfRule>
    <cfRule type="cellIs" dxfId="5637" priority="10196" operator="equal">
      <formula>"Sunk"</formula>
    </cfRule>
    <cfRule type="cellIs" dxfId="5636" priority="10197" operator="equal">
      <formula>"OpEx"</formula>
    </cfRule>
    <cfRule type="cellIs" dxfId="5635" priority="10198" operator="equal">
      <formula>"CapEx"</formula>
    </cfRule>
    <cfRule type="dataBar" priority="10199">
      <dataBar>
        <cfvo type="min"/>
        <cfvo type="max"/>
        <color rgb="FF638EC6"/>
      </dataBar>
    </cfRule>
    <cfRule type="colorScale" priority="10200">
      <colorScale>
        <cfvo type="min"/>
        <cfvo type="percentile" val="50"/>
        <cfvo type="max"/>
        <color rgb="FFF8696B"/>
        <color rgb="FFFFEB84"/>
        <color rgb="FF63BE7B"/>
      </colorScale>
    </cfRule>
    <cfRule type="cellIs" dxfId="5634" priority="10201" operator="equal">
      <formula>"Tax"</formula>
    </cfRule>
  </conditionalFormatting>
  <conditionalFormatting sqref="F431">
    <cfRule type="dataBar" priority="10213">
      <dataBar>
        <cfvo type="min"/>
        <cfvo type="max"/>
        <color rgb="FF638EC6"/>
      </dataBar>
    </cfRule>
    <cfRule type="colorScale" priority="10214">
      <colorScale>
        <cfvo type="min"/>
        <cfvo type="percentile" val="50"/>
        <cfvo type="max"/>
        <color rgb="FFF8696B"/>
        <color rgb="FFFFEB84"/>
        <color rgb="FF63BE7B"/>
      </colorScale>
    </cfRule>
    <cfRule type="cellIs" dxfId="5633" priority="10216" operator="equal">
      <formula>"Cost of Sales"</formula>
    </cfRule>
    <cfRule type="cellIs" dxfId="5632" priority="10217" operator="equal">
      <formula>"Payroll"</formula>
    </cfRule>
    <cfRule type="cellIs" dxfId="5631" priority="10218" operator="equal">
      <formula>"Investment"</formula>
    </cfRule>
    <cfRule type="cellIs" dxfId="5630" priority="10219" operator="equal">
      <formula>"Sunk"</formula>
    </cfRule>
    <cfRule type="cellIs" dxfId="5629" priority="10220" operator="equal">
      <formula>"OpEx"</formula>
    </cfRule>
    <cfRule type="cellIs" dxfId="5628" priority="10221" operator="equal">
      <formula>"CapEx"</formula>
    </cfRule>
    <cfRule type="cellIs" dxfId="5627" priority="10222" operator="equal">
      <formula>"Income"</formula>
    </cfRule>
  </conditionalFormatting>
  <conditionalFormatting sqref="F431:F433">
    <cfRule type="cellIs" dxfId="5626" priority="10215" operator="equal">
      <formula>"Tax"</formula>
    </cfRule>
  </conditionalFormatting>
  <conditionalFormatting sqref="F432">
    <cfRule type="dataBar" priority="10302">
      <dataBar>
        <cfvo type="min"/>
        <cfvo type="max"/>
        <color rgb="FF638EC6"/>
      </dataBar>
    </cfRule>
    <cfRule type="colorScale" priority="10303">
      <colorScale>
        <cfvo type="min"/>
        <cfvo type="percentile" val="50"/>
        <cfvo type="max"/>
        <color rgb="FFF8696B"/>
        <color rgb="FFFFEB84"/>
        <color rgb="FF63BE7B"/>
      </colorScale>
    </cfRule>
    <cfRule type="cellIs" dxfId="5625" priority="10304" operator="equal">
      <formula>"Cost of Sales"</formula>
    </cfRule>
    <cfRule type="cellIs" dxfId="5624" priority="10305" operator="equal">
      <formula>"Payroll"</formula>
    </cfRule>
    <cfRule type="cellIs" dxfId="5623" priority="10306" operator="equal">
      <formula>"Investment"</formula>
    </cfRule>
    <cfRule type="cellIs" dxfId="5622" priority="10307" operator="equal">
      <formula>"Sunk"</formula>
    </cfRule>
    <cfRule type="cellIs" dxfId="5621" priority="10308" operator="equal">
      <formula>"OpEx"</formula>
    </cfRule>
    <cfRule type="cellIs" dxfId="5620" priority="10309" operator="equal">
      <formula>"CapEx"</formula>
    </cfRule>
    <cfRule type="cellIs" dxfId="5619" priority="10310" operator="equal">
      <formula>"Income"</formula>
    </cfRule>
  </conditionalFormatting>
  <conditionalFormatting sqref="F433">
    <cfRule type="dataBar" priority="10281">
      <dataBar>
        <cfvo type="min"/>
        <cfvo type="max"/>
        <color rgb="FF638EC6"/>
      </dataBar>
    </cfRule>
    <cfRule type="colorScale" priority="10282">
      <colorScale>
        <cfvo type="min"/>
        <cfvo type="percentile" val="50"/>
        <cfvo type="max"/>
        <color rgb="FFF8696B"/>
        <color rgb="FFFFEB84"/>
        <color rgb="FF63BE7B"/>
      </colorScale>
    </cfRule>
  </conditionalFormatting>
  <conditionalFormatting sqref="F433:F434">
    <cfRule type="cellIs" dxfId="5618" priority="10283" operator="equal">
      <formula>"Cost of Sales"</formula>
    </cfRule>
    <cfRule type="cellIs" dxfId="5617" priority="10284" operator="equal">
      <formula>"Payroll"</formula>
    </cfRule>
    <cfRule type="cellIs" dxfId="5616" priority="10285" operator="equal">
      <formula>"Investment"</formula>
    </cfRule>
    <cfRule type="cellIs" dxfId="5615" priority="10286" operator="equal">
      <formula>"Sunk"</formula>
    </cfRule>
    <cfRule type="cellIs" dxfId="5614" priority="10287" operator="equal">
      <formula>"OpEx"</formula>
    </cfRule>
    <cfRule type="cellIs" dxfId="5613" priority="10288" operator="equal">
      <formula>"CapEx"</formula>
    </cfRule>
    <cfRule type="cellIs" dxfId="5612" priority="10289" operator="equal">
      <formula>"Income"</formula>
    </cfRule>
  </conditionalFormatting>
  <conditionalFormatting sqref="F435">
    <cfRule type="dataBar" priority="10252">
      <dataBar>
        <cfvo type="min"/>
        <cfvo type="max"/>
        <color rgb="FF638EC6"/>
      </dataBar>
    </cfRule>
    <cfRule type="colorScale" priority="10253">
      <colorScale>
        <cfvo type="min"/>
        <cfvo type="percentile" val="50"/>
        <cfvo type="max"/>
        <color rgb="FFF8696B"/>
        <color rgb="FFFFEB84"/>
        <color rgb="FF63BE7B"/>
      </colorScale>
    </cfRule>
    <cfRule type="cellIs" dxfId="5611" priority="10254" operator="equal">
      <formula>"Tax"</formula>
    </cfRule>
  </conditionalFormatting>
  <conditionalFormatting sqref="F435:F438">
    <cfRule type="cellIs" dxfId="5610" priority="10255" operator="equal">
      <formula>"Income"</formula>
    </cfRule>
    <cfRule type="cellIs" dxfId="5609" priority="10256" operator="equal">
      <formula>"Cost of Sales"</formula>
    </cfRule>
    <cfRule type="cellIs" dxfId="5608" priority="10257" operator="equal">
      <formula>"Payroll"</formula>
    </cfRule>
    <cfRule type="cellIs" dxfId="5607" priority="10258" operator="equal">
      <formula>"Investment"</formula>
    </cfRule>
    <cfRule type="cellIs" dxfId="5606" priority="10259" operator="equal">
      <formula>"Sunk"</formula>
    </cfRule>
    <cfRule type="cellIs" dxfId="5605" priority="10260" operator="equal">
      <formula>"OpEx"</formula>
    </cfRule>
    <cfRule type="cellIs" dxfId="5604" priority="10261" operator="equal">
      <formula>"CapEx"</formula>
    </cfRule>
  </conditionalFormatting>
  <conditionalFormatting sqref="F436">
    <cfRule type="dataBar" priority="10249">
      <dataBar>
        <cfvo type="min"/>
        <cfvo type="max"/>
        <color rgb="FF638EC6"/>
      </dataBar>
    </cfRule>
    <cfRule type="colorScale" priority="10250">
      <colorScale>
        <cfvo type="min"/>
        <cfvo type="percentile" val="50"/>
        <cfvo type="max"/>
        <color rgb="FFF8696B"/>
        <color rgb="FFFFEB84"/>
        <color rgb="FF63BE7B"/>
      </colorScale>
    </cfRule>
    <cfRule type="cellIs" dxfId="5603" priority="10251" operator="equal">
      <formula>"Tax"</formula>
    </cfRule>
  </conditionalFormatting>
  <conditionalFormatting sqref="F437">
    <cfRule type="dataBar" priority="10246">
      <dataBar>
        <cfvo type="min"/>
        <cfvo type="max"/>
        <color rgb="FF638EC6"/>
      </dataBar>
    </cfRule>
    <cfRule type="colorScale" priority="10247">
      <colorScale>
        <cfvo type="min"/>
        <cfvo type="percentile" val="50"/>
        <cfvo type="max"/>
        <color rgb="FFF8696B"/>
        <color rgb="FFFFEB84"/>
        <color rgb="FF63BE7B"/>
      </colorScale>
    </cfRule>
    <cfRule type="cellIs" dxfId="5602" priority="10248" operator="equal">
      <formula>"Tax"</formula>
    </cfRule>
  </conditionalFormatting>
  <conditionalFormatting sqref="F438">
    <cfRule type="dataBar" priority="10244">
      <dataBar>
        <cfvo type="min"/>
        <cfvo type="max"/>
        <color rgb="FF638EC6"/>
      </dataBar>
    </cfRule>
    <cfRule type="colorScale" priority="10245">
      <colorScale>
        <cfvo type="min"/>
        <cfvo type="percentile" val="50"/>
        <cfvo type="max"/>
        <color rgb="FFF8696B"/>
        <color rgb="FFFFEB84"/>
        <color rgb="FF63BE7B"/>
      </colorScale>
    </cfRule>
  </conditionalFormatting>
  <conditionalFormatting sqref="F438:F439">
    <cfRule type="cellIs" dxfId="5601" priority="10163" operator="equal">
      <formula>"Tax"</formula>
    </cfRule>
  </conditionalFormatting>
  <conditionalFormatting sqref="F439">
    <cfRule type="dataBar" priority="10161">
      <dataBar>
        <cfvo type="min"/>
        <cfvo type="max"/>
        <color rgb="FF638EC6"/>
      </dataBar>
    </cfRule>
    <cfRule type="colorScale" priority="10162">
      <colorScale>
        <cfvo type="min"/>
        <cfvo type="percentile" val="50"/>
        <cfvo type="max"/>
        <color rgb="FFF8696B"/>
        <color rgb="FFFFEB84"/>
        <color rgb="FF63BE7B"/>
      </colorScale>
    </cfRule>
    <cfRule type="cellIs" dxfId="5600" priority="10164" operator="equal">
      <formula>"Income"</formula>
    </cfRule>
    <cfRule type="cellIs" dxfId="5599" priority="10165" operator="equal">
      <formula>"Cost of Sales"</formula>
    </cfRule>
    <cfRule type="cellIs" dxfId="5598" priority="10166" operator="equal">
      <formula>"Payroll"</formula>
    </cfRule>
    <cfRule type="cellIs" dxfId="5597" priority="10167" operator="equal">
      <formula>"Investment"</formula>
    </cfRule>
    <cfRule type="cellIs" dxfId="5596" priority="10168" operator="equal">
      <formula>"Sunk"</formula>
    </cfRule>
    <cfRule type="cellIs" dxfId="5595" priority="10169" operator="equal">
      <formula>"OpEx"</formula>
    </cfRule>
    <cfRule type="cellIs" dxfId="5594" priority="10170" operator="equal">
      <formula>"CapEx"</formula>
    </cfRule>
  </conditionalFormatting>
  <conditionalFormatting sqref="F440">
    <cfRule type="dataBar" priority="10038">
      <dataBar>
        <cfvo type="min"/>
        <cfvo type="max"/>
        <color rgb="FF638EC6"/>
      </dataBar>
    </cfRule>
    <cfRule type="colorScale" priority="10039">
      <colorScale>
        <cfvo type="min"/>
        <cfvo type="percentile" val="50"/>
        <cfvo type="max"/>
        <color rgb="FFF8696B"/>
        <color rgb="FFFFEB84"/>
        <color rgb="FF63BE7B"/>
      </colorScale>
    </cfRule>
    <cfRule type="dataBar" priority="10040">
      <dataBar>
        <cfvo type="min"/>
        <cfvo type="max"/>
        <color rgb="FF638EC6"/>
      </dataBar>
    </cfRule>
    <cfRule type="colorScale" priority="10041">
      <colorScale>
        <cfvo type="min"/>
        <cfvo type="percentile" val="50"/>
        <cfvo type="max"/>
        <color rgb="FFF8696B"/>
        <color rgb="FFFFEB84"/>
        <color rgb="FF63BE7B"/>
      </colorScale>
    </cfRule>
    <cfRule type="cellIs" dxfId="5593" priority="10042" operator="equal">
      <formula>"Tax"</formula>
    </cfRule>
    <cfRule type="cellIs" dxfId="5592" priority="10043" operator="equal">
      <formula>"Income"</formula>
    </cfRule>
    <cfRule type="cellIs" dxfId="5591" priority="10044" operator="equal">
      <formula>"Cost of Sales"</formula>
    </cfRule>
    <cfRule type="cellIs" dxfId="5590" priority="10045" operator="equal">
      <formula>"Payroll"</formula>
    </cfRule>
    <cfRule type="cellIs" dxfId="5589" priority="10046" operator="equal">
      <formula>"Investment"</formula>
    </cfRule>
    <cfRule type="cellIs" dxfId="5588" priority="10047" operator="equal">
      <formula>"Sunk"</formula>
    </cfRule>
    <cfRule type="cellIs" dxfId="5587" priority="10048" operator="equal">
      <formula>"OpEx"</formula>
    </cfRule>
    <cfRule type="cellIs" dxfId="5586" priority="10049" operator="equal">
      <formula>"CapEx"</formula>
    </cfRule>
  </conditionalFormatting>
  <conditionalFormatting sqref="F441">
    <cfRule type="dataBar" priority="10007">
      <dataBar>
        <cfvo type="min"/>
        <cfvo type="max"/>
        <color rgb="FF638EC6"/>
      </dataBar>
    </cfRule>
    <cfRule type="colorScale" priority="10008">
      <colorScale>
        <cfvo type="min"/>
        <cfvo type="percentile" val="50"/>
        <cfvo type="max"/>
        <color rgb="FFF8696B"/>
        <color rgb="FFFFEB84"/>
        <color rgb="FF63BE7B"/>
      </colorScale>
    </cfRule>
    <cfRule type="cellIs" dxfId="5585" priority="10009" operator="equal">
      <formula>"Tax"</formula>
    </cfRule>
    <cfRule type="cellIs" dxfId="5584" priority="10010" operator="equal">
      <formula>"Income"</formula>
    </cfRule>
    <cfRule type="cellIs" dxfId="5583" priority="10011" operator="equal">
      <formula>"Cost of Sales"</formula>
    </cfRule>
    <cfRule type="cellIs" dxfId="5582" priority="10012" operator="equal">
      <formula>"Payroll"</formula>
    </cfRule>
    <cfRule type="cellIs" dxfId="5581" priority="10013" operator="equal">
      <formula>"Investment"</formula>
    </cfRule>
    <cfRule type="cellIs" dxfId="5580" priority="10014" operator="equal">
      <formula>"Sunk"</formula>
    </cfRule>
    <cfRule type="cellIs" dxfId="5579" priority="10015" operator="equal">
      <formula>"OpEx"</formula>
    </cfRule>
    <cfRule type="cellIs" dxfId="5578" priority="10016" operator="equal">
      <formula>"CapEx"</formula>
    </cfRule>
  </conditionalFormatting>
  <conditionalFormatting sqref="F442">
    <cfRule type="dataBar" priority="10097">
      <dataBar>
        <cfvo type="min"/>
        <cfvo type="max"/>
        <color rgb="FF638EC6"/>
      </dataBar>
    </cfRule>
    <cfRule type="colorScale" priority="10098">
      <colorScale>
        <cfvo type="min"/>
        <cfvo type="percentile" val="50"/>
        <cfvo type="max"/>
        <color rgb="FFF8696B"/>
        <color rgb="FFFFEB84"/>
        <color rgb="FF63BE7B"/>
      </colorScale>
    </cfRule>
    <cfRule type="cellIs" dxfId="5577" priority="10099" operator="equal">
      <formula>"Tax"</formula>
    </cfRule>
    <cfRule type="cellIs" dxfId="5576" priority="10101" operator="equal">
      <formula>"Cost of Sales"</formula>
    </cfRule>
    <cfRule type="cellIs" dxfId="5575" priority="10102" operator="equal">
      <formula>"Payroll"</formula>
    </cfRule>
    <cfRule type="cellIs" dxfId="5574" priority="10103" operator="equal">
      <formula>"Investment"</formula>
    </cfRule>
    <cfRule type="cellIs" dxfId="5573" priority="10104" operator="equal">
      <formula>"Sunk"</formula>
    </cfRule>
    <cfRule type="cellIs" dxfId="5572" priority="10105" operator="equal">
      <formula>"OpEx"</formula>
    </cfRule>
    <cfRule type="cellIs" dxfId="5571" priority="10106" operator="equal">
      <formula>"CapEx"</formula>
    </cfRule>
    <cfRule type="dataBar" priority="10108">
      <dataBar>
        <cfvo type="min"/>
        <cfvo type="max"/>
        <color rgb="FF638EC6"/>
      </dataBar>
    </cfRule>
    <cfRule type="colorScale" priority="10109">
      <colorScale>
        <cfvo type="min"/>
        <cfvo type="percentile" val="50"/>
        <cfvo type="max"/>
        <color rgb="FFF8696B"/>
        <color rgb="FFFFEB84"/>
        <color rgb="FF63BE7B"/>
      </colorScale>
    </cfRule>
    <cfRule type="cellIs" dxfId="5570" priority="10110" operator="equal">
      <formula>"Tax"</formula>
    </cfRule>
  </conditionalFormatting>
  <conditionalFormatting sqref="F442:F445">
    <cfRule type="cellIs" dxfId="5569" priority="10100" operator="equal">
      <formula>"Income"</formula>
    </cfRule>
    <cfRule type="cellIs" dxfId="5568" priority="10111" operator="equal">
      <formula>"Cost of Sales"</formula>
    </cfRule>
    <cfRule type="cellIs" dxfId="5567" priority="10112" operator="equal">
      <formula>"Payroll"</formula>
    </cfRule>
    <cfRule type="cellIs" dxfId="5566" priority="10113" operator="equal">
      <formula>"Investment"</formula>
    </cfRule>
    <cfRule type="cellIs" dxfId="5565" priority="10114" operator="equal">
      <formula>"Sunk"</formula>
    </cfRule>
    <cfRule type="cellIs" dxfId="5564" priority="10115" operator="equal">
      <formula>"OpEx"</formula>
    </cfRule>
    <cfRule type="cellIs" dxfId="5563" priority="10116" operator="equal">
      <formula>"CapEx"</formula>
    </cfRule>
  </conditionalFormatting>
  <conditionalFormatting sqref="F443">
    <cfRule type="dataBar" priority="10084">
      <dataBar>
        <cfvo type="min"/>
        <cfvo type="max"/>
        <color rgb="FF638EC6"/>
      </dataBar>
    </cfRule>
    <cfRule type="colorScale" priority="10085">
      <colorScale>
        <cfvo type="min"/>
        <cfvo type="percentile" val="50"/>
        <cfvo type="max"/>
        <color rgb="FFF8696B"/>
        <color rgb="FFFFEB84"/>
        <color rgb="FF63BE7B"/>
      </colorScale>
    </cfRule>
    <cfRule type="cellIs" dxfId="5562" priority="10086" operator="equal">
      <formula>"Tax"</formula>
    </cfRule>
    <cfRule type="cellIs" dxfId="5561" priority="10087" operator="equal">
      <formula>"Income"</formula>
    </cfRule>
    <cfRule type="cellIs" dxfId="5560" priority="10088" operator="equal">
      <formula>"Cost of Sales"</formula>
    </cfRule>
    <cfRule type="cellIs" dxfId="5559" priority="10089" operator="equal">
      <formula>"Payroll"</formula>
    </cfRule>
    <cfRule type="cellIs" dxfId="5558" priority="10090" operator="equal">
      <formula>"Investment"</formula>
    </cfRule>
    <cfRule type="cellIs" dxfId="5557" priority="10091" operator="equal">
      <formula>"Sunk"</formula>
    </cfRule>
    <cfRule type="cellIs" dxfId="5556" priority="10092" operator="equal">
      <formula>"OpEx"</formula>
    </cfRule>
    <cfRule type="cellIs" dxfId="5555" priority="10093" operator="equal">
      <formula>"CapEx"</formula>
    </cfRule>
    <cfRule type="dataBar" priority="10094">
      <dataBar>
        <cfvo type="min"/>
        <cfvo type="max"/>
        <color rgb="FF638EC6"/>
      </dataBar>
    </cfRule>
    <cfRule type="colorScale" priority="10095">
      <colorScale>
        <cfvo type="min"/>
        <cfvo type="percentile" val="50"/>
        <cfvo type="max"/>
        <color rgb="FFF8696B"/>
        <color rgb="FFFFEB84"/>
        <color rgb="FF63BE7B"/>
      </colorScale>
    </cfRule>
    <cfRule type="cellIs" dxfId="5554" priority="10096" operator="equal">
      <formula>"Tax"</formula>
    </cfRule>
  </conditionalFormatting>
  <conditionalFormatting sqref="F443:F444">
    <cfRule type="cellIs" dxfId="5553" priority="10074" operator="equal">
      <formula>"Income"</formula>
    </cfRule>
    <cfRule type="cellIs" dxfId="5552" priority="10075" operator="equal">
      <formula>"Cost of Sales"</formula>
    </cfRule>
    <cfRule type="cellIs" dxfId="5551" priority="10076" operator="equal">
      <formula>"Payroll"</formula>
    </cfRule>
    <cfRule type="cellIs" dxfId="5550" priority="10077" operator="equal">
      <formula>"Investment"</formula>
    </cfRule>
    <cfRule type="cellIs" dxfId="5549" priority="10078" operator="equal">
      <formula>"Sunk"</formula>
    </cfRule>
    <cfRule type="cellIs" dxfId="5548" priority="10079" operator="equal">
      <formula>"OpEx"</formula>
    </cfRule>
    <cfRule type="cellIs" dxfId="5547" priority="10080" operator="equal">
      <formula>"CapEx"</formula>
    </cfRule>
  </conditionalFormatting>
  <conditionalFormatting sqref="F444">
    <cfRule type="dataBar" priority="10071">
      <dataBar>
        <cfvo type="min"/>
        <cfvo type="max"/>
        <color rgb="FF638EC6"/>
      </dataBar>
    </cfRule>
    <cfRule type="colorScale" priority="10072">
      <colorScale>
        <cfvo type="min"/>
        <cfvo type="percentile" val="50"/>
        <cfvo type="max"/>
        <color rgb="FFF8696B"/>
        <color rgb="FFFFEB84"/>
        <color rgb="FF63BE7B"/>
      </colorScale>
    </cfRule>
    <cfRule type="cellIs" dxfId="5546" priority="10073" operator="equal">
      <formula>"Tax"</formula>
    </cfRule>
    <cfRule type="dataBar" priority="10081">
      <dataBar>
        <cfvo type="min"/>
        <cfvo type="max"/>
        <color rgb="FF638EC6"/>
      </dataBar>
    </cfRule>
    <cfRule type="colorScale" priority="10082">
      <colorScale>
        <cfvo type="min"/>
        <cfvo type="percentile" val="50"/>
        <cfvo type="max"/>
        <color rgb="FFF8696B"/>
        <color rgb="FFFFEB84"/>
        <color rgb="FF63BE7B"/>
      </colorScale>
    </cfRule>
    <cfRule type="cellIs" dxfId="5545" priority="10083" operator="equal">
      <formula>"Tax"</formula>
    </cfRule>
  </conditionalFormatting>
  <conditionalFormatting sqref="F444:F445">
    <cfRule type="cellIs" dxfId="5544" priority="10054" operator="equal">
      <formula>"Cost of Sales"</formula>
    </cfRule>
    <cfRule type="cellIs" dxfId="5543" priority="10055" operator="equal">
      <formula>"Payroll"</formula>
    </cfRule>
    <cfRule type="cellIs" dxfId="5542" priority="10056" operator="equal">
      <formula>"Investment"</formula>
    </cfRule>
    <cfRule type="cellIs" dxfId="5541" priority="10057" operator="equal">
      <formula>"Sunk"</formula>
    </cfRule>
    <cfRule type="cellIs" dxfId="5540" priority="10058" operator="equal">
      <formula>"OpEx"</formula>
    </cfRule>
    <cfRule type="cellIs" dxfId="5539" priority="10059" operator="equal">
      <formula>"CapEx"</formula>
    </cfRule>
  </conditionalFormatting>
  <conditionalFormatting sqref="F444:F447">
    <cfRule type="cellIs" dxfId="5538" priority="9983" operator="equal">
      <formula>"Income"</formula>
    </cfRule>
  </conditionalFormatting>
  <conditionalFormatting sqref="F445">
    <cfRule type="dataBar" priority="10051">
      <dataBar>
        <cfvo type="min"/>
        <cfvo type="max"/>
        <color rgb="FF638EC6"/>
      </dataBar>
    </cfRule>
    <cfRule type="colorScale" priority="10052">
      <colorScale>
        <cfvo type="min"/>
        <cfvo type="percentile" val="50"/>
        <cfvo type="max"/>
        <color rgb="FFF8696B"/>
        <color rgb="FFFFEB84"/>
        <color rgb="FF63BE7B"/>
      </colorScale>
    </cfRule>
    <cfRule type="cellIs" dxfId="5537" priority="10053" operator="equal">
      <formula>"Tax"</formula>
    </cfRule>
  </conditionalFormatting>
  <conditionalFormatting sqref="F446">
    <cfRule type="dataBar" priority="9997">
      <dataBar>
        <cfvo type="min"/>
        <cfvo type="max"/>
        <color rgb="FF638EC6"/>
      </dataBar>
    </cfRule>
    <cfRule type="colorScale" priority="9998">
      <colorScale>
        <cfvo type="min"/>
        <cfvo type="percentile" val="50"/>
        <cfvo type="max"/>
        <color rgb="FFF8696B"/>
        <color rgb="FFFFEB84"/>
        <color rgb="FF63BE7B"/>
      </colorScale>
    </cfRule>
    <cfRule type="cellIs" dxfId="5536" priority="9999" operator="equal">
      <formula>"Tax"</formula>
    </cfRule>
  </conditionalFormatting>
  <conditionalFormatting sqref="F446:F447">
    <cfRule type="cellIs" dxfId="5535" priority="9984" operator="equal">
      <formula>"Cost of Sales"</formula>
    </cfRule>
    <cfRule type="cellIs" dxfId="5534" priority="9985" operator="equal">
      <formula>"Payroll"</formula>
    </cfRule>
    <cfRule type="cellIs" dxfId="5533" priority="9986" operator="equal">
      <formula>"Investment"</formula>
    </cfRule>
    <cfRule type="cellIs" dxfId="5532" priority="9987" operator="equal">
      <formula>"Sunk"</formula>
    </cfRule>
    <cfRule type="cellIs" dxfId="5531" priority="9988" operator="equal">
      <formula>"OpEx"</formula>
    </cfRule>
    <cfRule type="cellIs" dxfId="5530" priority="9989" operator="equal">
      <formula>"CapEx"</formula>
    </cfRule>
  </conditionalFormatting>
  <conditionalFormatting sqref="F447">
    <cfRule type="dataBar" priority="9980">
      <dataBar>
        <cfvo type="min"/>
        <cfvo type="max"/>
        <color rgb="FF638EC6"/>
      </dataBar>
    </cfRule>
    <cfRule type="colorScale" priority="9981">
      <colorScale>
        <cfvo type="min"/>
        <cfvo type="percentile" val="50"/>
        <cfvo type="max"/>
        <color rgb="FFF8696B"/>
        <color rgb="FFFFEB84"/>
        <color rgb="FF63BE7B"/>
      </colorScale>
    </cfRule>
    <cfRule type="cellIs" dxfId="5529" priority="9982" operator="equal">
      <formula>"Tax"</formula>
    </cfRule>
    <cfRule type="dataBar" priority="9990">
      <dataBar>
        <cfvo type="min"/>
        <cfvo type="max"/>
        <color rgb="FF638EC6"/>
      </dataBar>
    </cfRule>
    <cfRule type="colorScale" priority="9991">
      <colorScale>
        <cfvo type="min"/>
        <cfvo type="percentile" val="50"/>
        <cfvo type="max"/>
        <color rgb="FFF8696B"/>
        <color rgb="FFFFEB84"/>
        <color rgb="FF63BE7B"/>
      </colorScale>
    </cfRule>
    <cfRule type="cellIs" dxfId="5528" priority="9992" operator="equal">
      <formula>"Tax"</formula>
    </cfRule>
  </conditionalFormatting>
  <conditionalFormatting sqref="F447:F448">
    <cfRule type="cellIs" dxfId="5527" priority="9953" operator="equal">
      <formula>"Income"</formula>
    </cfRule>
    <cfRule type="cellIs" dxfId="5526" priority="9954" operator="equal">
      <formula>"Cost of Sales"</formula>
    </cfRule>
    <cfRule type="cellIs" dxfId="5525" priority="9955" operator="equal">
      <formula>"Payroll"</formula>
    </cfRule>
    <cfRule type="cellIs" dxfId="5524" priority="9956" operator="equal">
      <formula>"Investment"</formula>
    </cfRule>
    <cfRule type="cellIs" dxfId="5523" priority="9957" operator="equal">
      <formula>"Sunk"</formula>
    </cfRule>
    <cfRule type="cellIs" dxfId="5522" priority="9958" operator="equal">
      <formula>"OpEx"</formula>
    </cfRule>
    <cfRule type="cellIs" dxfId="5521" priority="9959" operator="equal">
      <formula>"CapEx"</formula>
    </cfRule>
  </conditionalFormatting>
  <conditionalFormatting sqref="F448">
    <cfRule type="dataBar" priority="9950">
      <dataBar>
        <cfvo type="min"/>
        <cfvo type="max"/>
        <color rgb="FF638EC6"/>
      </dataBar>
    </cfRule>
    <cfRule type="colorScale" priority="9951">
      <colorScale>
        <cfvo type="min"/>
        <cfvo type="percentile" val="50"/>
        <cfvo type="max"/>
        <color rgb="FFF8696B"/>
        <color rgb="FFFFEB84"/>
        <color rgb="FF63BE7B"/>
      </colorScale>
    </cfRule>
    <cfRule type="cellIs" dxfId="5520" priority="9952" operator="equal">
      <formula>"Tax"</formula>
    </cfRule>
  </conditionalFormatting>
  <conditionalFormatting sqref="F449">
    <cfRule type="dataBar" priority="9936">
      <dataBar>
        <cfvo type="min"/>
        <cfvo type="max"/>
        <color rgb="FF638EC6"/>
      </dataBar>
    </cfRule>
    <cfRule type="colorScale" priority="9937">
      <colorScale>
        <cfvo type="min"/>
        <cfvo type="percentile" val="50"/>
        <cfvo type="max"/>
        <color rgb="FFF8696B"/>
        <color rgb="FFFFEB84"/>
        <color rgb="FF63BE7B"/>
      </colorScale>
    </cfRule>
    <cfRule type="cellIs" dxfId="5519" priority="9938" operator="equal">
      <formula>"Tax"</formula>
    </cfRule>
  </conditionalFormatting>
  <conditionalFormatting sqref="F449:F450">
    <cfRule type="cellIs" dxfId="5518" priority="9911" operator="equal">
      <formula>"Income"</formula>
    </cfRule>
    <cfRule type="cellIs" dxfId="5517" priority="9912" operator="equal">
      <formula>"Cost of Sales"</formula>
    </cfRule>
    <cfRule type="cellIs" dxfId="5516" priority="9913" operator="equal">
      <formula>"Payroll"</formula>
    </cfRule>
    <cfRule type="cellIs" dxfId="5515" priority="9914" operator="equal">
      <formula>"Investment"</formula>
    </cfRule>
    <cfRule type="cellIs" dxfId="5514" priority="9915" operator="equal">
      <formula>"Sunk"</formula>
    </cfRule>
    <cfRule type="cellIs" dxfId="5513" priority="9916" operator="equal">
      <formula>"OpEx"</formula>
    </cfRule>
    <cfRule type="cellIs" dxfId="5512" priority="9917" operator="equal">
      <formula>"CapEx"</formula>
    </cfRule>
  </conditionalFormatting>
  <conditionalFormatting sqref="F450">
    <cfRule type="dataBar" priority="9908">
      <dataBar>
        <cfvo type="min"/>
        <cfvo type="max"/>
        <color rgb="FF638EC6"/>
      </dataBar>
    </cfRule>
    <cfRule type="colorScale" priority="9909">
      <colorScale>
        <cfvo type="min"/>
        <cfvo type="percentile" val="50"/>
        <cfvo type="max"/>
        <color rgb="FFF8696B"/>
        <color rgb="FFFFEB84"/>
        <color rgb="FF63BE7B"/>
      </colorScale>
    </cfRule>
    <cfRule type="cellIs" dxfId="5511" priority="9910" operator="equal">
      <formula>"Tax"</formula>
    </cfRule>
  </conditionalFormatting>
  <conditionalFormatting sqref="F451">
    <cfRule type="dataBar" priority="9888">
      <dataBar>
        <cfvo type="min"/>
        <cfvo type="max"/>
        <color rgb="FF638EC6"/>
      </dataBar>
    </cfRule>
    <cfRule type="colorScale" priority="9889">
      <colorScale>
        <cfvo type="min"/>
        <cfvo type="percentile" val="50"/>
        <cfvo type="max"/>
        <color rgb="FFF8696B"/>
        <color rgb="FFFFEB84"/>
        <color rgb="FF63BE7B"/>
      </colorScale>
    </cfRule>
    <cfRule type="cellIs" dxfId="5510" priority="9890" operator="equal">
      <formula>"Tax"</formula>
    </cfRule>
    <cfRule type="cellIs" dxfId="5509" priority="9891" operator="equal">
      <formula>"Income"</formula>
    </cfRule>
    <cfRule type="cellIs" dxfId="5508" priority="9892" operator="equal">
      <formula>"Cost of Sales"</formula>
    </cfRule>
    <cfRule type="cellIs" dxfId="5507" priority="9893" operator="equal">
      <formula>"Payroll"</formula>
    </cfRule>
    <cfRule type="cellIs" dxfId="5506" priority="9894" operator="equal">
      <formula>"Investment"</formula>
    </cfRule>
    <cfRule type="cellIs" dxfId="5505" priority="9895" operator="equal">
      <formula>"Sunk"</formula>
    </cfRule>
    <cfRule type="cellIs" dxfId="5504" priority="9896" operator="equal">
      <formula>"OpEx"</formula>
    </cfRule>
    <cfRule type="cellIs" dxfId="5503" priority="9897" operator="equal">
      <formula>"CapEx"</formula>
    </cfRule>
    <cfRule type="dataBar" priority="9898">
      <dataBar>
        <cfvo type="min"/>
        <cfvo type="max"/>
        <color rgb="FF638EC6"/>
      </dataBar>
    </cfRule>
    <cfRule type="colorScale" priority="9899">
      <colorScale>
        <cfvo type="min"/>
        <cfvo type="percentile" val="50"/>
        <cfvo type="max"/>
        <color rgb="FFF8696B"/>
        <color rgb="FFFFEB84"/>
        <color rgb="FF63BE7B"/>
      </colorScale>
    </cfRule>
    <cfRule type="cellIs" dxfId="5502" priority="9900" operator="equal">
      <formula>"Tax"</formula>
    </cfRule>
  </conditionalFormatting>
  <conditionalFormatting sqref="F451:F455">
    <cfRule type="cellIs" dxfId="5501" priority="9852" operator="equal">
      <formula>"Cost of Sales"</formula>
    </cfRule>
    <cfRule type="cellIs" dxfId="5500" priority="9853" operator="equal">
      <formula>"Payroll"</formula>
    </cfRule>
    <cfRule type="cellIs" dxfId="5499" priority="9854" operator="equal">
      <formula>"Investment"</formula>
    </cfRule>
    <cfRule type="cellIs" dxfId="5498" priority="9855" operator="equal">
      <formula>"Sunk"</formula>
    </cfRule>
    <cfRule type="cellIs" dxfId="5497" priority="9856" operator="equal">
      <formula>"OpEx"</formula>
    </cfRule>
    <cfRule type="cellIs" dxfId="5496" priority="9857" operator="equal">
      <formula>"CapEx"</formula>
    </cfRule>
    <cfRule type="cellIs" dxfId="5495" priority="9870" operator="equal">
      <formula>"Income"</formula>
    </cfRule>
  </conditionalFormatting>
  <conditionalFormatting sqref="F452">
    <cfRule type="dataBar" priority="9861">
      <dataBar>
        <cfvo type="min"/>
        <cfvo type="max"/>
        <color rgb="FF638EC6"/>
      </dataBar>
    </cfRule>
    <cfRule type="colorScale" priority="9862">
      <colorScale>
        <cfvo type="min"/>
        <cfvo type="percentile" val="50"/>
        <cfvo type="max"/>
        <color rgb="FFF8696B"/>
        <color rgb="FFFFEB84"/>
        <color rgb="FF63BE7B"/>
      </colorScale>
    </cfRule>
    <cfRule type="cellIs" dxfId="5494" priority="9863" operator="equal">
      <formula>"Tax"</formula>
    </cfRule>
  </conditionalFormatting>
  <conditionalFormatting sqref="F453">
    <cfRule type="dataBar" priority="9864">
      <dataBar>
        <cfvo type="min"/>
        <cfvo type="max"/>
        <color rgb="FF638EC6"/>
      </dataBar>
    </cfRule>
    <cfRule type="colorScale" priority="9865">
      <colorScale>
        <cfvo type="min"/>
        <cfvo type="percentile" val="50"/>
        <cfvo type="max"/>
        <color rgb="FFF8696B"/>
        <color rgb="FFFFEB84"/>
        <color rgb="FF63BE7B"/>
      </colorScale>
    </cfRule>
    <cfRule type="cellIs" dxfId="5493" priority="9866" operator="equal">
      <formula>"Tax"</formula>
    </cfRule>
  </conditionalFormatting>
  <conditionalFormatting sqref="F454">
    <cfRule type="cellIs" dxfId="5492" priority="9842" operator="equal">
      <formula>"Income"</formula>
    </cfRule>
    <cfRule type="cellIs" dxfId="5491" priority="9843" operator="equal">
      <formula>"Cost of Sales"</formula>
    </cfRule>
    <cfRule type="cellIs" dxfId="5490" priority="9844" operator="equal">
      <formula>"Payroll"</formula>
    </cfRule>
    <cfRule type="cellIs" dxfId="5489" priority="9845" operator="equal">
      <formula>"Investment"</formula>
    </cfRule>
    <cfRule type="cellIs" dxfId="5488" priority="9846" operator="equal">
      <formula>"Sunk"</formula>
    </cfRule>
    <cfRule type="cellIs" dxfId="5487" priority="9847" operator="equal">
      <formula>"OpEx"</formula>
    </cfRule>
    <cfRule type="cellIs" dxfId="5486" priority="9848" operator="equal">
      <formula>"CapEx"</formula>
    </cfRule>
    <cfRule type="dataBar" priority="9849">
      <dataBar>
        <cfvo type="min"/>
        <cfvo type="max"/>
        <color rgb="FF638EC6"/>
      </dataBar>
    </cfRule>
    <cfRule type="colorScale" priority="9850">
      <colorScale>
        <cfvo type="min"/>
        <cfvo type="percentile" val="50"/>
        <cfvo type="max"/>
        <color rgb="FFF8696B"/>
        <color rgb="FFFFEB84"/>
        <color rgb="FF63BE7B"/>
      </colorScale>
    </cfRule>
    <cfRule type="cellIs" dxfId="5485" priority="9851" operator="equal">
      <formula>"Tax"</formula>
    </cfRule>
    <cfRule type="dataBar" priority="9858">
      <dataBar>
        <cfvo type="min"/>
        <cfvo type="max"/>
        <color rgb="FF638EC6"/>
      </dataBar>
    </cfRule>
    <cfRule type="colorScale" priority="9859">
      <colorScale>
        <cfvo type="min"/>
        <cfvo type="percentile" val="50"/>
        <cfvo type="max"/>
        <color rgb="FFF8696B"/>
        <color rgb="FFFFEB84"/>
        <color rgb="FF63BE7B"/>
      </colorScale>
    </cfRule>
    <cfRule type="cellIs" dxfId="5484" priority="9860" operator="equal">
      <formula>"Tax"</formula>
    </cfRule>
  </conditionalFormatting>
  <conditionalFormatting sqref="F455">
    <cfRule type="dataBar" priority="9867">
      <dataBar>
        <cfvo type="min"/>
        <cfvo type="max"/>
        <color rgb="FF638EC6"/>
      </dataBar>
    </cfRule>
    <cfRule type="colorScale" priority="9868">
      <colorScale>
        <cfvo type="min"/>
        <cfvo type="percentile" val="50"/>
        <cfvo type="max"/>
        <color rgb="FFF8696B"/>
        <color rgb="FFFFEB84"/>
        <color rgb="FF63BE7B"/>
      </colorScale>
    </cfRule>
    <cfRule type="cellIs" dxfId="5483" priority="9869" operator="equal">
      <formula>"Tax"</formula>
    </cfRule>
  </conditionalFormatting>
  <conditionalFormatting sqref="F456">
    <cfRule type="dataBar" priority="9839">
      <dataBar>
        <cfvo type="min"/>
        <cfvo type="max"/>
        <color rgb="FF638EC6"/>
      </dataBar>
    </cfRule>
    <cfRule type="colorScale" priority="9840">
      <colorScale>
        <cfvo type="min"/>
        <cfvo type="percentile" val="50"/>
        <cfvo type="max"/>
        <color rgb="FFF8696B"/>
        <color rgb="FFFFEB84"/>
        <color rgb="FF63BE7B"/>
      </colorScale>
    </cfRule>
    <cfRule type="cellIs" dxfId="5482" priority="9841" operator="equal">
      <formula>"Tax"</formula>
    </cfRule>
  </conditionalFormatting>
  <conditionalFormatting sqref="F456:F458">
    <cfRule type="cellIs" dxfId="5481" priority="9826" operator="equal">
      <formula>"Income"</formula>
    </cfRule>
    <cfRule type="cellIs" dxfId="5480" priority="9827" operator="equal">
      <formula>"Cost of Sales"</formula>
    </cfRule>
    <cfRule type="cellIs" dxfId="5479" priority="9828" operator="equal">
      <formula>"Payroll"</formula>
    </cfRule>
    <cfRule type="cellIs" dxfId="5478" priority="9829" operator="equal">
      <formula>"Investment"</formula>
    </cfRule>
    <cfRule type="cellIs" dxfId="5477" priority="9830" operator="equal">
      <formula>"Sunk"</formula>
    </cfRule>
    <cfRule type="cellIs" dxfId="5476" priority="9831" operator="equal">
      <formula>"OpEx"</formula>
    </cfRule>
    <cfRule type="cellIs" dxfId="5475" priority="9832" operator="equal">
      <formula>"CapEx"</formula>
    </cfRule>
  </conditionalFormatting>
  <conditionalFormatting sqref="F457">
    <cfRule type="dataBar" priority="9836">
      <dataBar>
        <cfvo type="min"/>
        <cfvo type="max"/>
        <color rgb="FF638EC6"/>
      </dataBar>
    </cfRule>
    <cfRule type="colorScale" priority="9837">
      <colorScale>
        <cfvo type="min"/>
        <cfvo type="percentile" val="50"/>
        <cfvo type="max"/>
        <color rgb="FFF8696B"/>
        <color rgb="FFFFEB84"/>
        <color rgb="FF63BE7B"/>
      </colorScale>
    </cfRule>
    <cfRule type="cellIs" dxfId="5474" priority="9838" operator="equal">
      <formula>"Tax"</formula>
    </cfRule>
  </conditionalFormatting>
  <conditionalFormatting sqref="F458">
    <cfRule type="dataBar" priority="9833">
      <dataBar>
        <cfvo type="min"/>
        <cfvo type="max"/>
        <color rgb="FF638EC6"/>
      </dataBar>
    </cfRule>
    <cfRule type="colorScale" priority="9834">
      <colorScale>
        <cfvo type="min"/>
        <cfvo type="percentile" val="50"/>
        <cfvo type="max"/>
        <color rgb="FFF8696B"/>
        <color rgb="FFFFEB84"/>
        <color rgb="FF63BE7B"/>
      </colorScale>
    </cfRule>
    <cfRule type="cellIs" dxfId="5473" priority="9835" operator="equal">
      <formula>"Tax"</formula>
    </cfRule>
  </conditionalFormatting>
  <conditionalFormatting sqref="F459 F510 F512 F520 F535 F559 F566 F575 F584 F591 F593:F594">
    <cfRule type="cellIs" dxfId="5472" priority="192901" operator="equal">
      <formula>"Cost of Sales"</formula>
    </cfRule>
    <cfRule type="cellIs" dxfId="5471" priority="192902" operator="equal">
      <formula>"Payroll"</formula>
    </cfRule>
    <cfRule type="cellIs" dxfId="5470" priority="192903" operator="equal">
      <formula>"Investment"</formula>
    </cfRule>
    <cfRule type="cellIs" dxfId="5469" priority="192904" operator="equal">
      <formula>"Sunk"</formula>
    </cfRule>
    <cfRule type="cellIs" dxfId="5468" priority="192905" operator="equal">
      <formula>"OpEx"</formula>
    </cfRule>
    <cfRule type="cellIs" dxfId="5467" priority="192906" operator="equal">
      <formula>"CapEx"</formula>
    </cfRule>
    <cfRule type="cellIs" dxfId="5466" priority="192907" operator="equal">
      <formula>"Income"</formula>
    </cfRule>
  </conditionalFormatting>
  <conditionalFormatting sqref="F459:F460">
    <cfRule type="cellIs" dxfId="5465" priority="9796" operator="equal">
      <formula>"Tax"</formula>
    </cfRule>
  </conditionalFormatting>
  <conditionalFormatting sqref="F460">
    <cfRule type="dataBar" priority="9794">
      <dataBar>
        <cfvo type="min"/>
        <cfvo type="max"/>
        <color rgb="FF638EC6"/>
      </dataBar>
    </cfRule>
    <cfRule type="colorScale" priority="9795">
      <colorScale>
        <cfvo type="min"/>
        <cfvo type="percentile" val="50"/>
        <cfvo type="max"/>
        <color rgb="FFF8696B"/>
        <color rgb="FFFFEB84"/>
        <color rgb="FF63BE7B"/>
      </colorScale>
    </cfRule>
  </conditionalFormatting>
  <conditionalFormatting sqref="F460:F461">
    <cfRule type="cellIs" dxfId="5464" priority="9787" operator="equal">
      <formula>"Cost of Sales"</formula>
    </cfRule>
    <cfRule type="cellIs" dxfId="5463" priority="9788" operator="equal">
      <formula>"Payroll"</formula>
    </cfRule>
    <cfRule type="cellIs" dxfId="5462" priority="9789" operator="equal">
      <formula>"Investment"</formula>
    </cfRule>
    <cfRule type="cellIs" dxfId="5461" priority="9790" operator="equal">
      <formula>"Sunk"</formula>
    </cfRule>
    <cfRule type="cellIs" dxfId="5460" priority="9791" operator="equal">
      <formula>"OpEx"</formula>
    </cfRule>
    <cfRule type="cellIs" dxfId="5459" priority="9792" operator="equal">
      <formula>"CapEx"</formula>
    </cfRule>
    <cfRule type="cellIs" dxfId="5458" priority="9793" operator="equal">
      <formula>"Income"</formula>
    </cfRule>
  </conditionalFormatting>
  <conditionalFormatting sqref="F461">
    <cfRule type="dataBar" priority="9781">
      <dataBar>
        <cfvo type="min"/>
        <cfvo type="max"/>
        <color rgb="FF638EC6"/>
      </dataBar>
    </cfRule>
    <cfRule type="colorScale" priority="9782">
      <colorScale>
        <cfvo type="min"/>
        <cfvo type="percentile" val="50"/>
        <cfvo type="max"/>
        <color rgb="FFF8696B"/>
        <color rgb="FFFFEB84"/>
        <color rgb="FF63BE7B"/>
      </colorScale>
    </cfRule>
    <cfRule type="cellIs" dxfId="5457" priority="9783" operator="equal">
      <formula>"Tax"</formula>
    </cfRule>
    <cfRule type="dataBar" priority="9784">
      <dataBar>
        <cfvo type="min"/>
        <cfvo type="max"/>
        <color rgb="FF638EC6"/>
      </dataBar>
    </cfRule>
    <cfRule type="colorScale" priority="9785">
      <colorScale>
        <cfvo type="min"/>
        <cfvo type="percentile" val="50"/>
        <cfvo type="max"/>
        <color rgb="FFF8696B"/>
        <color rgb="FFFFEB84"/>
        <color rgb="FF63BE7B"/>
      </colorScale>
    </cfRule>
    <cfRule type="cellIs" dxfId="5456" priority="9786" operator="equal">
      <formula>"Tax"</formula>
    </cfRule>
  </conditionalFormatting>
  <conditionalFormatting sqref="F461:F462">
    <cfRule type="cellIs" dxfId="5455" priority="9774" operator="equal">
      <formula>"Income"</formula>
    </cfRule>
    <cfRule type="cellIs" dxfId="5454" priority="9775" operator="equal">
      <formula>"Cost of Sales"</formula>
    </cfRule>
    <cfRule type="cellIs" dxfId="5453" priority="9776" operator="equal">
      <formula>"Payroll"</formula>
    </cfRule>
    <cfRule type="cellIs" dxfId="5452" priority="9777" operator="equal">
      <formula>"Investment"</formula>
    </cfRule>
    <cfRule type="cellIs" dxfId="5451" priority="9778" operator="equal">
      <formula>"Sunk"</formula>
    </cfRule>
    <cfRule type="cellIs" dxfId="5450" priority="9779" operator="equal">
      <formula>"OpEx"</formula>
    </cfRule>
    <cfRule type="cellIs" dxfId="5449" priority="9780" operator="equal">
      <formula>"CapEx"</formula>
    </cfRule>
  </conditionalFormatting>
  <conditionalFormatting sqref="F462">
    <cfRule type="dataBar" priority="9771">
      <dataBar>
        <cfvo type="min"/>
        <cfvo type="max"/>
        <color rgb="FF638EC6"/>
      </dataBar>
    </cfRule>
    <cfRule type="colorScale" priority="9772">
      <colorScale>
        <cfvo type="min"/>
        <cfvo type="percentile" val="50"/>
        <cfvo type="max"/>
        <color rgb="FFF8696B"/>
        <color rgb="FFFFEB84"/>
        <color rgb="FF63BE7B"/>
      </colorScale>
    </cfRule>
    <cfRule type="cellIs" dxfId="5448" priority="9773" operator="equal">
      <formula>"Tax"</formula>
    </cfRule>
  </conditionalFormatting>
  <conditionalFormatting sqref="F463">
    <cfRule type="dataBar" priority="9768">
      <dataBar>
        <cfvo type="min"/>
        <cfvo type="max"/>
        <color rgb="FF638EC6"/>
      </dataBar>
    </cfRule>
    <cfRule type="colorScale" priority="9769">
      <colorScale>
        <cfvo type="min"/>
        <cfvo type="percentile" val="50"/>
        <cfvo type="max"/>
        <color rgb="FFF8696B"/>
        <color rgb="FFFFEB84"/>
        <color rgb="FF63BE7B"/>
      </colorScale>
    </cfRule>
    <cfRule type="cellIs" dxfId="5447" priority="9770" operator="equal">
      <formula>"Tax"</formula>
    </cfRule>
  </conditionalFormatting>
  <conditionalFormatting sqref="F463:F464">
    <cfRule type="cellIs" dxfId="5446" priority="9761" operator="equal">
      <formula>"Cost of Sales"</formula>
    </cfRule>
    <cfRule type="cellIs" dxfId="5445" priority="9762" operator="equal">
      <formula>"Payroll"</formula>
    </cfRule>
    <cfRule type="cellIs" dxfId="5444" priority="9763" operator="equal">
      <formula>"Investment"</formula>
    </cfRule>
    <cfRule type="cellIs" dxfId="5443" priority="9764" operator="equal">
      <formula>"Sunk"</formula>
    </cfRule>
    <cfRule type="cellIs" dxfId="5442" priority="9765" operator="equal">
      <formula>"OpEx"</formula>
    </cfRule>
    <cfRule type="cellIs" dxfId="5441" priority="9766" operator="equal">
      <formula>"CapEx"</formula>
    </cfRule>
    <cfRule type="cellIs" dxfId="5440" priority="9767" operator="equal">
      <formula>"Income"</formula>
    </cfRule>
  </conditionalFormatting>
  <conditionalFormatting sqref="F464">
    <cfRule type="dataBar" priority="9758">
      <dataBar>
        <cfvo type="min"/>
        <cfvo type="max"/>
        <color rgb="FF638EC6"/>
      </dataBar>
    </cfRule>
    <cfRule type="colorScale" priority="9759">
      <colorScale>
        <cfvo type="min"/>
        <cfvo type="percentile" val="50"/>
        <cfvo type="max"/>
        <color rgb="FFF8696B"/>
        <color rgb="FFFFEB84"/>
        <color rgb="FF63BE7B"/>
      </colorScale>
    </cfRule>
    <cfRule type="cellIs" dxfId="5439" priority="9760" operator="equal">
      <formula>"Tax"</formula>
    </cfRule>
  </conditionalFormatting>
  <conditionalFormatting sqref="F465">
    <cfRule type="dataBar" priority="9745">
      <dataBar>
        <cfvo type="min"/>
        <cfvo type="max"/>
        <color rgb="FF638EC6"/>
      </dataBar>
    </cfRule>
    <cfRule type="colorScale" priority="9746">
      <colorScale>
        <cfvo type="min"/>
        <cfvo type="percentile" val="50"/>
        <cfvo type="max"/>
        <color rgb="FFF8696B"/>
        <color rgb="FFFFEB84"/>
        <color rgb="FF63BE7B"/>
      </colorScale>
    </cfRule>
    <cfRule type="cellIs" dxfId="5438" priority="9747" operator="equal">
      <formula>"Tax"</formula>
    </cfRule>
    <cfRule type="dataBar" priority="9748">
      <dataBar>
        <cfvo type="min"/>
        <cfvo type="max"/>
        <color rgb="FF638EC6"/>
      </dataBar>
    </cfRule>
    <cfRule type="colorScale" priority="9749">
      <colorScale>
        <cfvo type="min"/>
        <cfvo type="percentile" val="50"/>
        <cfvo type="max"/>
        <color rgb="FFF8696B"/>
        <color rgb="FFFFEB84"/>
        <color rgb="FF63BE7B"/>
      </colorScale>
    </cfRule>
    <cfRule type="cellIs" dxfId="5437" priority="9750" operator="equal">
      <formula>"Tax"</formula>
    </cfRule>
    <cfRule type="cellIs" dxfId="5436" priority="9751" operator="equal">
      <formula>"Cost of Sales"</formula>
    </cfRule>
    <cfRule type="cellIs" dxfId="5435" priority="9752" operator="equal">
      <formula>"Payroll"</formula>
    </cfRule>
    <cfRule type="cellIs" dxfId="5434" priority="9753" operator="equal">
      <formula>"Investment"</formula>
    </cfRule>
    <cfRule type="cellIs" dxfId="5433" priority="9754" operator="equal">
      <formula>"Sunk"</formula>
    </cfRule>
    <cfRule type="cellIs" dxfId="5432" priority="9755" operator="equal">
      <formula>"OpEx"</formula>
    </cfRule>
    <cfRule type="cellIs" dxfId="5431" priority="9756" operator="equal">
      <formula>"CapEx"</formula>
    </cfRule>
    <cfRule type="cellIs" dxfId="5430" priority="9757" operator="equal">
      <formula>"Income"</formula>
    </cfRule>
  </conditionalFormatting>
  <conditionalFormatting sqref="F465:F467">
    <cfRule type="cellIs" dxfId="5429" priority="9738" operator="equal">
      <formula>"Income"</formula>
    </cfRule>
    <cfRule type="cellIs" dxfId="5428" priority="9739" operator="equal">
      <formula>"Cost of Sales"</formula>
    </cfRule>
    <cfRule type="cellIs" dxfId="5427" priority="9740" operator="equal">
      <formula>"Payroll"</formula>
    </cfRule>
    <cfRule type="cellIs" dxfId="5426" priority="9741" operator="equal">
      <formula>"Investment"</formula>
    </cfRule>
    <cfRule type="cellIs" dxfId="5425" priority="9742" operator="equal">
      <formula>"Sunk"</formula>
    </cfRule>
    <cfRule type="cellIs" dxfId="5424" priority="9743" operator="equal">
      <formula>"OpEx"</formula>
    </cfRule>
    <cfRule type="cellIs" dxfId="5423" priority="9744" operator="equal">
      <formula>"CapEx"</formula>
    </cfRule>
  </conditionalFormatting>
  <conditionalFormatting sqref="F466">
    <cfRule type="dataBar" priority="9735">
      <dataBar>
        <cfvo type="min"/>
        <cfvo type="max"/>
        <color rgb="FF638EC6"/>
      </dataBar>
    </cfRule>
    <cfRule type="colorScale" priority="9736">
      <colorScale>
        <cfvo type="min"/>
        <cfvo type="percentile" val="50"/>
        <cfvo type="max"/>
        <color rgb="FFF8696B"/>
        <color rgb="FFFFEB84"/>
        <color rgb="FF63BE7B"/>
      </colorScale>
    </cfRule>
    <cfRule type="cellIs" dxfId="5422" priority="9737" operator="equal">
      <formula>"Tax"</formula>
    </cfRule>
  </conditionalFormatting>
  <conditionalFormatting sqref="F467">
    <cfRule type="dataBar" priority="9732">
      <dataBar>
        <cfvo type="min"/>
        <cfvo type="max"/>
        <color rgb="FF638EC6"/>
      </dataBar>
    </cfRule>
    <cfRule type="colorScale" priority="9733">
      <colorScale>
        <cfvo type="min"/>
        <cfvo type="percentile" val="50"/>
        <cfvo type="max"/>
        <color rgb="FFF8696B"/>
        <color rgb="FFFFEB84"/>
        <color rgb="FF63BE7B"/>
      </colorScale>
    </cfRule>
    <cfRule type="cellIs" dxfId="5421" priority="9734" operator="equal">
      <formula>"Tax"</formula>
    </cfRule>
  </conditionalFormatting>
  <conditionalFormatting sqref="F468">
    <cfRule type="dataBar" priority="9722">
      <dataBar>
        <cfvo type="min"/>
        <cfvo type="max"/>
        <color rgb="FF638EC6"/>
      </dataBar>
    </cfRule>
    <cfRule type="colorScale" priority="9723">
      <colorScale>
        <cfvo type="min"/>
        <cfvo type="percentile" val="50"/>
        <cfvo type="max"/>
        <color rgb="FFF8696B"/>
        <color rgb="FFFFEB84"/>
        <color rgb="FF63BE7B"/>
      </colorScale>
    </cfRule>
    <cfRule type="cellIs" dxfId="5420" priority="9724" operator="equal">
      <formula>"Tax"</formula>
    </cfRule>
    <cfRule type="cellIs" dxfId="5419" priority="9725" operator="equal">
      <formula>"Income"</formula>
    </cfRule>
    <cfRule type="cellIs" dxfId="5418" priority="9726" operator="equal">
      <formula>"Cost of Sales"</formula>
    </cfRule>
    <cfRule type="cellIs" dxfId="5417" priority="9727" operator="equal">
      <formula>"Payroll"</formula>
    </cfRule>
    <cfRule type="cellIs" dxfId="5416" priority="9728" operator="equal">
      <formula>"Investment"</formula>
    </cfRule>
    <cfRule type="cellIs" dxfId="5415" priority="9729" operator="equal">
      <formula>"Sunk"</formula>
    </cfRule>
    <cfRule type="cellIs" dxfId="5414" priority="9730" operator="equal">
      <formula>"OpEx"</formula>
    </cfRule>
    <cfRule type="cellIs" dxfId="5413" priority="9731" operator="equal">
      <formula>"CapEx"</formula>
    </cfRule>
  </conditionalFormatting>
  <conditionalFormatting sqref="F469">
    <cfRule type="dataBar" priority="9712">
      <dataBar>
        <cfvo type="min"/>
        <cfvo type="max"/>
        <color rgb="FF638EC6"/>
      </dataBar>
    </cfRule>
    <cfRule type="colorScale" priority="9713">
      <colorScale>
        <cfvo type="min"/>
        <cfvo type="percentile" val="50"/>
        <cfvo type="max"/>
        <color rgb="FFF8696B"/>
        <color rgb="FFFFEB84"/>
        <color rgb="FF63BE7B"/>
      </colorScale>
    </cfRule>
    <cfRule type="cellIs" dxfId="5412" priority="9714" operator="equal">
      <formula>"Tax"</formula>
    </cfRule>
    <cfRule type="cellIs" dxfId="5411" priority="9715" operator="equal">
      <formula>"Income"</formula>
    </cfRule>
    <cfRule type="cellIs" dxfId="5410" priority="9716" operator="equal">
      <formula>"Cost of Sales"</formula>
    </cfRule>
    <cfRule type="cellIs" dxfId="5409" priority="9717" operator="equal">
      <formula>"Payroll"</formula>
    </cfRule>
    <cfRule type="cellIs" dxfId="5408" priority="9718" operator="equal">
      <formula>"Investment"</formula>
    </cfRule>
    <cfRule type="cellIs" dxfId="5407" priority="9719" operator="equal">
      <formula>"Sunk"</formula>
    </cfRule>
    <cfRule type="cellIs" dxfId="5406" priority="9720" operator="equal">
      <formula>"OpEx"</formula>
    </cfRule>
    <cfRule type="cellIs" dxfId="5405" priority="9721" operator="equal">
      <formula>"CapEx"</formula>
    </cfRule>
  </conditionalFormatting>
  <conditionalFormatting sqref="F470">
    <cfRule type="dataBar" priority="9709">
      <dataBar>
        <cfvo type="min"/>
        <cfvo type="max"/>
        <color rgb="FF638EC6"/>
      </dataBar>
    </cfRule>
    <cfRule type="colorScale" priority="9710">
      <colorScale>
        <cfvo type="min"/>
        <cfvo type="percentile" val="50"/>
        <cfvo type="max"/>
        <color rgb="FFF8696B"/>
        <color rgb="FFFFEB84"/>
        <color rgb="FF63BE7B"/>
      </colorScale>
    </cfRule>
    <cfRule type="cellIs" dxfId="5404" priority="9711" operator="equal">
      <formula>"Tax"</formula>
    </cfRule>
  </conditionalFormatting>
  <conditionalFormatting sqref="F470:F471">
    <cfRule type="cellIs" dxfId="5403" priority="9701" operator="equal">
      <formula>"Income"</formula>
    </cfRule>
    <cfRule type="cellIs" dxfId="5402" priority="9703" operator="equal">
      <formula>"Cost of Sales"</formula>
    </cfRule>
    <cfRule type="cellIs" dxfId="5401" priority="9704" operator="equal">
      <formula>"Payroll"</formula>
    </cfRule>
    <cfRule type="cellIs" dxfId="5400" priority="9705" operator="equal">
      <formula>"Investment"</formula>
    </cfRule>
    <cfRule type="cellIs" dxfId="5399" priority="9706" operator="equal">
      <formula>"Sunk"</formula>
    </cfRule>
    <cfRule type="cellIs" dxfId="5398" priority="9707" operator="equal">
      <formula>"OpEx"</formula>
    </cfRule>
    <cfRule type="cellIs" dxfId="5397" priority="9708" operator="equal">
      <formula>"CapEx"</formula>
    </cfRule>
  </conditionalFormatting>
  <conditionalFormatting sqref="F471">
    <cfRule type="dataBar" priority="9689">
      <dataBar>
        <cfvo type="min"/>
        <cfvo type="max"/>
        <color rgb="FF638EC6"/>
      </dataBar>
    </cfRule>
    <cfRule type="colorScale" priority="9690">
      <colorScale>
        <cfvo type="min"/>
        <cfvo type="percentile" val="50"/>
        <cfvo type="max"/>
        <color rgb="FFF8696B"/>
        <color rgb="FFFFEB84"/>
        <color rgb="FF63BE7B"/>
      </colorScale>
    </cfRule>
    <cfRule type="cellIs" dxfId="5396" priority="9691" operator="equal">
      <formula>"Tax"</formula>
    </cfRule>
    <cfRule type="cellIs" dxfId="5395" priority="9692" operator="equal">
      <formula>"Cost of Sales"</formula>
    </cfRule>
    <cfRule type="cellIs" dxfId="5394" priority="9693" operator="equal">
      <formula>"Payroll"</formula>
    </cfRule>
    <cfRule type="cellIs" dxfId="5393" priority="9694" operator="equal">
      <formula>"Investment"</formula>
    </cfRule>
    <cfRule type="cellIs" dxfId="5392" priority="9695" operator="equal">
      <formula>"Sunk"</formula>
    </cfRule>
    <cfRule type="cellIs" dxfId="5391" priority="9696" operator="equal">
      <formula>"OpEx"</formula>
    </cfRule>
    <cfRule type="cellIs" dxfId="5390" priority="9697" operator="equal">
      <formula>"CapEx"</formula>
    </cfRule>
    <cfRule type="dataBar" priority="9698">
      <dataBar>
        <cfvo type="min"/>
        <cfvo type="max"/>
        <color rgb="FF638EC6"/>
      </dataBar>
    </cfRule>
    <cfRule type="colorScale" priority="9699">
      <colorScale>
        <cfvo type="min"/>
        <cfvo type="percentile" val="50"/>
        <cfvo type="max"/>
        <color rgb="FFF8696B"/>
        <color rgb="FFFFEB84"/>
        <color rgb="FF63BE7B"/>
      </colorScale>
    </cfRule>
    <cfRule type="cellIs" dxfId="5389" priority="9700" operator="equal">
      <formula>"Tax"</formula>
    </cfRule>
  </conditionalFormatting>
  <conditionalFormatting sqref="F472">
    <cfRule type="dataBar" priority="9670">
      <dataBar>
        <cfvo type="min"/>
        <cfvo type="max"/>
        <color rgb="FF638EC6"/>
      </dataBar>
    </cfRule>
    <cfRule type="colorScale" priority="9671">
      <colorScale>
        <cfvo type="min"/>
        <cfvo type="percentile" val="50"/>
        <cfvo type="max"/>
        <color rgb="FFF8696B"/>
        <color rgb="FFFFEB84"/>
        <color rgb="FF63BE7B"/>
      </colorScale>
    </cfRule>
    <cfRule type="cellIs" dxfId="5388" priority="9672" operator="equal">
      <formula>"Tax"</formula>
    </cfRule>
    <cfRule type="cellIs" dxfId="5387" priority="9673" operator="equal">
      <formula>"Cost of Sales"</formula>
    </cfRule>
    <cfRule type="cellIs" dxfId="5386" priority="9674" operator="equal">
      <formula>"Payroll"</formula>
    </cfRule>
    <cfRule type="cellIs" dxfId="5385" priority="9675" operator="equal">
      <formula>"Investment"</formula>
    </cfRule>
    <cfRule type="cellIs" dxfId="5384" priority="9676" operator="equal">
      <formula>"Sunk"</formula>
    </cfRule>
    <cfRule type="cellIs" dxfId="5383" priority="9677" operator="equal">
      <formula>"OpEx"</formula>
    </cfRule>
    <cfRule type="cellIs" dxfId="5382" priority="9678" operator="equal">
      <formula>"CapEx"</formula>
    </cfRule>
    <cfRule type="dataBar" priority="9679">
      <dataBar>
        <cfvo type="min"/>
        <cfvo type="max"/>
        <color rgb="FF638EC6"/>
      </dataBar>
    </cfRule>
    <cfRule type="colorScale" priority="9680">
      <colorScale>
        <cfvo type="min"/>
        <cfvo type="percentile" val="50"/>
        <cfvo type="max"/>
        <color rgb="FFF8696B"/>
        <color rgb="FFFFEB84"/>
        <color rgb="FF63BE7B"/>
      </colorScale>
    </cfRule>
    <cfRule type="cellIs" dxfId="5381" priority="9681" operator="equal">
      <formula>"Tax"</formula>
    </cfRule>
    <cfRule type="cellIs" dxfId="5380" priority="9682" operator="equal">
      <formula>"Income"</formula>
    </cfRule>
    <cfRule type="cellIs" dxfId="5379" priority="9683" operator="equal">
      <formula>"Cost of Sales"</formula>
    </cfRule>
    <cfRule type="cellIs" dxfId="5378" priority="9684" operator="equal">
      <formula>"Payroll"</formula>
    </cfRule>
    <cfRule type="cellIs" dxfId="5377" priority="9685" operator="equal">
      <formula>"Investment"</formula>
    </cfRule>
    <cfRule type="cellIs" dxfId="5376" priority="9686" operator="equal">
      <formula>"Sunk"</formula>
    </cfRule>
    <cfRule type="cellIs" dxfId="5375" priority="9687" operator="equal">
      <formula>"OpEx"</formula>
    </cfRule>
    <cfRule type="cellIs" dxfId="5374" priority="9688" operator="equal">
      <formula>"CapEx"</formula>
    </cfRule>
  </conditionalFormatting>
  <conditionalFormatting sqref="F473">
    <cfRule type="dataBar" priority="9651">
      <dataBar>
        <cfvo type="min"/>
        <cfvo type="max"/>
        <color rgb="FF638EC6"/>
      </dataBar>
    </cfRule>
    <cfRule type="colorScale" priority="9652">
      <colorScale>
        <cfvo type="min"/>
        <cfvo type="percentile" val="50"/>
        <cfvo type="max"/>
        <color rgb="FFF8696B"/>
        <color rgb="FFFFEB84"/>
        <color rgb="FF63BE7B"/>
      </colorScale>
    </cfRule>
    <cfRule type="cellIs" dxfId="5373" priority="9653" operator="equal">
      <formula>"Tax"</formula>
    </cfRule>
    <cfRule type="cellIs" dxfId="5372" priority="9654" operator="equal">
      <formula>"Cost of Sales"</formula>
    </cfRule>
    <cfRule type="cellIs" dxfId="5371" priority="9655" operator="equal">
      <formula>"Payroll"</formula>
    </cfRule>
    <cfRule type="cellIs" dxfId="5370" priority="9656" operator="equal">
      <formula>"Investment"</formula>
    </cfRule>
    <cfRule type="cellIs" dxfId="5369" priority="9657" operator="equal">
      <formula>"Sunk"</formula>
    </cfRule>
    <cfRule type="cellIs" dxfId="5368" priority="9658" operator="equal">
      <formula>"OpEx"</formula>
    </cfRule>
    <cfRule type="cellIs" dxfId="5367" priority="9659" operator="equal">
      <formula>"CapEx"</formula>
    </cfRule>
    <cfRule type="dataBar" priority="9660">
      <dataBar>
        <cfvo type="min"/>
        <cfvo type="max"/>
        <color rgb="FF638EC6"/>
      </dataBar>
    </cfRule>
    <cfRule type="colorScale" priority="9661">
      <colorScale>
        <cfvo type="min"/>
        <cfvo type="percentile" val="50"/>
        <cfvo type="max"/>
        <color rgb="FFF8696B"/>
        <color rgb="FFFFEB84"/>
        <color rgb="FF63BE7B"/>
      </colorScale>
    </cfRule>
    <cfRule type="cellIs" dxfId="5366" priority="9662" operator="equal">
      <formula>"Tax"</formula>
    </cfRule>
    <cfRule type="cellIs" dxfId="5365" priority="9663" operator="equal">
      <formula>"Income"</formula>
    </cfRule>
    <cfRule type="cellIs" dxfId="5364" priority="9664" operator="equal">
      <formula>"Cost of Sales"</formula>
    </cfRule>
    <cfRule type="cellIs" dxfId="5363" priority="9665" operator="equal">
      <formula>"Payroll"</formula>
    </cfRule>
    <cfRule type="cellIs" dxfId="5362" priority="9666" operator="equal">
      <formula>"Investment"</formula>
    </cfRule>
    <cfRule type="cellIs" dxfId="5361" priority="9667" operator="equal">
      <formula>"Sunk"</formula>
    </cfRule>
    <cfRule type="cellIs" dxfId="5360" priority="9668" operator="equal">
      <formula>"OpEx"</formula>
    </cfRule>
    <cfRule type="cellIs" dxfId="5359" priority="9669" operator="equal">
      <formula>"CapEx"</formula>
    </cfRule>
  </conditionalFormatting>
  <conditionalFormatting sqref="F474">
    <cfRule type="cellIs" dxfId="5358" priority="9344" operator="equal">
      <formula>"Tax"</formula>
    </cfRule>
    <cfRule type="cellIs" dxfId="5357" priority="9345" operator="equal">
      <formula>"Income"</formula>
    </cfRule>
    <cfRule type="cellIs" dxfId="5356" priority="9346" operator="equal">
      <formula>"Cost of Sales"</formula>
    </cfRule>
    <cfRule type="cellIs" dxfId="5355" priority="9347" operator="equal">
      <formula>"Payroll"</formula>
    </cfRule>
    <cfRule type="cellIs" dxfId="5354" priority="9348" operator="equal">
      <formula>"Investment"</formula>
    </cfRule>
    <cfRule type="cellIs" dxfId="5353" priority="9349" operator="equal">
      <formula>"Sunk"</formula>
    </cfRule>
    <cfRule type="cellIs" dxfId="5352" priority="9350" operator="equal">
      <formula>"OpEx"</formula>
    </cfRule>
    <cfRule type="cellIs" dxfId="5351" priority="9351" operator="equal">
      <formula>"CapEx"</formula>
    </cfRule>
    <cfRule type="dataBar" priority="9356">
      <dataBar>
        <cfvo type="min"/>
        <cfvo type="max"/>
        <color rgb="FF638EC6"/>
      </dataBar>
    </cfRule>
    <cfRule type="colorScale" priority="9357">
      <colorScale>
        <cfvo type="min"/>
        <cfvo type="percentile" val="50"/>
        <cfvo type="max"/>
        <color rgb="FFF8696B"/>
        <color rgb="FFFFEB84"/>
        <color rgb="FF63BE7B"/>
      </colorScale>
    </cfRule>
  </conditionalFormatting>
  <conditionalFormatting sqref="F475">
    <cfRule type="dataBar" priority="9641">
      <dataBar>
        <cfvo type="min"/>
        <cfvo type="max"/>
        <color rgb="FF638EC6"/>
      </dataBar>
    </cfRule>
    <cfRule type="colorScale" priority="9642">
      <colorScale>
        <cfvo type="min"/>
        <cfvo type="percentile" val="50"/>
        <cfvo type="max"/>
        <color rgb="FFF8696B"/>
        <color rgb="FFFFEB84"/>
        <color rgb="FF63BE7B"/>
      </colorScale>
    </cfRule>
    <cfRule type="cellIs" dxfId="5350" priority="9643" operator="equal">
      <formula>"Tax"</formula>
    </cfRule>
    <cfRule type="cellIs" dxfId="5349" priority="9644" operator="equal">
      <formula>"Cost of Sales"</formula>
    </cfRule>
    <cfRule type="cellIs" dxfId="5348" priority="9645" operator="equal">
      <formula>"Payroll"</formula>
    </cfRule>
    <cfRule type="cellIs" dxfId="5347" priority="9646" operator="equal">
      <formula>"Investment"</formula>
    </cfRule>
    <cfRule type="cellIs" dxfId="5346" priority="9647" operator="equal">
      <formula>"Sunk"</formula>
    </cfRule>
    <cfRule type="cellIs" dxfId="5345" priority="9648" operator="equal">
      <formula>"OpEx"</formula>
    </cfRule>
    <cfRule type="cellIs" dxfId="5344" priority="9649" operator="equal">
      <formula>"CapEx"</formula>
    </cfRule>
    <cfRule type="cellIs" dxfId="5343" priority="9650" operator="equal">
      <formula>"Income"</formula>
    </cfRule>
  </conditionalFormatting>
  <conditionalFormatting sqref="F476">
    <cfRule type="dataBar" priority="9562">
      <dataBar>
        <cfvo type="min"/>
        <cfvo type="max"/>
        <color rgb="FF638EC6"/>
      </dataBar>
    </cfRule>
    <cfRule type="colorScale" priority="9563">
      <colorScale>
        <cfvo type="min"/>
        <cfvo type="percentile" val="50"/>
        <cfvo type="max"/>
        <color rgb="FFF8696B"/>
        <color rgb="FFFFEB84"/>
        <color rgb="FF63BE7B"/>
      </colorScale>
    </cfRule>
    <cfRule type="cellIs" dxfId="5342" priority="9564" operator="equal">
      <formula>"Tax"</formula>
    </cfRule>
    <cfRule type="cellIs" dxfId="5341" priority="9565" operator="equal">
      <formula>"Income"</formula>
    </cfRule>
    <cfRule type="cellIs" dxfId="5340" priority="9566" operator="equal">
      <formula>"Cost of Sales"</formula>
    </cfRule>
    <cfRule type="cellIs" dxfId="5339" priority="9567" operator="equal">
      <formula>"Payroll"</formula>
    </cfRule>
    <cfRule type="cellIs" dxfId="5338" priority="9568" operator="equal">
      <formula>"Investment"</formula>
    </cfRule>
    <cfRule type="cellIs" dxfId="5337" priority="9569" operator="equal">
      <formula>"Sunk"</formula>
    </cfRule>
    <cfRule type="cellIs" dxfId="5336" priority="9570" operator="equal">
      <formula>"OpEx"</formula>
    </cfRule>
    <cfRule type="cellIs" dxfId="5335" priority="9571" operator="equal">
      <formula>"CapEx"</formula>
    </cfRule>
  </conditionalFormatting>
  <conditionalFormatting sqref="F477">
    <cfRule type="dataBar" priority="9548">
      <dataBar>
        <cfvo type="min"/>
        <cfvo type="max"/>
        <color rgb="FF638EC6"/>
      </dataBar>
    </cfRule>
    <cfRule type="colorScale" priority="9549">
      <colorScale>
        <cfvo type="min"/>
        <cfvo type="percentile" val="50"/>
        <cfvo type="max"/>
        <color rgb="FFF8696B"/>
        <color rgb="FFFFEB84"/>
        <color rgb="FF63BE7B"/>
      </colorScale>
    </cfRule>
    <cfRule type="cellIs" dxfId="5334" priority="9550" operator="equal">
      <formula>"Tax"</formula>
    </cfRule>
    <cfRule type="cellIs" dxfId="5333" priority="9551" operator="equal">
      <formula>"Income"</formula>
    </cfRule>
    <cfRule type="cellIs" dxfId="5332" priority="9552" operator="equal">
      <formula>"Cost of Sales"</formula>
    </cfRule>
    <cfRule type="cellIs" dxfId="5331" priority="9553" operator="equal">
      <formula>"Payroll"</formula>
    </cfRule>
    <cfRule type="cellIs" dxfId="5330" priority="9554" operator="equal">
      <formula>"Investment"</formula>
    </cfRule>
    <cfRule type="cellIs" dxfId="5329" priority="9555" operator="equal">
      <formula>"Sunk"</formula>
    </cfRule>
    <cfRule type="cellIs" dxfId="5328" priority="9556" operator="equal">
      <formula>"OpEx"</formula>
    </cfRule>
    <cfRule type="cellIs" dxfId="5327" priority="9557" operator="equal">
      <formula>"CapEx"</formula>
    </cfRule>
  </conditionalFormatting>
  <conditionalFormatting sqref="F478:F479">
    <cfRule type="dataBar" priority="9531">
      <dataBar>
        <cfvo type="min"/>
        <cfvo type="max"/>
        <color rgb="FF638EC6"/>
      </dataBar>
    </cfRule>
    <cfRule type="colorScale" priority="9532">
      <colorScale>
        <cfvo type="min"/>
        <cfvo type="percentile" val="50"/>
        <cfvo type="max"/>
        <color rgb="FFF8696B"/>
        <color rgb="FFFFEB84"/>
        <color rgb="FF63BE7B"/>
      </colorScale>
    </cfRule>
    <cfRule type="cellIs" dxfId="5326" priority="9533" operator="equal">
      <formula>"Tax"</formula>
    </cfRule>
    <cfRule type="cellIs" dxfId="5325" priority="9534" operator="equal">
      <formula>"Cost of Sales"</formula>
    </cfRule>
    <cfRule type="cellIs" dxfId="5324" priority="9535" operator="equal">
      <formula>"Payroll"</formula>
    </cfRule>
    <cfRule type="cellIs" dxfId="5323" priority="9536" operator="equal">
      <formula>"Investment"</formula>
    </cfRule>
    <cfRule type="cellIs" dxfId="5322" priority="9537" operator="equal">
      <formula>"Sunk"</formula>
    </cfRule>
    <cfRule type="cellIs" dxfId="5321" priority="9538" operator="equal">
      <formula>"OpEx"</formula>
    </cfRule>
    <cfRule type="cellIs" dxfId="5320" priority="9539" operator="equal">
      <formula>"CapEx"</formula>
    </cfRule>
    <cfRule type="cellIs" dxfId="5319" priority="9540" operator="equal">
      <formula>"Income"</formula>
    </cfRule>
  </conditionalFormatting>
  <conditionalFormatting sqref="F480">
    <cfRule type="dataBar" priority="9521">
      <dataBar>
        <cfvo type="min"/>
        <cfvo type="max"/>
        <color rgb="FF638EC6"/>
      </dataBar>
    </cfRule>
    <cfRule type="colorScale" priority="9522">
      <colorScale>
        <cfvo type="min"/>
        <cfvo type="percentile" val="50"/>
        <cfvo type="max"/>
        <color rgb="FFF8696B"/>
        <color rgb="FFFFEB84"/>
        <color rgb="FF63BE7B"/>
      </colorScale>
    </cfRule>
    <cfRule type="cellIs" dxfId="5318" priority="9523" operator="equal">
      <formula>"Tax"</formula>
    </cfRule>
    <cfRule type="cellIs" dxfId="5317" priority="9524" operator="equal">
      <formula>"Income"</formula>
    </cfRule>
    <cfRule type="cellIs" dxfId="5316" priority="9525" operator="equal">
      <formula>"Cost of Sales"</formula>
    </cfRule>
    <cfRule type="cellIs" dxfId="5315" priority="9526" operator="equal">
      <formula>"Payroll"</formula>
    </cfRule>
    <cfRule type="cellIs" dxfId="5314" priority="9527" operator="equal">
      <formula>"Investment"</formula>
    </cfRule>
    <cfRule type="cellIs" dxfId="5313" priority="9528" operator="equal">
      <formula>"Sunk"</formula>
    </cfRule>
    <cfRule type="cellIs" dxfId="5312" priority="9529" operator="equal">
      <formula>"OpEx"</formula>
    </cfRule>
    <cfRule type="cellIs" dxfId="5311" priority="9530" operator="equal">
      <formula>"CapEx"</formula>
    </cfRule>
  </conditionalFormatting>
  <conditionalFormatting sqref="F481">
    <cfRule type="dataBar" priority="9511">
      <dataBar>
        <cfvo type="min"/>
        <cfvo type="max"/>
        <color rgb="FF638EC6"/>
      </dataBar>
    </cfRule>
    <cfRule type="colorScale" priority="9512">
      <colorScale>
        <cfvo type="min"/>
        <cfvo type="percentile" val="50"/>
        <cfvo type="max"/>
        <color rgb="FFF8696B"/>
        <color rgb="FFFFEB84"/>
        <color rgb="FF63BE7B"/>
      </colorScale>
    </cfRule>
    <cfRule type="cellIs" dxfId="5310" priority="9514" operator="equal">
      <formula>"Cost of Sales"</formula>
    </cfRule>
    <cfRule type="cellIs" dxfId="5309" priority="9515" operator="equal">
      <formula>"Payroll"</formula>
    </cfRule>
    <cfRule type="cellIs" dxfId="5308" priority="9516" operator="equal">
      <formula>"Investment"</formula>
    </cfRule>
    <cfRule type="cellIs" dxfId="5307" priority="9517" operator="equal">
      <formula>"Sunk"</formula>
    </cfRule>
    <cfRule type="cellIs" dxfId="5306" priority="9518" operator="equal">
      <formula>"OpEx"</formula>
    </cfRule>
    <cfRule type="cellIs" dxfId="5305" priority="9519" operator="equal">
      <formula>"CapEx"</formula>
    </cfRule>
    <cfRule type="cellIs" dxfId="5304" priority="9520" operator="equal">
      <formula>"Income"</formula>
    </cfRule>
  </conditionalFormatting>
  <conditionalFormatting sqref="F481:F485">
    <cfRule type="cellIs" dxfId="5303" priority="9513" operator="equal">
      <formula>"Tax"</formula>
    </cfRule>
  </conditionalFormatting>
  <conditionalFormatting sqref="F482">
    <cfRule type="dataBar" priority="9490">
      <dataBar>
        <cfvo type="min"/>
        <cfvo type="max"/>
        <color rgb="FF638EC6"/>
      </dataBar>
    </cfRule>
    <cfRule type="colorScale" priority="9491">
      <colorScale>
        <cfvo type="min"/>
        <cfvo type="percentile" val="50"/>
        <cfvo type="max"/>
        <color rgb="FFF8696B"/>
        <color rgb="FFFFEB84"/>
        <color rgb="FF63BE7B"/>
      </colorScale>
    </cfRule>
  </conditionalFormatting>
  <conditionalFormatting sqref="F482:F485">
    <cfRule type="cellIs" dxfId="5302" priority="9493" operator="equal">
      <formula>"Income"</formula>
    </cfRule>
    <cfRule type="cellIs" dxfId="5301" priority="9494" operator="equal">
      <formula>"Cost of Sales"</formula>
    </cfRule>
    <cfRule type="cellIs" dxfId="5300" priority="9495" operator="equal">
      <formula>"Payroll"</formula>
    </cfRule>
    <cfRule type="cellIs" dxfId="5299" priority="9496" operator="equal">
      <formula>"Investment"</formula>
    </cfRule>
    <cfRule type="cellIs" dxfId="5298" priority="9497" operator="equal">
      <formula>"Sunk"</formula>
    </cfRule>
    <cfRule type="cellIs" dxfId="5297" priority="9498" operator="equal">
      <formula>"OpEx"</formula>
    </cfRule>
    <cfRule type="cellIs" dxfId="5296" priority="9499" operator="equal">
      <formula>"CapEx"</formula>
    </cfRule>
  </conditionalFormatting>
  <conditionalFormatting sqref="F483:F485 F575 F510 F459 F512 F520 F535 F559 F566 F584 F591 F593:F594">
    <cfRule type="dataBar" priority="192899">
      <dataBar>
        <cfvo type="min"/>
        <cfvo type="max"/>
        <color rgb="FF638EC6"/>
      </dataBar>
    </cfRule>
    <cfRule type="colorScale" priority="192900">
      <colorScale>
        <cfvo type="min"/>
        <cfvo type="percentile" val="50"/>
        <cfvo type="max"/>
        <color rgb="FFF8696B"/>
        <color rgb="FFFFEB84"/>
        <color rgb="FF63BE7B"/>
      </colorScale>
    </cfRule>
  </conditionalFormatting>
  <conditionalFormatting sqref="F486">
    <cfRule type="dataBar" priority="9467">
      <dataBar>
        <cfvo type="min"/>
        <cfvo type="max"/>
        <color rgb="FF638EC6"/>
      </dataBar>
    </cfRule>
    <cfRule type="colorScale" priority="9468">
      <colorScale>
        <cfvo type="min"/>
        <cfvo type="percentile" val="50"/>
        <cfvo type="max"/>
        <color rgb="FFF8696B"/>
        <color rgb="FFFFEB84"/>
        <color rgb="FF63BE7B"/>
      </colorScale>
    </cfRule>
    <cfRule type="cellIs" dxfId="5295" priority="9469" operator="equal">
      <formula>"Tax"</formula>
    </cfRule>
    <cfRule type="cellIs" dxfId="5294" priority="9470" operator="equal">
      <formula>"Income"</formula>
    </cfRule>
    <cfRule type="dataBar" priority="9471">
      <dataBar>
        <cfvo type="min"/>
        <cfvo type="max"/>
        <color rgb="FF638EC6"/>
      </dataBar>
    </cfRule>
    <cfRule type="colorScale" priority="9472">
      <colorScale>
        <cfvo type="min"/>
        <cfvo type="percentile" val="50"/>
        <cfvo type="max"/>
        <color rgb="FFF8696B"/>
        <color rgb="FFFFEB84"/>
        <color rgb="FF63BE7B"/>
      </colorScale>
    </cfRule>
    <cfRule type="cellIs" dxfId="5293" priority="9473" operator="equal">
      <formula>"Tax"</formula>
    </cfRule>
    <cfRule type="cellIs" dxfId="5292" priority="9474" operator="equal">
      <formula>"Cost of Sales"</formula>
    </cfRule>
    <cfRule type="cellIs" dxfId="5291" priority="9475" operator="equal">
      <formula>"Payroll"</formula>
    </cfRule>
    <cfRule type="cellIs" dxfId="5290" priority="9476" operator="equal">
      <formula>"Investment"</formula>
    </cfRule>
    <cfRule type="cellIs" dxfId="5289" priority="9477" operator="equal">
      <formula>"Sunk"</formula>
    </cfRule>
    <cfRule type="cellIs" dxfId="5288" priority="9478" operator="equal">
      <formula>"OpEx"</formula>
    </cfRule>
    <cfRule type="cellIs" dxfId="5287" priority="9479" operator="equal">
      <formula>"CapEx"</formula>
    </cfRule>
    <cfRule type="cellIs" dxfId="5286" priority="9480" operator="equal">
      <formula>"Income"</formula>
    </cfRule>
  </conditionalFormatting>
  <conditionalFormatting sqref="F487">
    <cfRule type="dataBar" priority="9455">
      <dataBar>
        <cfvo type="min"/>
        <cfvo type="max"/>
        <color rgb="FF638EC6"/>
      </dataBar>
    </cfRule>
    <cfRule type="colorScale" priority="9456">
      <colorScale>
        <cfvo type="min"/>
        <cfvo type="percentile" val="50"/>
        <cfvo type="max"/>
        <color rgb="FFF8696B"/>
        <color rgb="FFFFEB84"/>
        <color rgb="FF63BE7B"/>
      </colorScale>
    </cfRule>
    <cfRule type="cellIs" dxfId="5285" priority="9457" operator="equal">
      <formula>"Tax"</formula>
    </cfRule>
    <cfRule type="dataBar" priority="9458">
      <dataBar>
        <cfvo type="min"/>
        <cfvo type="max"/>
        <color rgb="FF638EC6"/>
      </dataBar>
    </cfRule>
    <cfRule type="colorScale" priority="9459">
      <colorScale>
        <cfvo type="min"/>
        <cfvo type="percentile" val="50"/>
        <cfvo type="max"/>
        <color rgb="FFF8696B"/>
        <color rgb="FFFFEB84"/>
        <color rgb="FF63BE7B"/>
      </colorScale>
    </cfRule>
    <cfRule type="cellIs" dxfId="5284" priority="9460" operator="equal">
      <formula>"Cost of Sales"</formula>
    </cfRule>
    <cfRule type="cellIs" dxfId="5283" priority="9461" operator="equal">
      <formula>"Payroll"</formula>
    </cfRule>
    <cfRule type="cellIs" dxfId="5282" priority="9462" operator="equal">
      <formula>"Investment"</formula>
    </cfRule>
    <cfRule type="cellIs" dxfId="5281" priority="9463" operator="equal">
      <formula>"Sunk"</formula>
    </cfRule>
    <cfRule type="cellIs" dxfId="5280" priority="9464" operator="equal">
      <formula>"OpEx"</formula>
    </cfRule>
    <cfRule type="cellIs" dxfId="5279" priority="9465" operator="equal">
      <formula>"CapEx"</formula>
    </cfRule>
    <cfRule type="cellIs" dxfId="5278" priority="9466" operator="equal">
      <formula>"Income"</formula>
    </cfRule>
  </conditionalFormatting>
  <conditionalFormatting sqref="F487:F488">
    <cfRule type="cellIs" dxfId="5277" priority="9447" operator="equal">
      <formula>"Cost of Sales"</formula>
    </cfRule>
    <cfRule type="cellIs" dxfId="5276" priority="9448" operator="equal">
      <formula>"Payroll"</formula>
    </cfRule>
    <cfRule type="cellIs" dxfId="5275" priority="9449" operator="equal">
      <formula>"Investment"</formula>
    </cfRule>
    <cfRule type="cellIs" dxfId="5274" priority="9450" operator="equal">
      <formula>"Sunk"</formula>
    </cfRule>
    <cfRule type="cellIs" dxfId="5273" priority="9451" operator="equal">
      <formula>"OpEx"</formula>
    </cfRule>
    <cfRule type="cellIs" dxfId="5272" priority="9452" operator="equal">
      <formula>"CapEx"</formula>
    </cfRule>
    <cfRule type="cellIs" dxfId="5271" priority="9453" operator="equal">
      <formula>"Income"</formula>
    </cfRule>
    <cfRule type="cellIs" dxfId="5270" priority="9454" operator="equal">
      <formula>"Tax"</formula>
    </cfRule>
  </conditionalFormatting>
  <conditionalFormatting sqref="F488">
    <cfRule type="dataBar" priority="9434">
      <dataBar>
        <cfvo type="min"/>
        <cfvo type="max"/>
        <color rgb="FF638EC6"/>
      </dataBar>
    </cfRule>
    <cfRule type="colorScale" priority="9435">
      <colorScale>
        <cfvo type="min"/>
        <cfvo type="percentile" val="50"/>
        <cfvo type="max"/>
        <color rgb="FFF8696B"/>
        <color rgb="FFFFEB84"/>
        <color rgb="FF63BE7B"/>
      </colorScale>
    </cfRule>
    <cfRule type="cellIs" dxfId="5269" priority="9436" operator="equal">
      <formula>"Tax"</formula>
    </cfRule>
    <cfRule type="cellIs" dxfId="5268" priority="9437" operator="equal">
      <formula>"Cost of Sales"</formula>
    </cfRule>
    <cfRule type="cellIs" dxfId="5267" priority="9438" operator="equal">
      <formula>"Payroll"</formula>
    </cfRule>
    <cfRule type="cellIs" dxfId="5266" priority="9439" operator="equal">
      <formula>"Investment"</formula>
    </cfRule>
    <cfRule type="cellIs" dxfId="5265" priority="9440" operator="equal">
      <formula>"Sunk"</formula>
    </cfRule>
    <cfRule type="cellIs" dxfId="5264" priority="9441" operator="equal">
      <formula>"OpEx"</formula>
    </cfRule>
    <cfRule type="cellIs" dxfId="5263" priority="9442" operator="equal">
      <formula>"CapEx"</formula>
    </cfRule>
    <cfRule type="dataBar" priority="9443">
      <dataBar>
        <cfvo type="min"/>
        <cfvo type="max"/>
        <color rgb="FF638EC6"/>
      </dataBar>
    </cfRule>
    <cfRule type="colorScale" priority="9444">
      <colorScale>
        <cfvo type="min"/>
        <cfvo type="percentile" val="50"/>
        <cfvo type="max"/>
        <color rgb="FFF8696B"/>
        <color rgb="FFFFEB84"/>
        <color rgb="FF63BE7B"/>
      </colorScale>
    </cfRule>
    <cfRule type="dataBar" priority="9445">
      <dataBar>
        <cfvo type="min"/>
        <cfvo type="max"/>
        <color rgb="FF638EC6"/>
      </dataBar>
    </cfRule>
    <cfRule type="colorScale" priority="9446">
      <colorScale>
        <cfvo type="min"/>
        <cfvo type="percentile" val="50"/>
        <cfvo type="max"/>
        <color rgb="FFF8696B"/>
        <color rgb="FFFFEB84"/>
        <color rgb="FF63BE7B"/>
      </colorScale>
    </cfRule>
  </conditionalFormatting>
  <conditionalFormatting sqref="F488:F489">
    <cfRule type="cellIs" dxfId="5262" priority="9330" operator="equal">
      <formula>"Income"</formula>
    </cfRule>
  </conditionalFormatting>
  <conditionalFormatting sqref="F489">
    <cfRule type="dataBar" priority="9327">
      <dataBar>
        <cfvo type="min"/>
        <cfvo type="max"/>
        <color rgb="FF638EC6"/>
      </dataBar>
    </cfRule>
    <cfRule type="colorScale" priority="9328">
      <colorScale>
        <cfvo type="min"/>
        <cfvo type="percentile" val="50"/>
        <cfvo type="max"/>
        <color rgb="FFF8696B"/>
        <color rgb="FFFFEB84"/>
        <color rgb="FF63BE7B"/>
      </colorScale>
    </cfRule>
    <cfRule type="cellIs" dxfId="5261" priority="9329" operator="equal">
      <formula>"Tax"</formula>
    </cfRule>
    <cfRule type="cellIs" dxfId="5260" priority="9331" operator="equal">
      <formula>"Cost of Sales"</formula>
    </cfRule>
    <cfRule type="cellIs" dxfId="5259" priority="9332" operator="equal">
      <formula>"Payroll"</formula>
    </cfRule>
    <cfRule type="cellIs" dxfId="5258" priority="9333" operator="equal">
      <formula>"Investment"</formula>
    </cfRule>
    <cfRule type="cellIs" dxfId="5257" priority="9334" operator="equal">
      <formula>"Sunk"</formula>
    </cfRule>
    <cfRule type="cellIs" dxfId="5256" priority="9335" operator="equal">
      <formula>"OpEx"</formula>
    </cfRule>
    <cfRule type="cellIs" dxfId="5255" priority="9336" operator="equal">
      <formula>"CapEx"</formula>
    </cfRule>
  </conditionalFormatting>
  <conditionalFormatting sqref="F490">
    <cfRule type="dataBar" priority="9313">
      <dataBar>
        <cfvo type="min"/>
        <cfvo type="max"/>
        <color rgb="FF638EC6"/>
      </dataBar>
    </cfRule>
    <cfRule type="colorScale" priority="9314">
      <colorScale>
        <cfvo type="min"/>
        <cfvo type="percentile" val="50"/>
        <cfvo type="max"/>
        <color rgb="FFF8696B"/>
        <color rgb="FFFFEB84"/>
        <color rgb="FF63BE7B"/>
      </colorScale>
    </cfRule>
    <cfRule type="cellIs" dxfId="5254" priority="9315" operator="equal">
      <formula>"Tax"</formula>
    </cfRule>
    <cfRule type="cellIs" dxfId="5253" priority="9316" operator="equal">
      <formula>"Income"</formula>
    </cfRule>
    <cfRule type="cellIs" dxfId="5252" priority="9317" operator="equal">
      <formula>"Cost of Sales"</formula>
    </cfRule>
    <cfRule type="cellIs" dxfId="5251" priority="9318" operator="equal">
      <formula>"Payroll"</formula>
    </cfRule>
    <cfRule type="cellIs" dxfId="5250" priority="9319" operator="equal">
      <formula>"Investment"</formula>
    </cfRule>
    <cfRule type="cellIs" dxfId="5249" priority="9320" operator="equal">
      <formula>"Sunk"</formula>
    </cfRule>
    <cfRule type="cellIs" dxfId="5248" priority="9321" operator="equal">
      <formula>"OpEx"</formula>
    </cfRule>
    <cfRule type="cellIs" dxfId="5247" priority="9322" operator="equal">
      <formula>"CapEx"</formula>
    </cfRule>
  </conditionalFormatting>
  <conditionalFormatting sqref="F491">
    <cfRule type="dataBar" priority="9306">
      <dataBar>
        <cfvo type="min"/>
        <cfvo type="max"/>
        <color rgb="FF638EC6"/>
      </dataBar>
    </cfRule>
    <cfRule type="colorScale" priority="9307">
      <colorScale>
        <cfvo type="min"/>
        <cfvo type="percentile" val="50"/>
        <cfvo type="max"/>
        <color rgb="FFF8696B"/>
        <color rgb="FFFFEB84"/>
        <color rgb="FF63BE7B"/>
      </colorScale>
    </cfRule>
    <cfRule type="cellIs" dxfId="5246" priority="9308" operator="equal">
      <formula>"Tax"</formula>
    </cfRule>
  </conditionalFormatting>
  <conditionalFormatting sqref="F491:F493">
    <cfRule type="cellIs" dxfId="5245" priority="9256" operator="equal">
      <formula>"Income"</formula>
    </cfRule>
    <cfRule type="cellIs" dxfId="5244" priority="9257" operator="equal">
      <formula>"Cost of Sales"</formula>
    </cfRule>
    <cfRule type="cellIs" dxfId="5243" priority="9258" operator="equal">
      <formula>"Payroll"</formula>
    </cfRule>
    <cfRule type="cellIs" dxfId="5242" priority="9259" operator="equal">
      <formula>"Investment"</formula>
    </cfRule>
    <cfRule type="cellIs" dxfId="5241" priority="9260" operator="equal">
      <formula>"Sunk"</formula>
    </cfRule>
    <cfRule type="cellIs" dxfId="5240" priority="9261" operator="equal">
      <formula>"OpEx"</formula>
    </cfRule>
    <cfRule type="cellIs" dxfId="5239" priority="9262" operator="equal">
      <formula>"CapEx"</formula>
    </cfRule>
  </conditionalFormatting>
  <conditionalFormatting sqref="F492">
    <cfRule type="dataBar" priority="9243">
      <dataBar>
        <cfvo type="min"/>
        <cfvo type="max"/>
        <color rgb="FF638EC6"/>
      </dataBar>
    </cfRule>
    <cfRule type="colorScale" priority="9244">
      <colorScale>
        <cfvo type="min"/>
        <cfvo type="percentile" val="50"/>
        <cfvo type="max"/>
        <color rgb="FFF8696B"/>
        <color rgb="FFFFEB84"/>
        <color rgb="FF63BE7B"/>
      </colorScale>
    </cfRule>
    <cfRule type="cellIs" dxfId="5238" priority="9245" operator="equal">
      <formula>"Tax"</formula>
    </cfRule>
    <cfRule type="cellIs" dxfId="5237" priority="9246" operator="equal">
      <formula>"Income"</formula>
    </cfRule>
    <cfRule type="cellIs" dxfId="5236" priority="9247" operator="equal">
      <formula>"Cost of Sales"</formula>
    </cfRule>
    <cfRule type="cellIs" dxfId="5235" priority="9248" operator="equal">
      <formula>"Payroll"</formula>
    </cfRule>
    <cfRule type="cellIs" dxfId="5234" priority="9249" operator="equal">
      <formula>"Investment"</formula>
    </cfRule>
    <cfRule type="cellIs" dxfId="5233" priority="9250" operator="equal">
      <formula>"Sunk"</formula>
    </cfRule>
    <cfRule type="cellIs" dxfId="5232" priority="9251" operator="equal">
      <formula>"OpEx"</formula>
    </cfRule>
    <cfRule type="cellIs" dxfId="5231" priority="9252" operator="equal">
      <formula>"CapEx"</formula>
    </cfRule>
    <cfRule type="dataBar" priority="9253">
      <dataBar>
        <cfvo type="min"/>
        <cfvo type="max"/>
        <color rgb="FF638EC6"/>
      </dataBar>
    </cfRule>
    <cfRule type="colorScale" priority="9254">
      <colorScale>
        <cfvo type="min"/>
        <cfvo type="percentile" val="50"/>
        <cfvo type="max"/>
        <color rgb="FFF8696B"/>
        <color rgb="FFFFEB84"/>
        <color rgb="FF63BE7B"/>
      </colorScale>
    </cfRule>
    <cfRule type="cellIs" dxfId="5230" priority="9255" operator="equal">
      <formula>"Tax"</formula>
    </cfRule>
  </conditionalFormatting>
  <conditionalFormatting sqref="F493">
    <cfRule type="dataBar" priority="9230">
      <dataBar>
        <cfvo type="min"/>
        <cfvo type="max"/>
        <color rgb="FF638EC6"/>
      </dataBar>
    </cfRule>
    <cfRule type="colorScale" priority="9231">
      <colorScale>
        <cfvo type="min"/>
        <cfvo type="percentile" val="50"/>
        <cfvo type="max"/>
        <color rgb="FFF8696B"/>
        <color rgb="FFFFEB84"/>
        <color rgb="FF63BE7B"/>
      </colorScale>
    </cfRule>
    <cfRule type="cellIs" dxfId="5229" priority="9232" operator="equal">
      <formula>"Tax"</formula>
    </cfRule>
    <cfRule type="cellIs" dxfId="5228" priority="9233" operator="equal">
      <formula>"Income"</formula>
    </cfRule>
    <cfRule type="cellIs" dxfId="5227" priority="9234" operator="equal">
      <formula>"Cost of Sales"</formula>
    </cfRule>
    <cfRule type="cellIs" dxfId="5226" priority="9235" operator="equal">
      <formula>"Payroll"</formula>
    </cfRule>
    <cfRule type="cellIs" dxfId="5225" priority="9236" operator="equal">
      <formula>"Investment"</formula>
    </cfRule>
    <cfRule type="cellIs" dxfId="5224" priority="9237" operator="equal">
      <formula>"Sunk"</formula>
    </cfRule>
    <cfRule type="cellIs" dxfId="5223" priority="9238" operator="equal">
      <formula>"OpEx"</formula>
    </cfRule>
    <cfRule type="cellIs" dxfId="5222" priority="9239" operator="equal">
      <formula>"CapEx"</formula>
    </cfRule>
    <cfRule type="dataBar" priority="9240">
      <dataBar>
        <cfvo type="min"/>
        <cfvo type="max"/>
        <color rgb="FF638EC6"/>
      </dataBar>
    </cfRule>
    <cfRule type="colorScale" priority="9241">
      <colorScale>
        <cfvo type="min"/>
        <cfvo type="percentile" val="50"/>
        <cfvo type="max"/>
        <color rgb="FFF8696B"/>
        <color rgb="FFFFEB84"/>
        <color rgb="FF63BE7B"/>
      </colorScale>
    </cfRule>
    <cfRule type="cellIs" dxfId="5221" priority="9242" operator="equal">
      <formula>"Tax"</formula>
    </cfRule>
    <cfRule type="dataBar" priority="9289">
      <dataBar>
        <cfvo type="min"/>
        <cfvo type="max"/>
        <color rgb="FF638EC6"/>
      </dataBar>
    </cfRule>
    <cfRule type="colorScale" priority="9290">
      <colorScale>
        <cfvo type="min"/>
        <cfvo type="percentile" val="50"/>
        <cfvo type="max"/>
        <color rgb="FFF8696B"/>
        <color rgb="FFFFEB84"/>
        <color rgb="FF63BE7B"/>
      </colorScale>
    </cfRule>
    <cfRule type="cellIs" dxfId="5220" priority="9291" operator="equal">
      <formula>"Tax"</formula>
    </cfRule>
  </conditionalFormatting>
  <conditionalFormatting sqref="F493:F495">
    <cfRule type="cellIs" dxfId="5219" priority="9209" operator="equal">
      <formula>"Cost of Sales"</formula>
    </cfRule>
    <cfRule type="cellIs" dxfId="5218" priority="9210" operator="equal">
      <formula>"Payroll"</formula>
    </cfRule>
    <cfRule type="cellIs" dxfId="5217" priority="9211" operator="equal">
      <formula>"Investment"</formula>
    </cfRule>
    <cfRule type="cellIs" dxfId="5216" priority="9212" operator="equal">
      <formula>"Sunk"</formula>
    </cfRule>
    <cfRule type="cellIs" dxfId="5215" priority="9213" operator="equal">
      <formula>"OpEx"</formula>
    </cfRule>
    <cfRule type="cellIs" dxfId="5214" priority="9214" operator="equal">
      <formula>"CapEx"</formula>
    </cfRule>
    <cfRule type="cellIs" dxfId="5213" priority="9215" operator="equal">
      <formula>"Income"</formula>
    </cfRule>
  </conditionalFormatting>
  <conditionalFormatting sqref="F494:F495">
    <cfRule type="dataBar" priority="9206">
      <dataBar>
        <cfvo type="min"/>
        <cfvo type="max"/>
        <color rgb="FF638EC6"/>
      </dataBar>
    </cfRule>
    <cfRule type="colorScale" priority="9207">
      <colorScale>
        <cfvo type="min"/>
        <cfvo type="percentile" val="50"/>
        <cfvo type="max"/>
        <color rgb="FFF8696B"/>
        <color rgb="FFFFEB84"/>
        <color rgb="FF63BE7B"/>
      </colorScale>
    </cfRule>
    <cfRule type="cellIs" dxfId="5212" priority="9208" operator="equal">
      <formula>"Tax"</formula>
    </cfRule>
  </conditionalFormatting>
  <conditionalFormatting sqref="F496">
    <cfRule type="dataBar" priority="9196">
      <dataBar>
        <cfvo type="min"/>
        <cfvo type="max"/>
        <color rgb="FF638EC6"/>
      </dataBar>
    </cfRule>
    <cfRule type="colorScale" priority="9197">
      <colorScale>
        <cfvo type="min"/>
        <cfvo type="percentile" val="50"/>
        <cfvo type="max"/>
        <color rgb="FFF8696B"/>
        <color rgb="FFFFEB84"/>
        <color rgb="FF63BE7B"/>
      </colorScale>
    </cfRule>
    <cfRule type="cellIs" dxfId="5211" priority="9198" operator="equal">
      <formula>"Tax"</formula>
    </cfRule>
    <cfRule type="cellIs" dxfId="5210" priority="9199" operator="equal">
      <formula>"Income"</formula>
    </cfRule>
    <cfRule type="cellIs" dxfId="5209" priority="9200" operator="equal">
      <formula>"Cost of Sales"</formula>
    </cfRule>
    <cfRule type="cellIs" dxfId="5208" priority="9201" operator="equal">
      <formula>"Payroll"</formula>
    </cfRule>
    <cfRule type="cellIs" dxfId="5207" priority="9202" operator="equal">
      <formula>"Investment"</formula>
    </cfRule>
    <cfRule type="cellIs" dxfId="5206" priority="9203" operator="equal">
      <formula>"Sunk"</formula>
    </cfRule>
    <cfRule type="cellIs" dxfId="5205" priority="9204" operator="equal">
      <formula>"OpEx"</formula>
    </cfRule>
    <cfRule type="cellIs" dxfId="5204" priority="9205" operator="equal">
      <formula>"CapEx"</formula>
    </cfRule>
  </conditionalFormatting>
  <conditionalFormatting sqref="F497">
    <cfRule type="dataBar" priority="9178">
      <dataBar>
        <cfvo type="min"/>
        <cfvo type="max"/>
        <color rgb="FF638EC6"/>
      </dataBar>
    </cfRule>
    <cfRule type="colorScale" priority="9179">
      <colorScale>
        <cfvo type="min"/>
        <cfvo type="percentile" val="50"/>
        <cfvo type="max"/>
        <color rgb="FFF8696B"/>
        <color rgb="FFFFEB84"/>
        <color rgb="FF63BE7B"/>
      </colorScale>
    </cfRule>
    <cfRule type="cellIs" dxfId="5203" priority="9180" operator="equal">
      <formula>"Tax"</formula>
    </cfRule>
  </conditionalFormatting>
  <conditionalFormatting sqref="F497:F501">
    <cfRule type="cellIs" dxfId="5202" priority="9153" operator="equal">
      <formula>"Income"</formula>
    </cfRule>
    <cfRule type="cellIs" dxfId="5201" priority="9154" operator="equal">
      <formula>"Cost of Sales"</formula>
    </cfRule>
    <cfRule type="cellIs" dxfId="5200" priority="9155" operator="equal">
      <formula>"Payroll"</formula>
    </cfRule>
    <cfRule type="cellIs" dxfId="5199" priority="9156" operator="equal">
      <formula>"Investment"</formula>
    </cfRule>
    <cfRule type="cellIs" dxfId="5198" priority="9157" operator="equal">
      <formula>"Sunk"</formula>
    </cfRule>
    <cfRule type="cellIs" dxfId="5197" priority="9158" operator="equal">
      <formula>"OpEx"</formula>
    </cfRule>
    <cfRule type="cellIs" dxfId="5196" priority="9159" operator="equal">
      <formula>"CapEx"</formula>
    </cfRule>
  </conditionalFormatting>
  <conditionalFormatting sqref="F498">
    <cfRule type="dataBar" priority="9160">
      <dataBar>
        <cfvo type="min"/>
        <cfvo type="max"/>
        <color rgb="FF638EC6"/>
      </dataBar>
    </cfRule>
    <cfRule type="colorScale" priority="9161">
      <colorScale>
        <cfvo type="min"/>
        <cfvo type="percentile" val="50"/>
        <cfvo type="max"/>
        <color rgb="FFF8696B"/>
        <color rgb="FFFFEB84"/>
        <color rgb="FF63BE7B"/>
      </colorScale>
    </cfRule>
    <cfRule type="cellIs" dxfId="5195" priority="9162" operator="equal">
      <formula>"Tax"</formula>
    </cfRule>
  </conditionalFormatting>
  <conditionalFormatting sqref="F499">
    <cfRule type="dataBar" priority="9147">
      <dataBar>
        <cfvo type="min"/>
        <cfvo type="max"/>
        <color rgb="FF638EC6"/>
      </dataBar>
    </cfRule>
    <cfRule type="colorScale" priority="9148">
      <colorScale>
        <cfvo type="min"/>
        <cfvo type="percentile" val="50"/>
        <cfvo type="max"/>
        <color rgb="FFF8696B"/>
        <color rgb="FFFFEB84"/>
        <color rgb="FF63BE7B"/>
      </colorScale>
    </cfRule>
    <cfRule type="cellIs" dxfId="5194" priority="9149" operator="equal">
      <formula>"Tax"</formula>
    </cfRule>
    <cfRule type="dataBar" priority="9150">
      <dataBar>
        <cfvo type="min"/>
        <cfvo type="max"/>
        <color rgb="FF638EC6"/>
      </dataBar>
    </cfRule>
    <cfRule type="colorScale" priority="9151">
      <colorScale>
        <cfvo type="min"/>
        <cfvo type="percentile" val="50"/>
        <cfvo type="max"/>
        <color rgb="FFF8696B"/>
        <color rgb="FFFFEB84"/>
        <color rgb="FF63BE7B"/>
      </colorScale>
    </cfRule>
  </conditionalFormatting>
  <conditionalFormatting sqref="F499:F500">
    <cfRule type="cellIs" dxfId="5193" priority="9141" operator="equal">
      <formula>"Cost of Sales"</formula>
    </cfRule>
    <cfRule type="cellIs" dxfId="5192" priority="9142" operator="equal">
      <formula>"Payroll"</formula>
    </cfRule>
    <cfRule type="cellIs" dxfId="5191" priority="9143" operator="equal">
      <formula>"Investment"</formula>
    </cfRule>
    <cfRule type="cellIs" dxfId="5190" priority="9144" operator="equal">
      <formula>"Sunk"</formula>
    </cfRule>
    <cfRule type="cellIs" dxfId="5189" priority="9145" operator="equal">
      <formula>"OpEx"</formula>
    </cfRule>
    <cfRule type="cellIs" dxfId="5188" priority="9146" operator="equal">
      <formula>"CapEx"</formula>
    </cfRule>
  </conditionalFormatting>
  <conditionalFormatting sqref="F499:F501">
    <cfRule type="cellIs" dxfId="5187" priority="9152" operator="equal">
      <formula>"Tax"</formula>
    </cfRule>
  </conditionalFormatting>
  <conditionalFormatting sqref="F500">
    <cfRule type="dataBar" priority="9138">
      <dataBar>
        <cfvo type="min"/>
        <cfvo type="max"/>
        <color rgb="FF638EC6"/>
      </dataBar>
    </cfRule>
    <cfRule type="colorScale" priority="9139">
      <colorScale>
        <cfvo type="min"/>
        <cfvo type="percentile" val="50"/>
        <cfvo type="max"/>
        <color rgb="FFF8696B"/>
        <color rgb="FFFFEB84"/>
        <color rgb="FF63BE7B"/>
      </colorScale>
    </cfRule>
    <cfRule type="cellIs" dxfId="5186" priority="9140" operator="equal">
      <formula>"Tax"</formula>
    </cfRule>
  </conditionalFormatting>
  <conditionalFormatting sqref="F500:F501">
    <cfRule type="dataBar" priority="9135">
      <dataBar>
        <cfvo type="min"/>
        <cfvo type="max"/>
        <color rgb="FF638EC6"/>
      </dataBar>
    </cfRule>
    <cfRule type="colorScale" priority="9136">
      <colorScale>
        <cfvo type="min"/>
        <cfvo type="percentile" val="50"/>
        <cfvo type="max"/>
        <color rgb="FFF8696B"/>
        <color rgb="FFFFEB84"/>
        <color rgb="FF63BE7B"/>
      </colorScale>
    </cfRule>
    <cfRule type="cellIs" dxfId="5185" priority="9137" operator="equal">
      <formula>"Income"</formula>
    </cfRule>
  </conditionalFormatting>
  <conditionalFormatting sqref="F501">
    <cfRule type="dataBar" priority="9126">
      <dataBar>
        <cfvo type="min"/>
        <cfvo type="max"/>
        <color rgb="FF638EC6"/>
      </dataBar>
    </cfRule>
    <cfRule type="colorScale" priority="9127">
      <colorScale>
        <cfvo type="min"/>
        <cfvo type="percentile" val="50"/>
        <cfvo type="max"/>
        <color rgb="FFF8696B"/>
        <color rgb="FFFFEB84"/>
        <color rgb="FF63BE7B"/>
      </colorScale>
    </cfRule>
    <cfRule type="cellIs" dxfId="5184" priority="9128" operator="equal">
      <formula>"Tax"</formula>
    </cfRule>
    <cfRule type="cellIs" dxfId="5183" priority="9129" operator="equal">
      <formula>"Cost of Sales"</formula>
    </cfRule>
    <cfRule type="cellIs" dxfId="5182" priority="9130" operator="equal">
      <formula>"Payroll"</formula>
    </cfRule>
    <cfRule type="cellIs" dxfId="5181" priority="9131" operator="equal">
      <formula>"Investment"</formula>
    </cfRule>
    <cfRule type="cellIs" dxfId="5180" priority="9132" operator="equal">
      <formula>"Sunk"</formula>
    </cfRule>
    <cfRule type="cellIs" dxfId="5179" priority="9133" operator="equal">
      <formula>"OpEx"</formula>
    </cfRule>
    <cfRule type="cellIs" dxfId="5178" priority="9134" operator="equal">
      <formula>"CapEx"</formula>
    </cfRule>
  </conditionalFormatting>
  <conditionalFormatting sqref="F502">
    <cfRule type="dataBar" priority="9090">
      <dataBar>
        <cfvo type="min"/>
        <cfvo type="max"/>
        <color rgb="FF638EC6"/>
      </dataBar>
    </cfRule>
    <cfRule type="colorScale" priority="9091">
      <colorScale>
        <cfvo type="min"/>
        <cfvo type="percentile" val="50"/>
        <cfvo type="max"/>
        <color rgb="FFF8696B"/>
        <color rgb="FFFFEB84"/>
        <color rgb="FF63BE7B"/>
      </colorScale>
    </cfRule>
    <cfRule type="cellIs" dxfId="5177" priority="9092" operator="equal">
      <formula>"Tax"</formula>
    </cfRule>
  </conditionalFormatting>
  <conditionalFormatting sqref="F502:F503">
    <cfRule type="cellIs" dxfId="5176" priority="9093" operator="equal">
      <formula>"Income"</formula>
    </cfRule>
    <cfRule type="cellIs" dxfId="5175" priority="9094" operator="equal">
      <formula>"Cost of Sales"</formula>
    </cfRule>
    <cfRule type="cellIs" dxfId="5174" priority="9095" operator="equal">
      <formula>"Payroll"</formula>
    </cfRule>
    <cfRule type="cellIs" dxfId="5173" priority="9096" operator="equal">
      <formula>"Investment"</formula>
    </cfRule>
    <cfRule type="cellIs" dxfId="5172" priority="9097" operator="equal">
      <formula>"Sunk"</formula>
    </cfRule>
    <cfRule type="cellIs" dxfId="5171" priority="9098" operator="equal">
      <formula>"OpEx"</formula>
    </cfRule>
    <cfRule type="cellIs" dxfId="5170" priority="9099" operator="equal">
      <formula>"CapEx"</formula>
    </cfRule>
    <cfRule type="dataBar" priority="9107">
      <dataBar>
        <cfvo type="min"/>
        <cfvo type="max"/>
        <color rgb="FF638EC6"/>
      </dataBar>
    </cfRule>
    <cfRule type="colorScale" priority="9108">
      <colorScale>
        <cfvo type="min"/>
        <cfvo type="percentile" val="50"/>
        <cfvo type="max"/>
        <color rgb="FFF8696B"/>
        <color rgb="FFFFEB84"/>
        <color rgb="FF63BE7B"/>
      </colorScale>
    </cfRule>
    <cfRule type="cellIs" dxfId="5169" priority="9109" operator="equal">
      <formula>"Tax"</formula>
    </cfRule>
  </conditionalFormatting>
  <conditionalFormatting sqref="F503">
    <cfRule type="dataBar" priority="9080">
      <dataBar>
        <cfvo type="min"/>
        <cfvo type="max"/>
        <color rgb="FF638EC6"/>
      </dataBar>
    </cfRule>
    <cfRule type="colorScale" priority="9081">
      <colorScale>
        <cfvo type="min"/>
        <cfvo type="percentile" val="50"/>
        <cfvo type="max"/>
        <color rgb="FFF8696B"/>
        <color rgb="FFFFEB84"/>
        <color rgb="FF63BE7B"/>
      </colorScale>
    </cfRule>
    <cfRule type="cellIs" dxfId="5168" priority="9082" operator="equal">
      <formula>"Tax"</formula>
    </cfRule>
    <cfRule type="cellIs" dxfId="5167" priority="9083" operator="equal">
      <formula>"Cost of Sales"</formula>
    </cfRule>
    <cfRule type="cellIs" dxfId="5166" priority="9084" operator="equal">
      <formula>"Payroll"</formula>
    </cfRule>
    <cfRule type="cellIs" dxfId="5165" priority="9085" operator="equal">
      <formula>"Investment"</formula>
    </cfRule>
    <cfRule type="cellIs" dxfId="5164" priority="9086" operator="equal">
      <formula>"Sunk"</formula>
    </cfRule>
    <cfRule type="cellIs" dxfId="5163" priority="9087" operator="equal">
      <formula>"OpEx"</formula>
    </cfRule>
    <cfRule type="cellIs" dxfId="5162" priority="9088" operator="equal">
      <formula>"CapEx"</formula>
    </cfRule>
    <cfRule type="cellIs" dxfId="5161" priority="9089" operator="equal">
      <formula>"Income"</formula>
    </cfRule>
  </conditionalFormatting>
  <conditionalFormatting sqref="F504">
    <cfRule type="dataBar" priority="9055">
      <dataBar>
        <cfvo type="min"/>
        <cfvo type="max"/>
        <color rgb="FF638EC6"/>
      </dataBar>
    </cfRule>
    <cfRule type="colorScale" priority="9056">
      <colorScale>
        <cfvo type="min"/>
        <cfvo type="percentile" val="50"/>
        <cfvo type="max"/>
        <color rgb="FFF8696B"/>
        <color rgb="FFFFEB84"/>
        <color rgb="FF63BE7B"/>
      </colorScale>
    </cfRule>
    <cfRule type="cellIs" dxfId="5160" priority="9057" operator="equal">
      <formula>"Tax"</formula>
    </cfRule>
    <cfRule type="cellIs" dxfId="5159" priority="9058" operator="equal">
      <formula>"Income"</formula>
    </cfRule>
    <cfRule type="cellIs" dxfId="5158" priority="9059" operator="equal">
      <formula>"Cost of Sales"</formula>
    </cfRule>
    <cfRule type="cellIs" dxfId="5157" priority="9060" operator="equal">
      <formula>"Payroll"</formula>
    </cfRule>
    <cfRule type="cellIs" dxfId="5156" priority="9061" operator="equal">
      <formula>"Investment"</formula>
    </cfRule>
    <cfRule type="cellIs" dxfId="5155" priority="9062" operator="equal">
      <formula>"Sunk"</formula>
    </cfRule>
    <cfRule type="cellIs" dxfId="5154" priority="9063" operator="equal">
      <formula>"OpEx"</formula>
    </cfRule>
    <cfRule type="cellIs" dxfId="5153" priority="9064" operator="equal">
      <formula>"CapEx"</formula>
    </cfRule>
    <cfRule type="dataBar" priority="9065">
      <dataBar>
        <cfvo type="min"/>
        <cfvo type="max"/>
        <color rgb="FF638EC6"/>
      </dataBar>
    </cfRule>
    <cfRule type="colorScale" priority="9066">
      <colorScale>
        <cfvo type="min"/>
        <cfvo type="percentile" val="50"/>
        <cfvo type="max"/>
        <color rgb="FFF8696B"/>
        <color rgb="FFFFEB84"/>
        <color rgb="FF63BE7B"/>
      </colorScale>
    </cfRule>
    <cfRule type="cellIs" dxfId="5152" priority="9067" operator="equal">
      <formula>"Tax"</formula>
    </cfRule>
  </conditionalFormatting>
  <conditionalFormatting sqref="F504:F505">
    <cfRule type="cellIs" dxfId="5151" priority="8942" operator="equal">
      <formula>"Income"</formula>
    </cfRule>
    <cfRule type="cellIs" dxfId="5150" priority="8943" operator="equal">
      <formula>"Cost of Sales"</formula>
    </cfRule>
    <cfRule type="cellIs" dxfId="5149" priority="8944" operator="equal">
      <formula>"Payroll"</formula>
    </cfRule>
    <cfRule type="cellIs" dxfId="5148" priority="8945" operator="equal">
      <formula>"Investment"</formula>
    </cfRule>
    <cfRule type="cellIs" dxfId="5147" priority="8946" operator="equal">
      <formula>"Sunk"</formula>
    </cfRule>
    <cfRule type="cellIs" dxfId="5146" priority="8947" operator="equal">
      <formula>"OpEx"</formula>
    </cfRule>
    <cfRule type="cellIs" dxfId="5145" priority="8948" operator="equal">
      <formula>"CapEx"</formula>
    </cfRule>
  </conditionalFormatting>
  <conditionalFormatting sqref="F505">
    <cfRule type="dataBar" priority="8949">
      <dataBar>
        <cfvo type="min"/>
        <cfvo type="max"/>
        <color rgb="FF638EC6"/>
      </dataBar>
    </cfRule>
    <cfRule type="colorScale" priority="8950">
      <colorScale>
        <cfvo type="min"/>
        <cfvo type="percentile" val="50"/>
        <cfvo type="max"/>
        <color rgb="FFF8696B"/>
        <color rgb="FFFFEB84"/>
        <color rgb="FF63BE7B"/>
      </colorScale>
    </cfRule>
    <cfRule type="cellIs" dxfId="5144" priority="8951" operator="equal">
      <formula>"Tax"</formula>
    </cfRule>
  </conditionalFormatting>
  <conditionalFormatting sqref="F506">
    <cfRule type="dataBar" priority="9027">
      <dataBar>
        <cfvo type="min"/>
        <cfvo type="max"/>
        <color rgb="FF638EC6"/>
      </dataBar>
    </cfRule>
    <cfRule type="colorScale" priority="9028">
      <colorScale>
        <cfvo type="min"/>
        <cfvo type="percentile" val="50"/>
        <cfvo type="max"/>
        <color rgb="FFF8696B"/>
        <color rgb="FFFFEB84"/>
        <color rgb="FF63BE7B"/>
      </colorScale>
    </cfRule>
    <cfRule type="cellIs" dxfId="5143" priority="9029" operator="equal">
      <formula>"Tax"</formula>
    </cfRule>
    <cfRule type="cellIs" dxfId="5142" priority="9030" operator="equal">
      <formula>"Income"</formula>
    </cfRule>
    <cfRule type="cellIs" dxfId="5141" priority="9031" operator="equal">
      <formula>"Cost of Sales"</formula>
    </cfRule>
    <cfRule type="cellIs" dxfId="5140" priority="9032" operator="equal">
      <formula>"Payroll"</formula>
    </cfRule>
    <cfRule type="cellIs" dxfId="5139" priority="9033" operator="equal">
      <formula>"Investment"</formula>
    </cfRule>
    <cfRule type="cellIs" dxfId="5138" priority="9034" operator="equal">
      <formula>"Sunk"</formula>
    </cfRule>
    <cfRule type="cellIs" dxfId="5137" priority="9035" operator="equal">
      <formula>"OpEx"</formula>
    </cfRule>
    <cfRule type="cellIs" dxfId="5136" priority="9036" operator="equal">
      <formula>"CapEx"</formula>
    </cfRule>
  </conditionalFormatting>
  <conditionalFormatting sqref="F507">
    <cfRule type="dataBar" priority="9010">
      <dataBar>
        <cfvo type="min"/>
        <cfvo type="max"/>
        <color rgb="FF638EC6"/>
      </dataBar>
    </cfRule>
    <cfRule type="colorScale" priority="9011">
      <colorScale>
        <cfvo type="min"/>
        <cfvo type="percentile" val="50"/>
        <cfvo type="max"/>
        <color rgb="FFF8696B"/>
        <color rgb="FFFFEB84"/>
        <color rgb="FF63BE7B"/>
      </colorScale>
    </cfRule>
    <cfRule type="cellIs" dxfId="5135" priority="9012" operator="equal">
      <formula>"Tax"</formula>
    </cfRule>
    <cfRule type="cellIs" dxfId="5134" priority="9013" operator="equal">
      <formula>"Income"</formula>
    </cfRule>
    <cfRule type="cellIs" dxfId="5133" priority="9014" operator="equal">
      <formula>"Cost of Sales"</formula>
    </cfRule>
    <cfRule type="cellIs" dxfId="5132" priority="9015" operator="equal">
      <formula>"Payroll"</formula>
    </cfRule>
    <cfRule type="cellIs" dxfId="5131" priority="9016" operator="equal">
      <formula>"Investment"</formula>
    </cfRule>
    <cfRule type="cellIs" dxfId="5130" priority="9017" operator="equal">
      <formula>"Sunk"</formula>
    </cfRule>
    <cfRule type="cellIs" dxfId="5129" priority="9018" operator="equal">
      <formula>"OpEx"</formula>
    </cfRule>
    <cfRule type="cellIs" dxfId="5128" priority="9019" operator="equal">
      <formula>"CapEx"</formula>
    </cfRule>
  </conditionalFormatting>
  <conditionalFormatting sqref="F508">
    <cfRule type="dataBar" priority="8993">
      <dataBar>
        <cfvo type="min"/>
        <cfvo type="max"/>
        <color rgb="FF638EC6"/>
      </dataBar>
    </cfRule>
    <cfRule type="colorScale" priority="8994">
      <colorScale>
        <cfvo type="min"/>
        <cfvo type="percentile" val="50"/>
        <cfvo type="max"/>
        <color rgb="FFF8696B"/>
        <color rgb="FFFFEB84"/>
        <color rgb="FF63BE7B"/>
      </colorScale>
    </cfRule>
    <cfRule type="cellIs" dxfId="5127" priority="8995" operator="equal">
      <formula>"Tax"</formula>
    </cfRule>
    <cfRule type="cellIs" dxfId="5126" priority="8996" operator="equal">
      <formula>"Income"</formula>
    </cfRule>
    <cfRule type="cellIs" dxfId="5125" priority="8997" operator="equal">
      <formula>"Cost of Sales"</formula>
    </cfRule>
    <cfRule type="cellIs" dxfId="5124" priority="8998" operator="equal">
      <formula>"Payroll"</formula>
    </cfRule>
    <cfRule type="cellIs" dxfId="5123" priority="8999" operator="equal">
      <formula>"Investment"</formula>
    </cfRule>
    <cfRule type="cellIs" dxfId="5122" priority="9000" operator="equal">
      <formula>"Sunk"</formula>
    </cfRule>
    <cfRule type="cellIs" dxfId="5121" priority="9001" operator="equal">
      <formula>"OpEx"</formula>
    </cfRule>
    <cfRule type="cellIs" dxfId="5120" priority="9002" operator="equal">
      <formula>"CapEx"</formula>
    </cfRule>
  </conditionalFormatting>
  <conditionalFormatting sqref="F509">
    <cfRule type="dataBar" priority="8976">
      <dataBar>
        <cfvo type="min"/>
        <cfvo type="max"/>
        <color rgb="FF638EC6"/>
      </dataBar>
    </cfRule>
    <cfRule type="colorScale" priority="8977">
      <colorScale>
        <cfvo type="min"/>
        <cfvo type="percentile" val="50"/>
        <cfvo type="max"/>
        <color rgb="FFF8696B"/>
        <color rgb="FFFFEB84"/>
        <color rgb="FF63BE7B"/>
      </colorScale>
    </cfRule>
    <cfRule type="cellIs" dxfId="5119" priority="8979" operator="equal">
      <formula>"Income"</formula>
    </cfRule>
    <cfRule type="cellIs" dxfId="5118" priority="8980" operator="equal">
      <formula>"Cost of Sales"</formula>
    </cfRule>
    <cfRule type="cellIs" dxfId="5117" priority="8981" operator="equal">
      <formula>"Payroll"</formula>
    </cfRule>
    <cfRule type="cellIs" dxfId="5116" priority="8982" operator="equal">
      <formula>"Investment"</formula>
    </cfRule>
    <cfRule type="cellIs" dxfId="5115" priority="8983" operator="equal">
      <formula>"Sunk"</formula>
    </cfRule>
    <cfRule type="cellIs" dxfId="5114" priority="8984" operator="equal">
      <formula>"OpEx"</formula>
    </cfRule>
    <cfRule type="cellIs" dxfId="5113" priority="8985" operator="equal">
      <formula>"CapEx"</formula>
    </cfRule>
  </conditionalFormatting>
  <conditionalFormatting sqref="F509:F510">
    <cfRule type="cellIs" dxfId="5112" priority="8978" operator="equal">
      <formula>"Tax"</formula>
    </cfRule>
  </conditionalFormatting>
  <conditionalFormatting sqref="F511">
    <cfRule type="dataBar" priority="8959">
      <dataBar>
        <cfvo type="min"/>
        <cfvo type="max"/>
        <color rgb="FF638EC6"/>
      </dataBar>
    </cfRule>
    <cfRule type="colorScale" priority="8960">
      <colorScale>
        <cfvo type="min"/>
        <cfvo type="percentile" val="50"/>
        <cfvo type="max"/>
        <color rgb="FFF8696B"/>
        <color rgb="FFFFEB84"/>
        <color rgb="FF63BE7B"/>
      </colorScale>
    </cfRule>
    <cfRule type="cellIs" dxfId="5111" priority="8962" operator="equal">
      <formula>"Income"</formula>
    </cfRule>
    <cfRule type="cellIs" dxfId="5110" priority="8963" operator="equal">
      <formula>"Cost of Sales"</formula>
    </cfRule>
    <cfRule type="cellIs" dxfId="5109" priority="8964" operator="equal">
      <formula>"Payroll"</formula>
    </cfRule>
    <cfRule type="cellIs" dxfId="5108" priority="8965" operator="equal">
      <formula>"Investment"</formula>
    </cfRule>
    <cfRule type="cellIs" dxfId="5107" priority="8966" operator="equal">
      <formula>"Sunk"</formula>
    </cfRule>
    <cfRule type="cellIs" dxfId="5106" priority="8967" operator="equal">
      <formula>"OpEx"</formula>
    </cfRule>
    <cfRule type="cellIs" dxfId="5105" priority="8968" operator="equal">
      <formula>"CapEx"</formula>
    </cfRule>
  </conditionalFormatting>
  <conditionalFormatting sqref="F511:F512">
    <cfRule type="cellIs" dxfId="5104" priority="8961" operator="equal">
      <formula>"Tax"</formula>
    </cfRule>
  </conditionalFormatting>
  <conditionalFormatting sqref="F513">
    <cfRule type="dataBar" priority="8931">
      <dataBar>
        <cfvo type="min"/>
        <cfvo type="max"/>
        <color rgb="FF638EC6"/>
      </dataBar>
    </cfRule>
    <cfRule type="colorScale" priority="8932">
      <colorScale>
        <cfvo type="min"/>
        <cfvo type="percentile" val="50"/>
        <cfvo type="max"/>
        <color rgb="FFF8696B"/>
        <color rgb="FFFFEB84"/>
        <color rgb="FF63BE7B"/>
      </colorScale>
    </cfRule>
    <cfRule type="cellIs" dxfId="5103" priority="8933" operator="equal">
      <formula>"Income"</formula>
    </cfRule>
    <cfRule type="cellIs" dxfId="5102" priority="8934" operator="equal">
      <formula>"Cost of Sales"</formula>
    </cfRule>
    <cfRule type="cellIs" dxfId="5101" priority="8935" operator="equal">
      <formula>"Payroll"</formula>
    </cfRule>
    <cfRule type="cellIs" dxfId="5100" priority="8936" operator="equal">
      <formula>"Investment"</formula>
    </cfRule>
    <cfRule type="cellIs" dxfId="5099" priority="8937" operator="equal">
      <formula>"Sunk"</formula>
    </cfRule>
    <cfRule type="cellIs" dxfId="5098" priority="8938" operator="equal">
      <formula>"OpEx"</formula>
    </cfRule>
    <cfRule type="cellIs" dxfId="5097" priority="8939" operator="equal">
      <formula>"CapEx"</formula>
    </cfRule>
  </conditionalFormatting>
  <conditionalFormatting sqref="F513:F515">
    <cfRule type="cellIs" dxfId="5096" priority="8884" operator="equal">
      <formula>"Tax"</formula>
    </cfRule>
  </conditionalFormatting>
  <conditionalFormatting sqref="F514">
    <cfRule type="dataBar" priority="8905">
      <dataBar>
        <cfvo type="min"/>
        <cfvo type="max"/>
        <color rgb="FF638EC6"/>
      </dataBar>
    </cfRule>
    <cfRule type="colorScale" priority="8906">
      <colorScale>
        <cfvo type="min"/>
        <cfvo type="percentile" val="50"/>
        <cfvo type="max"/>
        <color rgb="FFF8696B"/>
        <color rgb="FFFFEB84"/>
        <color rgb="FF63BE7B"/>
      </colorScale>
    </cfRule>
    <cfRule type="cellIs" dxfId="5095" priority="8907" operator="equal">
      <formula>"Cost of Sales"</formula>
    </cfRule>
    <cfRule type="cellIs" dxfId="5094" priority="8908" operator="equal">
      <formula>"Payroll"</formula>
    </cfRule>
    <cfRule type="cellIs" dxfId="5093" priority="8909" operator="equal">
      <formula>"Investment"</formula>
    </cfRule>
    <cfRule type="cellIs" dxfId="5092" priority="8910" operator="equal">
      <formula>"Sunk"</formula>
    </cfRule>
    <cfRule type="cellIs" dxfId="5091" priority="8911" operator="equal">
      <formula>"OpEx"</formula>
    </cfRule>
    <cfRule type="cellIs" dxfId="5090" priority="8912" operator="equal">
      <formula>"CapEx"</formula>
    </cfRule>
    <cfRule type="cellIs" dxfId="5089" priority="8913" operator="equal">
      <formula>"Income"</formula>
    </cfRule>
  </conditionalFormatting>
  <conditionalFormatting sqref="F515">
    <cfRule type="dataBar" priority="8873">
      <dataBar>
        <cfvo type="min"/>
        <cfvo type="max"/>
        <color rgb="FF638EC6"/>
      </dataBar>
    </cfRule>
    <cfRule type="colorScale" priority="8874">
      <colorScale>
        <cfvo type="min"/>
        <cfvo type="percentile" val="50"/>
        <cfvo type="max"/>
        <color rgb="FFF8696B"/>
        <color rgb="FFFFEB84"/>
        <color rgb="FF63BE7B"/>
      </colorScale>
    </cfRule>
    <cfRule type="cellIs" dxfId="5088" priority="8875" operator="equal">
      <formula>"Tax"</formula>
    </cfRule>
    <cfRule type="cellIs" dxfId="5087" priority="8876" operator="equal">
      <formula>"Cost of Sales"</formula>
    </cfRule>
    <cfRule type="cellIs" dxfId="5086" priority="8877" operator="equal">
      <formula>"Payroll"</formula>
    </cfRule>
    <cfRule type="cellIs" dxfId="5085" priority="8878" operator="equal">
      <formula>"Investment"</formula>
    </cfRule>
    <cfRule type="cellIs" dxfId="5084" priority="8879" operator="equal">
      <formula>"Sunk"</formula>
    </cfRule>
    <cfRule type="cellIs" dxfId="5083" priority="8880" operator="equal">
      <formula>"OpEx"</formula>
    </cfRule>
    <cfRule type="cellIs" dxfId="5082" priority="8881" operator="equal">
      <formula>"CapEx"</formula>
    </cfRule>
    <cfRule type="dataBar" priority="8882">
      <dataBar>
        <cfvo type="min"/>
        <cfvo type="max"/>
        <color rgb="FF638EC6"/>
      </dataBar>
    </cfRule>
    <cfRule type="colorScale" priority="8883">
      <colorScale>
        <cfvo type="min"/>
        <cfvo type="percentile" val="50"/>
        <cfvo type="max"/>
        <color rgb="FFF8696B"/>
        <color rgb="FFFFEB84"/>
        <color rgb="FF63BE7B"/>
      </colorScale>
    </cfRule>
    <cfRule type="cellIs" dxfId="5081" priority="8885" operator="equal">
      <formula>"Income"</formula>
    </cfRule>
    <cfRule type="cellIs" dxfId="5080" priority="8887" operator="equal">
      <formula>"Cost of Sales"</formula>
    </cfRule>
    <cfRule type="cellIs" dxfId="5079" priority="8888" operator="equal">
      <formula>"Payroll"</formula>
    </cfRule>
    <cfRule type="cellIs" dxfId="5078" priority="8889" operator="equal">
      <formula>"Investment"</formula>
    </cfRule>
    <cfRule type="cellIs" dxfId="5077" priority="8890" operator="equal">
      <formula>"Sunk"</formula>
    </cfRule>
    <cfRule type="cellIs" dxfId="5076" priority="8891" operator="equal">
      <formula>"OpEx"</formula>
    </cfRule>
    <cfRule type="cellIs" dxfId="5075" priority="8892" operator="equal">
      <formula>"CapEx"</formula>
    </cfRule>
  </conditionalFormatting>
  <conditionalFormatting sqref="F516">
    <cfRule type="dataBar" priority="8863">
      <dataBar>
        <cfvo type="min"/>
        <cfvo type="max"/>
        <color rgb="FF638EC6"/>
      </dataBar>
    </cfRule>
    <cfRule type="colorScale" priority="8864">
      <colorScale>
        <cfvo type="min"/>
        <cfvo type="percentile" val="50"/>
        <cfvo type="max"/>
        <color rgb="FFF8696B"/>
        <color rgb="FFFFEB84"/>
        <color rgb="FF63BE7B"/>
      </colorScale>
    </cfRule>
    <cfRule type="cellIs" dxfId="5074" priority="8865" operator="equal">
      <formula>"Tax"</formula>
    </cfRule>
    <cfRule type="cellIs" dxfId="5073" priority="8866" operator="equal">
      <formula>"Cost of Sales"</formula>
    </cfRule>
    <cfRule type="cellIs" dxfId="5072" priority="8867" operator="equal">
      <formula>"Payroll"</formula>
    </cfRule>
    <cfRule type="cellIs" dxfId="5071" priority="8868" operator="equal">
      <formula>"Investment"</formula>
    </cfRule>
    <cfRule type="cellIs" dxfId="5070" priority="8869" operator="equal">
      <formula>"Sunk"</formula>
    </cfRule>
    <cfRule type="cellIs" dxfId="5069" priority="8870" operator="equal">
      <formula>"OpEx"</formula>
    </cfRule>
    <cfRule type="cellIs" dxfId="5068" priority="8871" operator="equal">
      <formula>"CapEx"</formula>
    </cfRule>
    <cfRule type="cellIs" dxfId="5067" priority="8872" operator="equal">
      <formula>"Income"</formula>
    </cfRule>
  </conditionalFormatting>
  <conditionalFormatting sqref="F517">
    <cfRule type="dataBar" priority="8849">
      <dataBar>
        <cfvo type="min"/>
        <cfvo type="max"/>
        <color rgb="FF638EC6"/>
      </dataBar>
    </cfRule>
    <cfRule type="colorScale" priority="8850">
      <colorScale>
        <cfvo type="min"/>
        <cfvo type="percentile" val="50"/>
        <cfvo type="max"/>
        <color rgb="FFF8696B"/>
        <color rgb="FFFFEB84"/>
        <color rgb="FF63BE7B"/>
      </colorScale>
    </cfRule>
    <cfRule type="cellIs" dxfId="5066" priority="8851" operator="equal">
      <formula>"Tax"</formula>
    </cfRule>
  </conditionalFormatting>
  <conditionalFormatting sqref="F517:F519">
    <cfRule type="cellIs" dxfId="5065" priority="8800" operator="equal">
      <formula>"Income"</formula>
    </cfRule>
    <cfRule type="cellIs" dxfId="5064" priority="8804" operator="equal">
      <formula>"Cost of Sales"</formula>
    </cfRule>
    <cfRule type="cellIs" dxfId="5063" priority="8805" operator="equal">
      <formula>"Payroll"</formula>
    </cfRule>
    <cfRule type="cellIs" dxfId="5062" priority="8806" operator="equal">
      <formula>"Investment"</formula>
    </cfRule>
    <cfRule type="cellIs" dxfId="5061" priority="8807" operator="equal">
      <formula>"Sunk"</formula>
    </cfRule>
    <cfRule type="cellIs" dxfId="5060" priority="8808" operator="equal">
      <formula>"OpEx"</formula>
    </cfRule>
    <cfRule type="cellIs" dxfId="5059" priority="8809" operator="equal">
      <formula>"CapEx"</formula>
    </cfRule>
  </conditionalFormatting>
  <conditionalFormatting sqref="F518">
    <cfRule type="dataBar" priority="8828">
      <dataBar>
        <cfvo type="min"/>
        <cfvo type="max"/>
        <color rgb="FF638EC6"/>
      </dataBar>
    </cfRule>
    <cfRule type="colorScale" priority="8829">
      <colorScale>
        <cfvo type="min"/>
        <cfvo type="percentile" val="50"/>
        <cfvo type="max"/>
        <color rgb="FFF8696B"/>
        <color rgb="FFFFEB84"/>
        <color rgb="FF63BE7B"/>
      </colorScale>
    </cfRule>
    <cfRule type="cellIs" dxfId="5058" priority="8830" operator="equal">
      <formula>"Tax"</formula>
    </cfRule>
  </conditionalFormatting>
  <conditionalFormatting sqref="F519">
    <cfRule type="dataBar" priority="8801">
      <dataBar>
        <cfvo type="min"/>
        <cfvo type="max"/>
        <color rgb="FF638EC6"/>
      </dataBar>
    </cfRule>
    <cfRule type="colorScale" priority="8802">
      <colorScale>
        <cfvo type="min"/>
        <cfvo type="percentile" val="50"/>
        <cfvo type="max"/>
        <color rgb="FFF8696B"/>
        <color rgb="FFFFEB84"/>
        <color rgb="FF63BE7B"/>
      </colorScale>
    </cfRule>
  </conditionalFormatting>
  <conditionalFormatting sqref="F519:F520">
    <cfRule type="cellIs" dxfId="5057" priority="8803" operator="equal">
      <formula>"Tax"</formula>
    </cfRule>
  </conditionalFormatting>
  <conditionalFormatting sqref="F521">
    <cfRule type="dataBar" priority="8779">
      <dataBar>
        <cfvo type="min"/>
        <cfvo type="max"/>
        <color rgb="FF638EC6"/>
      </dataBar>
    </cfRule>
    <cfRule type="colorScale" priority="8780">
      <colorScale>
        <cfvo type="min"/>
        <cfvo type="percentile" val="50"/>
        <cfvo type="max"/>
        <color rgb="FFF8696B"/>
        <color rgb="FFFFEB84"/>
        <color rgb="FF63BE7B"/>
      </colorScale>
    </cfRule>
    <cfRule type="cellIs" dxfId="5056" priority="8781" operator="equal">
      <formula>"Tax"</formula>
    </cfRule>
    <cfRule type="cellIs" dxfId="5055" priority="8782" operator="equal">
      <formula>"Income"</formula>
    </cfRule>
    <cfRule type="cellIs" dxfId="5054" priority="8783" operator="equal">
      <formula>"Cost of Sales"</formula>
    </cfRule>
    <cfRule type="cellIs" dxfId="5053" priority="8784" operator="equal">
      <formula>"Payroll"</formula>
    </cfRule>
    <cfRule type="cellIs" dxfId="5052" priority="8785" operator="equal">
      <formula>"Investment"</formula>
    </cfRule>
    <cfRule type="cellIs" dxfId="5051" priority="8786" operator="equal">
      <formula>"Sunk"</formula>
    </cfRule>
    <cfRule type="cellIs" dxfId="5050" priority="8787" operator="equal">
      <formula>"OpEx"</formula>
    </cfRule>
    <cfRule type="cellIs" dxfId="5049" priority="8788" operator="equal">
      <formula>"CapEx"</formula>
    </cfRule>
  </conditionalFormatting>
  <conditionalFormatting sqref="F522">
    <cfRule type="dataBar" priority="8766">
      <dataBar>
        <cfvo type="min"/>
        <cfvo type="max"/>
        <color rgb="FF638EC6"/>
      </dataBar>
    </cfRule>
    <cfRule type="colorScale" priority="8767">
      <colorScale>
        <cfvo type="min"/>
        <cfvo type="percentile" val="50"/>
        <cfvo type="max"/>
        <color rgb="FFF8696B"/>
        <color rgb="FFFFEB84"/>
        <color rgb="FF63BE7B"/>
      </colorScale>
    </cfRule>
    <cfRule type="cellIs" dxfId="5048" priority="8768" operator="equal">
      <formula>"Tax"</formula>
    </cfRule>
    <cfRule type="cellIs" dxfId="5047" priority="8769" operator="equal">
      <formula>"Income"</formula>
    </cfRule>
    <cfRule type="cellIs" dxfId="5046" priority="8770" operator="equal">
      <formula>"Cost of Sales"</formula>
    </cfRule>
    <cfRule type="cellIs" dxfId="5045" priority="8771" operator="equal">
      <formula>"Payroll"</formula>
    </cfRule>
    <cfRule type="cellIs" dxfId="5044" priority="8772" operator="equal">
      <formula>"Investment"</formula>
    </cfRule>
    <cfRule type="cellIs" dxfId="5043" priority="8773" operator="equal">
      <formula>"Sunk"</formula>
    </cfRule>
    <cfRule type="cellIs" dxfId="5042" priority="8774" operator="equal">
      <formula>"OpEx"</formula>
    </cfRule>
    <cfRule type="cellIs" dxfId="5041" priority="8775" operator="equal">
      <formula>"CapEx"</formula>
    </cfRule>
    <cfRule type="dataBar" priority="8776">
      <dataBar>
        <cfvo type="min"/>
        <cfvo type="max"/>
        <color rgb="FF638EC6"/>
      </dataBar>
    </cfRule>
    <cfRule type="colorScale" priority="8777">
      <colorScale>
        <cfvo type="min"/>
        <cfvo type="percentile" val="50"/>
        <cfvo type="max"/>
        <color rgb="FFF8696B"/>
        <color rgb="FFFFEB84"/>
        <color rgb="FF63BE7B"/>
      </colorScale>
    </cfRule>
    <cfRule type="cellIs" dxfId="5040" priority="8778" operator="equal">
      <formula>"Tax"</formula>
    </cfRule>
  </conditionalFormatting>
  <conditionalFormatting sqref="F522:F523">
    <cfRule type="cellIs" dxfId="5039" priority="8756" operator="equal">
      <formula>"Income"</formula>
    </cfRule>
    <cfRule type="cellIs" dxfId="5038" priority="8757" operator="equal">
      <formula>"Cost of Sales"</formula>
    </cfRule>
    <cfRule type="cellIs" dxfId="5037" priority="8758" operator="equal">
      <formula>"Payroll"</formula>
    </cfRule>
    <cfRule type="cellIs" dxfId="5036" priority="8759" operator="equal">
      <formula>"Investment"</formula>
    </cfRule>
    <cfRule type="cellIs" dxfId="5035" priority="8760" operator="equal">
      <formula>"Sunk"</formula>
    </cfRule>
    <cfRule type="cellIs" dxfId="5034" priority="8761" operator="equal">
      <formula>"OpEx"</formula>
    </cfRule>
    <cfRule type="cellIs" dxfId="5033" priority="8762" operator="equal">
      <formula>"CapEx"</formula>
    </cfRule>
  </conditionalFormatting>
  <conditionalFormatting sqref="F523">
    <cfRule type="dataBar" priority="8753">
      <dataBar>
        <cfvo type="min"/>
        <cfvo type="max"/>
        <color rgb="FF638EC6"/>
      </dataBar>
    </cfRule>
    <cfRule type="colorScale" priority="8754">
      <colorScale>
        <cfvo type="min"/>
        <cfvo type="percentile" val="50"/>
        <cfvo type="max"/>
        <color rgb="FFF8696B"/>
        <color rgb="FFFFEB84"/>
        <color rgb="FF63BE7B"/>
      </colorScale>
    </cfRule>
    <cfRule type="cellIs" dxfId="5032" priority="8755" operator="equal">
      <formula>"Tax"</formula>
    </cfRule>
    <cfRule type="dataBar" priority="8763">
      <dataBar>
        <cfvo type="min"/>
        <cfvo type="max"/>
        <color rgb="FF638EC6"/>
      </dataBar>
    </cfRule>
    <cfRule type="colorScale" priority="8764">
      <colorScale>
        <cfvo type="min"/>
        <cfvo type="percentile" val="50"/>
        <cfvo type="max"/>
        <color rgb="FFF8696B"/>
        <color rgb="FFFFEB84"/>
        <color rgb="FF63BE7B"/>
      </colorScale>
    </cfRule>
    <cfRule type="cellIs" dxfId="5031" priority="8765" operator="equal">
      <formula>"Tax"</formula>
    </cfRule>
  </conditionalFormatting>
  <conditionalFormatting sqref="F523:F525">
    <cfRule type="cellIs" dxfId="5030" priority="8731" operator="equal">
      <formula>"Income"</formula>
    </cfRule>
  </conditionalFormatting>
  <conditionalFormatting sqref="F523:F526">
    <cfRule type="cellIs" dxfId="5029" priority="8710" operator="equal">
      <formula>"Cost of Sales"</formula>
    </cfRule>
    <cfRule type="cellIs" dxfId="5028" priority="8711" operator="equal">
      <formula>"Payroll"</formula>
    </cfRule>
    <cfRule type="cellIs" dxfId="5027" priority="8712" operator="equal">
      <formula>"Investment"</formula>
    </cfRule>
    <cfRule type="cellIs" dxfId="5026" priority="8713" operator="equal">
      <formula>"Sunk"</formula>
    </cfRule>
    <cfRule type="cellIs" dxfId="5025" priority="8714" operator="equal">
      <formula>"OpEx"</formula>
    </cfRule>
    <cfRule type="cellIs" dxfId="5024" priority="8715" operator="equal">
      <formula>"CapEx"</formula>
    </cfRule>
  </conditionalFormatting>
  <conditionalFormatting sqref="F524">
    <cfRule type="dataBar" priority="8728">
      <dataBar>
        <cfvo type="min"/>
        <cfvo type="max"/>
        <color rgb="FF638EC6"/>
      </dataBar>
    </cfRule>
    <cfRule type="colorScale" priority="8729">
      <colorScale>
        <cfvo type="min"/>
        <cfvo type="percentile" val="50"/>
        <cfvo type="max"/>
        <color rgb="FFF8696B"/>
        <color rgb="FFFFEB84"/>
        <color rgb="FF63BE7B"/>
      </colorScale>
    </cfRule>
    <cfRule type="cellIs" dxfId="5023" priority="8730" operator="equal">
      <formula>"Tax"</formula>
    </cfRule>
  </conditionalFormatting>
  <conditionalFormatting sqref="F525">
    <cfRule type="dataBar" priority="8732">
      <dataBar>
        <cfvo type="min"/>
        <cfvo type="max"/>
        <color rgb="FF638EC6"/>
      </dataBar>
    </cfRule>
    <cfRule type="colorScale" priority="8733">
      <colorScale>
        <cfvo type="min"/>
        <cfvo type="percentile" val="50"/>
        <cfvo type="max"/>
        <color rgb="FFF8696B"/>
        <color rgb="FFFFEB84"/>
        <color rgb="FF63BE7B"/>
      </colorScale>
    </cfRule>
    <cfRule type="cellIs" dxfId="5022" priority="8734" operator="equal">
      <formula>"Tax"</formula>
    </cfRule>
  </conditionalFormatting>
  <conditionalFormatting sqref="F526">
    <cfRule type="dataBar" priority="8707">
      <dataBar>
        <cfvo type="min"/>
        <cfvo type="max"/>
        <color rgb="FF638EC6"/>
      </dataBar>
    </cfRule>
    <cfRule type="colorScale" priority="8708">
      <colorScale>
        <cfvo type="min"/>
        <cfvo type="percentile" val="50"/>
        <cfvo type="max"/>
        <color rgb="FFF8696B"/>
        <color rgb="FFFFEB84"/>
        <color rgb="FF63BE7B"/>
      </colorScale>
    </cfRule>
    <cfRule type="cellIs" dxfId="5021" priority="8709" operator="equal">
      <formula>"Tax"</formula>
    </cfRule>
    <cfRule type="cellIs" dxfId="5020" priority="8716" operator="equal">
      <formula>"Income"</formula>
    </cfRule>
  </conditionalFormatting>
  <conditionalFormatting sqref="F527">
    <cfRule type="dataBar" priority="8704">
      <dataBar>
        <cfvo type="min"/>
        <cfvo type="max"/>
        <color rgb="FF638EC6"/>
      </dataBar>
    </cfRule>
    <cfRule type="colorScale" priority="8705">
      <colorScale>
        <cfvo type="min"/>
        <cfvo type="percentile" val="50"/>
        <cfvo type="max"/>
        <color rgb="FFF8696B"/>
        <color rgb="FFFFEB84"/>
        <color rgb="FF63BE7B"/>
      </colorScale>
    </cfRule>
    <cfRule type="cellIs" dxfId="5019" priority="8706" operator="equal">
      <formula>"Tax"</formula>
    </cfRule>
  </conditionalFormatting>
  <conditionalFormatting sqref="F527:F529">
    <cfRule type="cellIs" dxfId="5018" priority="8697" operator="equal">
      <formula>"Income"</formula>
    </cfRule>
    <cfRule type="cellIs" dxfId="5017" priority="8698" operator="equal">
      <formula>"Cost of Sales"</formula>
    </cfRule>
    <cfRule type="cellIs" dxfId="5016" priority="8699" operator="equal">
      <formula>"Payroll"</formula>
    </cfRule>
    <cfRule type="cellIs" dxfId="5015" priority="8700" operator="equal">
      <formula>"Investment"</formula>
    </cfRule>
    <cfRule type="cellIs" dxfId="5014" priority="8701" operator="equal">
      <formula>"Sunk"</formula>
    </cfRule>
    <cfRule type="cellIs" dxfId="5013" priority="8702" operator="equal">
      <formula>"OpEx"</formula>
    </cfRule>
    <cfRule type="cellIs" dxfId="5012" priority="8703" operator="equal">
      <formula>"CapEx"</formula>
    </cfRule>
  </conditionalFormatting>
  <conditionalFormatting sqref="F528">
    <cfRule type="dataBar" priority="8694">
      <dataBar>
        <cfvo type="min"/>
        <cfvo type="max"/>
        <color rgb="FF638EC6"/>
      </dataBar>
    </cfRule>
    <cfRule type="colorScale" priority="8695">
      <colorScale>
        <cfvo type="min"/>
        <cfvo type="percentile" val="50"/>
        <cfvo type="max"/>
        <color rgb="FFF8696B"/>
        <color rgb="FFFFEB84"/>
        <color rgb="FF63BE7B"/>
      </colorScale>
    </cfRule>
    <cfRule type="cellIs" dxfId="5011" priority="8696" operator="equal">
      <formula>"Tax"</formula>
    </cfRule>
  </conditionalFormatting>
  <conditionalFormatting sqref="F529">
    <cfRule type="dataBar" priority="8691">
      <dataBar>
        <cfvo type="min"/>
        <cfvo type="max"/>
        <color rgb="FF638EC6"/>
      </dataBar>
    </cfRule>
    <cfRule type="colorScale" priority="8692">
      <colorScale>
        <cfvo type="min"/>
        <cfvo type="percentile" val="50"/>
        <cfvo type="max"/>
        <color rgb="FFF8696B"/>
        <color rgb="FFFFEB84"/>
        <color rgb="FF63BE7B"/>
      </colorScale>
    </cfRule>
    <cfRule type="cellIs" dxfId="5010" priority="8693" operator="equal">
      <formula>"Tax"</formula>
    </cfRule>
  </conditionalFormatting>
  <conditionalFormatting sqref="F530">
    <cfRule type="dataBar" priority="8659">
      <dataBar>
        <cfvo type="min"/>
        <cfvo type="max"/>
        <color rgb="FF638EC6"/>
      </dataBar>
    </cfRule>
    <cfRule type="colorScale" priority="8660">
      <colorScale>
        <cfvo type="min"/>
        <cfvo type="percentile" val="50"/>
        <cfvo type="max"/>
        <color rgb="FFF8696B"/>
        <color rgb="FFFFEB84"/>
        <color rgb="FF63BE7B"/>
      </colorScale>
    </cfRule>
  </conditionalFormatting>
  <conditionalFormatting sqref="F530:F531">
    <cfRule type="cellIs" dxfId="5009" priority="8683" operator="equal">
      <formula>"Tax"</formula>
    </cfRule>
  </conditionalFormatting>
  <conditionalFormatting sqref="F530:F532">
    <cfRule type="cellIs" dxfId="5008" priority="8674" operator="equal">
      <formula>"Cost of Sales"</formula>
    </cfRule>
    <cfRule type="cellIs" dxfId="5007" priority="8675" operator="equal">
      <formula>"Payroll"</formula>
    </cfRule>
    <cfRule type="cellIs" dxfId="5006" priority="8676" operator="equal">
      <formula>"Investment"</formula>
    </cfRule>
    <cfRule type="cellIs" dxfId="5005" priority="8677" operator="equal">
      <formula>"Sunk"</formula>
    </cfRule>
    <cfRule type="cellIs" dxfId="5004" priority="8678" operator="equal">
      <formula>"OpEx"</formula>
    </cfRule>
    <cfRule type="cellIs" dxfId="5003" priority="8679" operator="equal">
      <formula>"CapEx"</formula>
    </cfRule>
    <cfRule type="cellIs" dxfId="5002" priority="8680" operator="equal">
      <formula>"Income"</formula>
    </cfRule>
  </conditionalFormatting>
  <conditionalFormatting sqref="F531">
    <cfRule type="dataBar" priority="8681">
      <dataBar>
        <cfvo type="min"/>
        <cfvo type="max"/>
        <color rgb="FF638EC6"/>
      </dataBar>
    </cfRule>
    <cfRule type="colorScale" priority="8682">
      <colorScale>
        <cfvo type="min"/>
        <cfvo type="percentile" val="50"/>
        <cfvo type="max"/>
        <color rgb="FFF8696B"/>
        <color rgb="FFFFEB84"/>
        <color rgb="FF63BE7B"/>
      </colorScale>
    </cfRule>
  </conditionalFormatting>
  <conditionalFormatting sqref="F532">
    <cfRule type="dataBar" priority="8668">
      <dataBar>
        <cfvo type="min"/>
        <cfvo type="max"/>
        <color rgb="FF638EC6"/>
      </dataBar>
    </cfRule>
    <cfRule type="colorScale" priority="8669">
      <colorScale>
        <cfvo type="min"/>
        <cfvo type="percentile" val="50"/>
        <cfvo type="max"/>
        <color rgb="FFF8696B"/>
        <color rgb="FFFFEB84"/>
        <color rgb="FF63BE7B"/>
      </colorScale>
    </cfRule>
    <cfRule type="cellIs" dxfId="5001" priority="8670" operator="equal">
      <formula>"Tax"</formula>
    </cfRule>
    <cfRule type="dataBar" priority="8671">
      <dataBar>
        <cfvo type="min"/>
        <cfvo type="max"/>
        <color rgb="FF638EC6"/>
      </dataBar>
    </cfRule>
    <cfRule type="colorScale" priority="8672">
      <colorScale>
        <cfvo type="min"/>
        <cfvo type="percentile" val="50"/>
        <cfvo type="max"/>
        <color rgb="FFF8696B"/>
        <color rgb="FFFFEB84"/>
        <color rgb="FF63BE7B"/>
      </colorScale>
    </cfRule>
    <cfRule type="cellIs" dxfId="5000" priority="8673" operator="equal">
      <formula>"Tax"</formula>
    </cfRule>
  </conditionalFormatting>
  <conditionalFormatting sqref="F532:F533">
    <cfRule type="cellIs" dxfId="4999" priority="8633" operator="equal">
      <formula>"Income"</formula>
    </cfRule>
    <cfRule type="cellIs" dxfId="4998" priority="8634" operator="equal">
      <formula>"Cost of Sales"</formula>
    </cfRule>
    <cfRule type="cellIs" dxfId="4997" priority="8635" operator="equal">
      <formula>"Payroll"</formula>
    </cfRule>
    <cfRule type="cellIs" dxfId="4996" priority="8636" operator="equal">
      <formula>"Investment"</formula>
    </cfRule>
    <cfRule type="cellIs" dxfId="4995" priority="8637" operator="equal">
      <formula>"Sunk"</formula>
    </cfRule>
    <cfRule type="cellIs" dxfId="4994" priority="8638" operator="equal">
      <formula>"OpEx"</formula>
    </cfRule>
    <cfRule type="cellIs" dxfId="4993" priority="8639" operator="equal">
      <formula>"CapEx"</formula>
    </cfRule>
  </conditionalFormatting>
  <conditionalFormatting sqref="F533">
    <cfRule type="dataBar" priority="8627">
      <dataBar>
        <cfvo type="min"/>
        <cfvo type="max"/>
        <color rgb="FF638EC6"/>
      </dataBar>
    </cfRule>
    <cfRule type="colorScale" priority="8628">
      <colorScale>
        <cfvo type="min"/>
        <cfvo type="percentile" val="50"/>
        <cfvo type="max"/>
        <color rgb="FFF8696B"/>
        <color rgb="FFFFEB84"/>
        <color rgb="FF63BE7B"/>
      </colorScale>
    </cfRule>
    <cfRule type="cellIs" dxfId="4992" priority="8629" operator="equal">
      <formula>"Tax"</formula>
    </cfRule>
    <cfRule type="dataBar" priority="8630">
      <dataBar>
        <cfvo type="min"/>
        <cfvo type="max"/>
        <color rgb="FF638EC6"/>
      </dataBar>
    </cfRule>
    <cfRule type="colorScale" priority="8631">
      <colorScale>
        <cfvo type="min"/>
        <cfvo type="percentile" val="50"/>
        <cfvo type="max"/>
        <color rgb="FFF8696B"/>
        <color rgb="FFFFEB84"/>
        <color rgb="FF63BE7B"/>
      </colorScale>
    </cfRule>
    <cfRule type="cellIs" dxfId="4991" priority="8632" operator="equal">
      <formula>"Tax"</formula>
    </cfRule>
  </conditionalFormatting>
  <conditionalFormatting sqref="F533:F534">
    <cfRule type="cellIs" dxfId="4990" priority="8604" operator="equal">
      <formula>"Income"</formula>
    </cfRule>
    <cfRule type="cellIs" dxfId="4989" priority="8605" operator="equal">
      <formula>"Cost of Sales"</formula>
    </cfRule>
    <cfRule type="cellIs" dxfId="4988" priority="8606" operator="equal">
      <formula>"Payroll"</formula>
    </cfRule>
    <cfRule type="cellIs" dxfId="4987" priority="8607" operator="equal">
      <formula>"Investment"</formula>
    </cfRule>
    <cfRule type="cellIs" dxfId="4986" priority="8608" operator="equal">
      <formula>"Sunk"</formula>
    </cfRule>
    <cfRule type="cellIs" dxfId="4985" priority="8609" operator="equal">
      <formula>"OpEx"</formula>
    </cfRule>
    <cfRule type="cellIs" dxfId="4984" priority="8610" operator="equal">
      <formula>"CapEx"</formula>
    </cfRule>
  </conditionalFormatting>
  <conditionalFormatting sqref="F534">
    <cfRule type="dataBar" priority="8601">
      <dataBar>
        <cfvo type="min"/>
        <cfvo type="max"/>
        <color rgb="FF638EC6"/>
      </dataBar>
    </cfRule>
    <cfRule type="colorScale" priority="8602">
      <colorScale>
        <cfvo type="min"/>
        <cfvo type="percentile" val="50"/>
        <cfvo type="max"/>
        <color rgb="FFF8696B"/>
        <color rgb="FFFFEB84"/>
        <color rgb="FF63BE7B"/>
      </colorScale>
    </cfRule>
  </conditionalFormatting>
  <conditionalFormatting sqref="F534:F535">
    <cfRule type="cellIs" dxfId="4983" priority="8603" operator="equal">
      <formula>"Tax"</formula>
    </cfRule>
  </conditionalFormatting>
  <conditionalFormatting sqref="F536">
    <cfRule type="dataBar" priority="8581">
      <dataBar>
        <cfvo type="min"/>
        <cfvo type="max"/>
        <color rgb="FF638EC6"/>
      </dataBar>
    </cfRule>
    <cfRule type="colorScale" priority="8582">
      <colorScale>
        <cfvo type="min"/>
        <cfvo type="percentile" val="50"/>
        <cfvo type="max"/>
        <color rgb="FFF8696B"/>
        <color rgb="FFFFEB84"/>
        <color rgb="FF63BE7B"/>
      </colorScale>
    </cfRule>
    <cfRule type="cellIs" dxfId="4982" priority="8583" operator="equal">
      <formula>"Tax"</formula>
    </cfRule>
    <cfRule type="cellIs" dxfId="4981" priority="8584" operator="equal">
      <formula>"Income"</formula>
    </cfRule>
    <cfRule type="cellIs" dxfId="4980" priority="8585" operator="equal">
      <formula>"Cost of Sales"</formula>
    </cfRule>
    <cfRule type="cellIs" dxfId="4979" priority="8586" operator="equal">
      <formula>"Payroll"</formula>
    </cfRule>
    <cfRule type="cellIs" dxfId="4978" priority="8587" operator="equal">
      <formula>"Investment"</formula>
    </cfRule>
    <cfRule type="cellIs" dxfId="4977" priority="8588" operator="equal">
      <formula>"Sunk"</formula>
    </cfRule>
    <cfRule type="cellIs" dxfId="4976" priority="8589" operator="equal">
      <formula>"OpEx"</formula>
    </cfRule>
    <cfRule type="cellIs" dxfId="4975" priority="8590" operator="equal">
      <formula>"CapEx"</formula>
    </cfRule>
    <cfRule type="dataBar" priority="8591">
      <dataBar>
        <cfvo type="min"/>
        <cfvo type="max"/>
        <color rgb="FF638EC6"/>
      </dataBar>
    </cfRule>
    <cfRule type="colorScale" priority="8592">
      <colorScale>
        <cfvo type="min"/>
        <cfvo type="percentile" val="50"/>
        <cfvo type="max"/>
        <color rgb="FFF8696B"/>
        <color rgb="FFFFEB84"/>
        <color rgb="FF63BE7B"/>
      </colorScale>
    </cfRule>
    <cfRule type="cellIs" dxfId="4974" priority="8593" operator="equal">
      <formula>"Tax"</formula>
    </cfRule>
  </conditionalFormatting>
  <conditionalFormatting sqref="F536:F537">
    <cfRule type="cellIs" dxfId="4973" priority="8562" operator="equal">
      <formula>"Income"</formula>
    </cfRule>
  </conditionalFormatting>
  <conditionalFormatting sqref="F536:F540">
    <cfRule type="cellIs" dxfId="4972" priority="8539" operator="equal">
      <formula>"Cost of Sales"</formula>
    </cfRule>
    <cfRule type="cellIs" dxfId="4971" priority="8540" operator="equal">
      <formula>"Payroll"</formula>
    </cfRule>
    <cfRule type="cellIs" dxfId="4970" priority="8541" operator="equal">
      <formula>"Investment"</formula>
    </cfRule>
    <cfRule type="cellIs" dxfId="4969" priority="8542" operator="equal">
      <formula>"Sunk"</formula>
    </cfRule>
    <cfRule type="cellIs" dxfId="4968" priority="8543" operator="equal">
      <formula>"OpEx"</formula>
    </cfRule>
    <cfRule type="cellIs" dxfId="4967" priority="8544" operator="equal">
      <formula>"CapEx"</formula>
    </cfRule>
  </conditionalFormatting>
  <conditionalFormatting sqref="F537">
    <cfRule type="dataBar" priority="8559">
      <dataBar>
        <cfvo type="min"/>
        <cfvo type="max"/>
        <color rgb="FF638EC6"/>
      </dataBar>
    </cfRule>
    <cfRule type="colorScale" priority="8560">
      <colorScale>
        <cfvo type="min"/>
        <cfvo type="percentile" val="50"/>
        <cfvo type="max"/>
        <color rgb="FFF8696B"/>
        <color rgb="FFFFEB84"/>
        <color rgb="FF63BE7B"/>
      </colorScale>
    </cfRule>
    <cfRule type="cellIs" dxfId="4966" priority="8561" operator="equal">
      <formula>"Tax"</formula>
    </cfRule>
  </conditionalFormatting>
  <conditionalFormatting sqref="F538">
    <cfRule type="dataBar" priority="8545">
      <dataBar>
        <cfvo type="min"/>
        <cfvo type="max"/>
        <color rgb="FF638EC6"/>
      </dataBar>
    </cfRule>
    <cfRule type="colorScale" priority="8546">
      <colorScale>
        <cfvo type="min"/>
        <cfvo type="percentile" val="50"/>
        <cfvo type="max"/>
        <color rgb="FFF8696B"/>
        <color rgb="FFFFEB84"/>
        <color rgb="FF63BE7B"/>
      </colorScale>
    </cfRule>
    <cfRule type="cellIs" dxfId="4965" priority="8547" operator="equal">
      <formula>"Tax"</formula>
    </cfRule>
  </conditionalFormatting>
  <conditionalFormatting sqref="F538:F540">
    <cfRule type="cellIs" dxfId="4964" priority="8538" operator="equal">
      <formula>"Income"</formula>
    </cfRule>
  </conditionalFormatting>
  <conditionalFormatting sqref="F539">
    <cfRule type="dataBar" priority="8527">
      <dataBar>
        <cfvo type="min"/>
        <cfvo type="max"/>
        <color rgb="FF638EC6"/>
      </dataBar>
    </cfRule>
    <cfRule type="colorScale" priority="8528">
      <colorScale>
        <cfvo type="min"/>
        <cfvo type="percentile" val="50"/>
        <cfvo type="max"/>
        <color rgb="FFF8696B"/>
        <color rgb="FFFFEB84"/>
        <color rgb="FF63BE7B"/>
      </colorScale>
    </cfRule>
    <cfRule type="cellIs" dxfId="4963" priority="8529" operator="equal">
      <formula>"Tax"</formula>
    </cfRule>
    <cfRule type="cellIs" dxfId="4962" priority="8530" operator="equal">
      <formula>"Cost of Sales"</formula>
    </cfRule>
    <cfRule type="cellIs" dxfId="4961" priority="8531" operator="equal">
      <formula>"Payroll"</formula>
    </cfRule>
    <cfRule type="cellIs" dxfId="4960" priority="8532" operator="equal">
      <formula>"Investment"</formula>
    </cfRule>
    <cfRule type="cellIs" dxfId="4959" priority="8533" operator="equal">
      <formula>"Sunk"</formula>
    </cfRule>
    <cfRule type="cellIs" dxfId="4958" priority="8534" operator="equal">
      <formula>"OpEx"</formula>
    </cfRule>
    <cfRule type="cellIs" dxfId="4957" priority="8535" operator="equal">
      <formula>"CapEx"</formula>
    </cfRule>
    <cfRule type="dataBar" priority="8536">
      <dataBar>
        <cfvo type="min"/>
        <cfvo type="max"/>
        <color rgb="FF638EC6"/>
      </dataBar>
    </cfRule>
    <cfRule type="colorScale" priority="8537">
      <colorScale>
        <cfvo type="min"/>
        <cfvo type="percentile" val="50"/>
        <cfvo type="max"/>
        <color rgb="FFF8696B"/>
        <color rgb="FFFFEB84"/>
        <color rgb="FF63BE7B"/>
      </colorScale>
    </cfRule>
  </conditionalFormatting>
  <conditionalFormatting sqref="F539:F540">
    <cfRule type="cellIs" dxfId="4956" priority="8526" operator="equal">
      <formula>"Tax"</formula>
    </cfRule>
  </conditionalFormatting>
  <conditionalFormatting sqref="F540">
    <cfRule type="dataBar" priority="8524">
      <dataBar>
        <cfvo type="min"/>
        <cfvo type="max"/>
        <color rgb="FF638EC6"/>
      </dataBar>
    </cfRule>
    <cfRule type="colorScale" priority="8525">
      <colorScale>
        <cfvo type="min"/>
        <cfvo type="percentile" val="50"/>
        <cfvo type="max"/>
        <color rgb="FFF8696B"/>
        <color rgb="FFFFEB84"/>
        <color rgb="FF63BE7B"/>
      </colorScale>
    </cfRule>
  </conditionalFormatting>
  <conditionalFormatting sqref="F541">
    <cfRule type="dataBar" priority="8521">
      <dataBar>
        <cfvo type="min"/>
        <cfvo type="max"/>
        <color rgb="FF638EC6"/>
      </dataBar>
    </cfRule>
    <cfRule type="colorScale" priority="8522">
      <colorScale>
        <cfvo type="min"/>
        <cfvo type="percentile" val="50"/>
        <cfvo type="max"/>
        <color rgb="FFF8696B"/>
        <color rgb="FFFFEB84"/>
        <color rgb="FF63BE7B"/>
      </colorScale>
    </cfRule>
    <cfRule type="cellIs" dxfId="4955" priority="8523" operator="equal">
      <formula>"Tax"</formula>
    </cfRule>
  </conditionalFormatting>
  <conditionalFormatting sqref="F541:F542">
    <cfRule type="cellIs" dxfId="4954" priority="8485" operator="equal">
      <formula>"Income"</formula>
    </cfRule>
    <cfRule type="cellIs" dxfId="4953" priority="8486" operator="equal">
      <formula>"Cost of Sales"</formula>
    </cfRule>
    <cfRule type="cellIs" dxfId="4952" priority="8487" operator="equal">
      <formula>"Payroll"</formula>
    </cfRule>
    <cfRule type="cellIs" dxfId="4951" priority="8488" operator="equal">
      <formula>"Investment"</formula>
    </cfRule>
    <cfRule type="cellIs" dxfId="4950" priority="8489" operator="equal">
      <formula>"Sunk"</formula>
    </cfRule>
    <cfRule type="cellIs" dxfId="4949" priority="8490" operator="equal">
      <formula>"OpEx"</formula>
    </cfRule>
    <cfRule type="cellIs" dxfId="4948" priority="8491" operator="equal">
      <formula>"CapEx"</formula>
    </cfRule>
  </conditionalFormatting>
  <conditionalFormatting sqref="F542">
    <cfRule type="dataBar" priority="8473">
      <dataBar>
        <cfvo type="min"/>
        <cfvo type="max"/>
        <color rgb="FF638EC6"/>
      </dataBar>
    </cfRule>
    <cfRule type="colorScale" priority="8474">
      <colorScale>
        <cfvo type="min"/>
        <cfvo type="percentile" val="50"/>
        <cfvo type="max"/>
        <color rgb="FFF8696B"/>
        <color rgb="FFFFEB84"/>
        <color rgb="FF63BE7B"/>
      </colorScale>
    </cfRule>
    <cfRule type="cellIs" dxfId="4947" priority="8475" operator="equal">
      <formula>"Tax"</formula>
    </cfRule>
    <cfRule type="cellIs" dxfId="4946" priority="8476" operator="equal">
      <formula>"Cost of Sales"</formula>
    </cfRule>
    <cfRule type="cellIs" dxfId="4945" priority="8477" operator="equal">
      <formula>"Payroll"</formula>
    </cfRule>
    <cfRule type="cellIs" dxfId="4944" priority="8478" operator="equal">
      <formula>"Investment"</formula>
    </cfRule>
    <cfRule type="cellIs" dxfId="4943" priority="8479" operator="equal">
      <formula>"Sunk"</formula>
    </cfRule>
    <cfRule type="cellIs" dxfId="4942" priority="8480" operator="equal">
      <formula>"OpEx"</formula>
    </cfRule>
    <cfRule type="cellIs" dxfId="4941" priority="8481" operator="equal">
      <formula>"CapEx"</formula>
    </cfRule>
    <cfRule type="dataBar" priority="8482">
      <dataBar>
        <cfvo type="min"/>
        <cfvo type="max"/>
        <color rgb="FF638EC6"/>
      </dataBar>
    </cfRule>
    <cfRule type="colorScale" priority="8483">
      <colorScale>
        <cfvo type="min"/>
        <cfvo type="percentile" val="50"/>
        <cfvo type="max"/>
        <color rgb="FFF8696B"/>
        <color rgb="FFFFEB84"/>
        <color rgb="FF63BE7B"/>
      </colorScale>
    </cfRule>
    <cfRule type="cellIs" dxfId="4940" priority="8484" operator="equal">
      <formula>"Tax"</formula>
    </cfRule>
  </conditionalFormatting>
  <conditionalFormatting sqref="F543">
    <cfRule type="dataBar" priority="8454">
      <dataBar>
        <cfvo type="min"/>
        <cfvo type="max"/>
        <color rgb="FF638EC6"/>
      </dataBar>
    </cfRule>
    <cfRule type="colorScale" priority="8455">
      <colorScale>
        <cfvo type="min"/>
        <cfvo type="percentile" val="50"/>
        <cfvo type="max"/>
        <color rgb="FFF8696B"/>
        <color rgb="FFFFEB84"/>
        <color rgb="FF63BE7B"/>
      </colorScale>
    </cfRule>
    <cfRule type="cellIs" dxfId="4939" priority="8456" operator="equal">
      <formula>"Tax"</formula>
    </cfRule>
    <cfRule type="cellIs" dxfId="4938" priority="8457" operator="equal">
      <formula>"Cost of Sales"</formula>
    </cfRule>
    <cfRule type="cellIs" dxfId="4937" priority="8458" operator="equal">
      <formula>"Payroll"</formula>
    </cfRule>
    <cfRule type="cellIs" dxfId="4936" priority="8459" operator="equal">
      <formula>"Investment"</formula>
    </cfRule>
    <cfRule type="cellIs" dxfId="4935" priority="8460" operator="equal">
      <formula>"Sunk"</formula>
    </cfRule>
    <cfRule type="cellIs" dxfId="4934" priority="8461" operator="equal">
      <formula>"OpEx"</formula>
    </cfRule>
    <cfRule type="cellIs" dxfId="4933" priority="8462" operator="equal">
      <formula>"CapEx"</formula>
    </cfRule>
    <cfRule type="dataBar" priority="8463">
      <dataBar>
        <cfvo type="min"/>
        <cfvo type="max"/>
        <color rgb="FF638EC6"/>
      </dataBar>
    </cfRule>
    <cfRule type="colorScale" priority="8464">
      <colorScale>
        <cfvo type="min"/>
        <cfvo type="percentile" val="50"/>
        <cfvo type="max"/>
        <color rgb="FFF8696B"/>
        <color rgb="FFFFEB84"/>
        <color rgb="FF63BE7B"/>
      </colorScale>
    </cfRule>
    <cfRule type="cellIs" dxfId="4932" priority="8465" operator="equal">
      <formula>"Tax"</formula>
    </cfRule>
    <cfRule type="cellIs" dxfId="4931" priority="8466" operator="equal">
      <formula>"Income"</formula>
    </cfRule>
    <cfRule type="cellIs" dxfId="4930" priority="8467" operator="equal">
      <formula>"Cost of Sales"</formula>
    </cfRule>
    <cfRule type="cellIs" dxfId="4929" priority="8468" operator="equal">
      <formula>"Payroll"</formula>
    </cfRule>
    <cfRule type="cellIs" dxfId="4928" priority="8469" operator="equal">
      <formula>"Investment"</formula>
    </cfRule>
    <cfRule type="cellIs" dxfId="4927" priority="8470" operator="equal">
      <formula>"Sunk"</formula>
    </cfRule>
    <cfRule type="cellIs" dxfId="4926" priority="8471" operator="equal">
      <formula>"OpEx"</formula>
    </cfRule>
    <cfRule type="cellIs" dxfId="4925" priority="8472" operator="equal">
      <formula>"CapEx"</formula>
    </cfRule>
  </conditionalFormatting>
  <conditionalFormatting sqref="F544">
    <cfRule type="cellIs" dxfId="4924" priority="8420" operator="equal">
      <formula>"Tax"</formula>
    </cfRule>
    <cfRule type="cellIs" dxfId="4923" priority="8421" operator="equal">
      <formula>"Income"</formula>
    </cfRule>
    <cfRule type="cellIs" dxfId="4922" priority="8422" operator="equal">
      <formula>"Cost of Sales"</formula>
    </cfRule>
    <cfRule type="cellIs" dxfId="4921" priority="8423" operator="equal">
      <formula>"Payroll"</formula>
    </cfRule>
    <cfRule type="cellIs" dxfId="4920" priority="8424" operator="equal">
      <formula>"Investment"</formula>
    </cfRule>
    <cfRule type="cellIs" dxfId="4919" priority="8425" operator="equal">
      <formula>"Sunk"</formula>
    </cfRule>
    <cfRule type="cellIs" dxfId="4918" priority="8426" operator="equal">
      <formula>"OpEx"</formula>
    </cfRule>
    <cfRule type="cellIs" dxfId="4917" priority="8427" operator="equal">
      <formula>"CapEx"</formula>
    </cfRule>
    <cfRule type="dataBar" priority="8432">
      <dataBar>
        <cfvo type="min"/>
        <cfvo type="max"/>
        <color rgb="FF638EC6"/>
      </dataBar>
    </cfRule>
    <cfRule type="colorScale" priority="8433">
      <colorScale>
        <cfvo type="min"/>
        <cfvo type="percentile" val="50"/>
        <cfvo type="max"/>
        <color rgb="FFF8696B"/>
        <color rgb="FFFFEB84"/>
        <color rgb="FF63BE7B"/>
      </colorScale>
    </cfRule>
  </conditionalFormatting>
  <conditionalFormatting sqref="F545">
    <cfRule type="dataBar" priority="8444">
      <dataBar>
        <cfvo type="min"/>
        <cfvo type="max"/>
        <color rgb="FF638EC6"/>
      </dataBar>
    </cfRule>
    <cfRule type="colorScale" priority="8445">
      <colorScale>
        <cfvo type="min"/>
        <cfvo type="percentile" val="50"/>
        <cfvo type="max"/>
        <color rgb="FFF8696B"/>
        <color rgb="FFFFEB84"/>
        <color rgb="FF63BE7B"/>
      </colorScale>
    </cfRule>
    <cfRule type="cellIs" dxfId="4916" priority="8446" operator="equal">
      <formula>"Tax"</formula>
    </cfRule>
    <cfRule type="cellIs" dxfId="4915" priority="8447" operator="equal">
      <formula>"Cost of Sales"</formula>
    </cfRule>
    <cfRule type="cellIs" dxfId="4914" priority="8448" operator="equal">
      <formula>"Payroll"</formula>
    </cfRule>
    <cfRule type="cellIs" dxfId="4913" priority="8449" operator="equal">
      <formula>"Investment"</formula>
    </cfRule>
    <cfRule type="cellIs" dxfId="4912" priority="8450" operator="equal">
      <formula>"Sunk"</formula>
    </cfRule>
    <cfRule type="cellIs" dxfId="4911" priority="8451" operator="equal">
      <formula>"OpEx"</formula>
    </cfRule>
    <cfRule type="cellIs" dxfId="4910" priority="8452" operator="equal">
      <formula>"CapEx"</formula>
    </cfRule>
    <cfRule type="cellIs" dxfId="4909" priority="8453" operator="equal">
      <formula>"Income"</formula>
    </cfRule>
  </conditionalFormatting>
  <conditionalFormatting sqref="F546">
    <cfRule type="dataBar" priority="8403">
      <dataBar>
        <cfvo type="min"/>
        <cfvo type="max"/>
        <color rgb="FF638EC6"/>
      </dataBar>
    </cfRule>
    <cfRule type="colorScale" priority="8404">
      <colorScale>
        <cfvo type="min"/>
        <cfvo type="percentile" val="50"/>
        <cfvo type="max"/>
        <color rgb="FFF8696B"/>
        <color rgb="FFFFEB84"/>
        <color rgb="FF63BE7B"/>
      </colorScale>
    </cfRule>
    <cfRule type="cellIs" dxfId="4908" priority="8405" operator="equal">
      <formula>"Tax"</formula>
    </cfRule>
    <cfRule type="cellIs" dxfId="4907" priority="8406" operator="equal">
      <formula>"Cost of Sales"</formula>
    </cfRule>
    <cfRule type="cellIs" dxfId="4906" priority="8407" operator="equal">
      <formula>"Payroll"</formula>
    </cfRule>
    <cfRule type="cellIs" dxfId="4905" priority="8408" operator="equal">
      <formula>"Investment"</formula>
    </cfRule>
    <cfRule type="cellIs" dxfId="4904" priority="8409" operator="equal">
      <formula>"Sunk"</formula>
    </cfRule>
    <cfRule type="cellIs" dxfId="4903" priority="8410" operator="equal">
      <formula>"OpEx"</formula>
    </cfRule>
    <cfRule type="cellIs" dxfId="4902" priority="8411" operator="equal">
      <formula>"CapEx"</formula>
    </cfRule>
    <cfRule type="cellIs" dxfId="4901" priority="8412" operator="equal">
      <formula>"Income"</formula>
    </cfRule>
  </conditionalFormatting>
  <conditionalFormatting sqref="F547">
    <cfRule type="dataBar" priority="8382">
      <dataBar>
        <cfvo type="min"/>
        <cfvo type="max"/>
        <color rgb="FF638EC6"/>
      </dataBar>
    </cfRule>
    <cfRule type="colorScale" priority="8383">
      <colorScale>
        <cfvo type="min"/>
        <cfvo type="percentile" val="50"/>
        <cfvo type="max"/>
        <color rgb="FFF8696B"/>
        <color rgb="FFFFEB84"/>
        <color rgb="FF63BE7B"/>
      </colorScale>
    </cfRule>
    <cfRule type="cellIs" dxfId="4900" priority="8384" operator="equal">
      <formula>"Tax"</formula>
    </cfRule>
    <cfRule type="cellIs" dxfId="4899" priority="8385" operator="equal">
      <formula>"Cost of Sales"</formula>
    </cfRule>
    <cfRule type="cellIs" dxfId="4898" priority="8386" operator="equal">
      <formula>"Payroll"</formula>
    </cfRule>
    <cfRule type="cellIs" dxfId="4897" priority="8387" operator="equal">
      <formula>"Investment"</formula>
    </cfRule>
    <cfRule type="cellIs" dxfId="4896" priority="8388" operator="equal">
      <formula>"Sunk"</formula>
    </cfRule>
    <cfRule type="cellIs" dxfId="4895" priority="8389" operator="equal">
      <formula>"OpEx"</formula>
    </cfRule>
    <cfRule type="cellIs" dxfId="4894" priority="8390" operator="equal">
      <formula>"CapEx"</formula>
    </cfRule>
    <cfRule type="cellIs" dxfId="4893" priority="8391" operator="equal">
      <formula>"Income"</formula>
    </cfRule>
  </conditionalFormatting>
  <conditionalFormatting sqref="F548">
    <cfRule type="dataBar" priority="8361">
      <dataBar>
        <cfvo type="min"/>
        <cfvo type="max"/>
        <color rgb="FF638EC6"/>
      </dataBar>
    </cfRule>
    <cfRule type="colorScale" priority="8362">
      <colorScale>
        <cfvo type="min"/>
        <cfvo type="percentile" val="50"/>
        <cfvo type="max"/>
        <color rgb="FFF8696B"/>
        <color rgb="FFFFEB84"/>
        <color rgb="FF63BE7B"/>
      </colorScale>
    </cfRule>
    <cfRule type="cellIs" dxfId="4892" priority="8363" operator="equal">
      <formula>"Tax"</formula>
    </cfRule>
    <cfRule type="cellIs" dxfId="4891" priority="8364" operator="equal">
      <formula>"Income"</formula>
    </cfRule>
    <cfRule type="cellIs" dxfId="4890" priority="8365" operator="equal">
      <formula>"Cost of Sales"</formula>
    </cfRule>
    <cfRule type="cellIs" dxfId="4889" priority="8366" operator="equal">
      <formula>"Payroll"</formula>
    </cfRule>
    <cfRule type="cellIs" dxfId="4888" priority="8367" operator="equal">
      <formula>"Investment"</formula>
    </cfRule>
    <cfRule type="cellIs" dxfId="4887" priority="8368" operator="equal">
      <formula>"Sunk"</formula>
    </cfRule>
    <cfRule type="cellIs" dxfId="4886" priority="8369" operator="equal">
      <formula>"OpEx"</formula>
    </cfRule>
    <cfRule type="cellIs" dxfId="4885" priority="8370" operator="equal">
      <formula>"CapEx"</formula>
    </cfRule>
  </conditionalFormatting>
  <conditionalFormatting sqref="F549">
    <cfRule type="dataBar" priority="8358">
      <dataBar>
        <cfvo type="min"/>
        <cfvo type="max"/>
        <color rgb="FF638EC6"/>
      </dataBar>
    </cfRule>
    <cfRule type="colorScale" priority="8359">
      <colorScale>
        <cfvo type="min"/>
        <cfvo type="percentile" val="50"/>
        <cfvo type="max"/>
        <color rgb="FFF8696B"/>
        <color rgb="FFFFEB84"/>
        <color rgb="FF63BE7B"/>
      </colorScale>
    </cfRule>
    <cfRule type="cellIs" dxfId="4884" priority="8360" operator="equal">
      <formula>"Tax"</formula>
    </cfRule>
  </conditionalFormatting>
  <conditionalFormatting sqref="F549:F550">
    <cfRule type="cellIs" dxfId="4883" priority="8351" operator="equal">
      <formula>"Cost of Sales"</formula>
    </cfRule>
    <cfRule type="cellIs" dxfId="4882" priority="8352" operator="equal">
      <formula>"Payroll"</formula>
    </cfRule>
    <cfRule type="cellIs" dxfId="4881" priority="8353" operator="equal">
      <formula>"Investment"</formula>
    </cfRule>
    <cfRule type="cellIs" dxfId="4880" priority="8354" operator="equal">
      <formula>"Sunk"</formula>
    </cfRule>
    <cfRule type="cellIs" dxfId="4879" priority="8355" operator="equal">
      <formula>"OpEx"</formula>
    </cfRule>
    <cfRule type="cellIs" dxfId="4878" priority="8356" operator="equal">
      <formula>"CapEx"</formula>
    </cfRule>
    <cfRule type="cellIs" dxfId="4877" priority="8357" operator="equal">
      <formula>"Income"</formula>
    </cfRule>
  </conditionalFormatting>
  <conditionalFormatting sqref="F550">
    <cfRule type="dataBar" priority="8348">
      <dataBar>
        <cfvo type="min"/>
        <cfvo type="max"/>
        <color rgb="FF638EC6"/>
      </dataBar>
    </cfRule>
    <cfRule type="colorScale" priority="8349">
      <colorScale>
        <cfvo type="min"/>
        <cfvo type="percentile" val="50"/>
        <cfvo type="max"/>
        <color rgb="FFF8696B"/>
        <color rgb="FFFFEB84"/>
        <color rgb="FF63BE7B"/>
      </colorScale>
    </cfRule>
    <cfRule type="cellIs" dxfId="4876" priority="8350" operator="equal">
      <formula>"Tax"</formula>
    </cfRule>
  </conditionalFormatting>
  <conditionalFormatting sqref="F551">
    <cfRule type="dataBar" priority="8335">
      <dataBar>
        <cfvo type="min"/>
        <cfvo type="max"/>
        <color rgb="FF638EC6"/>
      </dataBar>
    </cfRule>
    <cfRule type="colorScale" priority="8336">
      <colorScale>
        <cfvo type="min"/>
        <cfvo type="percentile" val="50"/>
        <cfvo type="max"/>
        <color rgb="FFF8696B"/>
        <color rgb="FFFFEB84"/>
        <color rgb="FF63BE7B"/>
      </colorScale>
    </cfRule>
    <cfRule type="cellIs" dxfId="4875" priority="8337" operator="equal">
      <formula>"Tax"</formula>
    </cfRule>
    <cfRule type="dataBar" priority="8338">
      <dataBar>
        <cfvo type="min"/>
        <cfvo type="max"/>
        <color rgb="FF638EC6"/>
      </dataBar>
    </cfRule>
    <cfRule type="colorScale" priority="8339">
      <colorScale>
        <cfvo type="min"/>
        <cfvo type="percentile" val="50"/>
        <cfvo type="max"/>
        <color rgb="FFF8696B"/>
        <color rgb="FFFFEB84"/>
        <color rgb="FF63BE7B"/>
      </colorScale>
    </cfRule>
    <cfRule type="cellIs" dxfId="4874" priority="8340" operator="equal">
      <formula>"Tax"</formula>
    </cfRule>
    <cfRule type="cellIs" dxfId="4873" priority="8341" operator="equal">
      <formula>"Cost of Sales"</formula>
    </cfRule>
    <cfRule type="cellIs" dxfId="4872" priority="8342" operator="equal">
      <formula>"Payroll"</formula>
    </cfRule>
    <cfRule type="cellIs" dxfId="4871" priority="8343" operator="equal">
      <formula>"Investment"</formula>
    </cfRule>
    <cfRule type="cellIs" dxfId="4870" priority="8344" operator="equal">
      <formula>"Sunk"</formula>
    </cfRule>
    <cfRule type="cellIs" dxfId="4869" priority="8345" operator="equal">
      <formula>"OpEx"</formula>
    </cfRule>
    <cfRule type="cellIs" dxfId="4868" priority="8346" operator="equal">
      <formula>"CapEx"</formula>
    </cfRule>
    <cfRule type="cellIs" dxfId="4867" priority="8347" operator="equal">
      <formula>"Income"</formula>
    </cfRule>
  </conditionalFormatting>
  <conditionalFormatting sqref="F551:F553">
    <cfRule type="cellIs" dxfId="4866" priority="8328" operator="equal">
      <formula>"Income"</formula>
    </cfRule>
    <cfRule type="cellIs" dxfId="4865" priority="8329" operator="equal">
      <formula>"Cost of Sales"</formula>
    </cfRule>
    <cfRule type="cellIs" dxfId="4864" priority="8330" operator="equal">
      <formula>"Payroll"</formula>
    </cfRule>
    <cfRule type="cellIs" dxfId="4863" priority="8331" operator="equal">
      <formula>"Investment"</formula>
    </cfRule>
    <cfRule type="cellIs" dxfId="4862" priority="8332" operator="equal">
      <formula>"Sunk"</formula>
    </cfRule>
    <cfRule type="cellIs" dxfId="4861" priority="8333" operator="equal">
      <formula>"OpEx"</formula>
    </cfRule>
    <cfRule type="cellIs" dxfId="4860" priority="8334" operator="equal">
      <formula>"CapEx"</formula>
    </cfRule>
  </conditionalFormatting>
  <conditionalFormatting sqref="F552">
    <cfRule type="dataBar" priority="8325">
      <dataBar>
        <cfvo type="min"/>
        <cfvo type="max"/>
        <color rgb="FF638EC6"/>
      </dataBar>
    </cfRule>
    <cfRule type="colorScale" priority="8326">
      <colorScale>
        <cfvo type="min"/>
        <cfvo type="percentile" val="50"/>
        <cfvo type="max"/>
        <color rgb="FFF8696B"/>
        <color rgb="FFFFEB84"/>
        <color rgb="FF63BE7B"/>
      </colorScale>
    </cfRule>
    <cfRule type="cellIs" dxfId="4859" priority="8327" operator="equal">
      <formula>"Tax"</formula>
    </cfRule>
  </conditionalFormatting>
  <conditionalFormatting sqref="F553">
    <cfRule type="dataBar" priority="8322">
      <dataBar>
        <cfvo type="min"/>
        <cfvo type="max"/>
        <color rgb="FF638EC6"/>
      </dataBar>
    </cfRule>
    <cfRule type="colorScale" priority="8323">
      <colorScale>
        <cfvo type="min"/>
        <cfvo type="percentile" val="50"/>
        <cfvo type="max"/>
        <color rgb="FFF8696B"/>
        <color rgb="FFFFEB84"/>
        <color rgb="FF63BE7B"/>
      </colorScale>
    </cfRule>
    <cfRule type="cellIs" dxfId="4858" priority="8324" operator="equal">
      <formula>"Tax"</formula>
    </cfRule>
  </conditionalFormatting>
  <conditionalFormatting sqref="F554">
    <cfRule type="dataBar" priority="8278">
      <dataBar>
        <cfvo type="min"/>
        <cfvo type="max"/>
        <color rgb="FF638EC6"/>
      </dataBar>
    </cfRule>
    <cfRule type="colorScale" priority="8279">
      <colorScale>
        <cfvo type="min"/>
        <cfvo type="percentile" val="50"/>
        <cfvo type="max"/>
        <color rgb="FFF8696B"/>
        <color rgb="FFFFEB84"/>
        <color rgb="FF63BE7B"/>
      </colorScale>
    </cfRule>
    <cfRule type="cellIs" dxfId="4857" priority="8280" operator="equal">
      <formula>"Tax"</formula>
    </cfRule>
    <cfRule type="cellIs" dxfId="4856" priority="8281" operator="equal">
      <formula>"Income"</formula>
    </cfRule>
    <cfRule type="cellIs" dxfId="4855" priority="8282" operator="equal">
      <formula>"Cost of Sales"</formula>
    </cfRule>
    <cfRule type="cellIs" dxfId="4854" priority="8283" operator="equal">
      <formula>"Payroll"</formula>
    </cfRule>
    <cfRule type="cellIs" dxfId="4853" priority="8284" operator="equal">
      <formula>"Investment"</formula>
    </cfRule>
    <cfRule type="cellIs" dxfId="4852" priority="8285" operator="equal">
      <formula>"Sunk"</formula>
    </cfRule>
    <cfRule type="cellIs" dxfId="4851" priority="8286" operator="equal">
      <formula>"OpEx"</formula>
    </cfRule>
    <cfRule type="cellIs" dxfId="4850" priority="8287" operator="equal">
      <formula>"CapEx"</formula>
    </cfRule>
  </conditionalFormatting>
  <conditionalFormatting sqref="F555">
    <cfRule type="dataBar" priority="8267">
      <dataBar>
        <cfvo type="min"/>
        <cfvo type="max"/>
        <color rgb="FF638EC6"/>
      </dataBar>
    </cfRule>
    <cfRule type="colorScale" priority="8268">
      <colorScale>
        <cfvo type="min"/>
        <cfvo type="percentile" val="50"/>
        <cfvo type="max"/>
        <color rgb="FFF8696B"/>
        <color rgb="FFFFEB84"/>
        <color rgb="FF63BE7B"/>
      </colorScale>
    </cfRule>
    <cfRule type="cellIs" dxfId="4849" priority="8269" operator="equal">
      <formula>"Tax"</formula>
    </cfRule>
    <cfRule type="cellIs" dxfId="4848" priority="8270" operator="equal">
      <formula>"Income"</formula>
    </cfRule>
  </conditionalFormatting>
  <conditionalFormatting sqref="F555:F556">
    <cfRule type="cellIs" dxfId="4847" priority="8245" operator="equal">
      <formula>"Cost of Sales"</formula>
    </cfRule>
    <cfRule type="cellIs" dxfId="4846" priority="8246" operator="equal">
      <formula>"Payroll"</formula>
    </cfRule>
    <cfRule type="cellIs" dxfId="4845" priority="8247" operator="equal">
      <formula>"Investment"</formula>
    </cfRule>
    <cfRule type="cellIs" dxfId="4844" priority="8248" operator="equal">
      <formula>"Sunk"</formula>
    </cfRule>
    <cfRule type="cellIs" dxfId="4843" priority="8249" operator="equal">
      <formula>"OpEx"</formula>
    </cfRule>
    <cfRule type="cellIs" dxfId="4842" priority="8250" operator="equal">
      <formula>"CapEx"</formula>
    </cfRule>
  </conditionalFormatting>
  <conditionalFormatting sqref="F556">
    <cfRule type="dataBar" priority="8231">
      <dataBar>
        <cfvo type="min"/>
        <cfvo type="max"/>
        <color rgb="FF638EC6"/>
      </dataBar>
    </cfRule>
    <cfRule type="colorScale" priority="8232">
      <colorScale>
        <cfvo type="min"/>
        <cfvo type="percentile" val="50"/>
        <cfvo type="max"/>
        <color rgb="FFF8696B"/>
        <color rgb="FFFFEB84"/>
        <color rgb="FF63BE7B"/>
      </colorScale>
    </cfRule>
    <cfRule type="cellIs" dxfId="4841" priority="8233" operator="equal">
      <formula>"Tax"</formula>
    </cfRule>
    <cfRule type="cellIs" dxfId="4840" priority="8234" operator="equal">
      <formula>"Income"</formula>
    </cfRule>
    <cfRule type="cellIs" dxfId="4839" priority="8235" operator="equal">
      <formula>"Cost of Sales"</formula>
    </cfRule>
    <cfRule type="cellIs" dxfId="4838" priority="8236" operator="equal">
      <formula>"Payroll"</formula>
    </cfRule>
    <cfRule type="cellIs" dxfId="4837" priority="8237" operator="equal">
      <formula>"Investment"</formula>
    </cfRule>
    <cfRule type="cellIs" dxfId="4836" priority="8238" operator="equal">
      <formula>"Sunk"</formula>
    </cfRule>
    <cfRule type="cellIs" dxfId="4835" priority="8239" operator="equal">
      <formula>"OpEx"</formula>
    </cfRule>
    <cfRule type="cellIs" dxfId="4834" priority="8240" operator="equal">
      <formula>"CapEx"</formula>
    </cfRule>
    <cfRule type="dataBar" priority="8241">
      <dataBar>
        <cfvo type="min"/>
        <cfvo type="max"/>
        <color rgb="FF638EC6"/>
      </dataBar>
    </cfRule>
    <cfRule type="colorScale" priority="8242">
      <colorScale>
        <cfvo type="min"/>
        <cfvo type="percentile" val="50"/>
        <cfvo type="max"/>
        <color rgb="FFF8696B"/>
        <color rgb="FFFFEB84"/>
        <color rgb="FF63BE7B"/>
      </colorScale>
    </cfRule>
    <cfRule type="cellIs" dxfId="4833" priority="8243" operator="equal">
      <formula>"Tax"</formula>
    </cfRule>
    <cfRule type="cellIs" dxfId="4832" priority="8244" operator="equal">
      <formula>"Income"</formula>
    </cfRule>
    <cfRule type="dataBar" priority="8251">
      <dataBar>
        <cfvo type="min"/>
        <cfvo type="max"/>
        <color rgb="FF638EC6"/>
      </dataBar>
    </cfRule>
    <cfRule type="colorScale" priority="8252">
      <colorScale>
        <cfvo type="min"/>
        <cfvo type="percentile" val="50"/>
        <cfvo type="max"/>
        <color rgb="FFF8696B"/>
        <color rgb="FFFFEB84"/>
        <color rgb="FF63BE7B"/>
      </colorScale>
    </cfRule>
    <cfRule type="cellIs" dxfId="4831" priority="8253" operator="equal">
      <formula>"Tax"</formula>
    </cfRule>
  </conditionalFormatting>
  <conditionalFormatting sqref="F556:F558">
    <cfRule type="cellIs" dxfId="4830" priority="8224" operator="equal">
      <formula>"Cost of Sales"</formula>
    </cfRule>
    <cfRule type="cellIs" dxfId="4829" priority="8225" operator="equal">
      <formula>"Payroll"</formula>
    </cfRule>
    <cfRule type="cellIs" dxfId="4828" priority="8226" operator="equal">
      <formula>"Investment"</formula>
    </cfRule>
    <cfRule type="cellIs" dxfId="4827" priority="8227" operator="equal">
      <formula>"Sunk"</formula>
    </cfRule>
    <cfRule type="cellIs" dxfId="4826" priority="8228" operator="equal">
      <formula>"OpEx"</formula>
    </cfRule>
    <cfRule type="cellIs" dxfId="4825" priority="8229" operator="equal">
      <formula>"CapEx"</formula>
    </cfRule>
    <cfRule type="cellIs" dxfId="4824" priority="8230" operator="equal">
      <formula>"Income"</formula>
    </cfRule>
  </conditionalFormatting>
  <conditionalFormatting sqref="F557:F558">
    <cfRule type="dataBar" priority="8221">
      <dataBar>
        <cfvo type="min"/>
        <cfvo type="max"/>
        <color rgb="FF638EC6"/>
      </dataBar>
    </cfRule>
    <cfRule type="colorScale" priority="8222">
      <colorScale>
        <cfvo type="min"/>
        <cfvo type="percentile" val="50"/>
        <cfvo type="max"/>
        <color rgb="FFF8696B"/>
        <color rgb="FFFFEB84"/>
        <color rgb="FF63BE7B"/>
      </colorScale>
    </cfRule>
  </conditionalFormatting>
  <conditionalFormatting sqref="F557:F559">
    <cfRule type="cellIs" dxfId="4823" priority="8223" operator="equal">
      <formula>"Tax"</formula>
    </cfRule>
  </conditionalFormatting>
  <conditionalFormatting sqref="F560">
    <cfRule type="dataBar" priority="8197">
      <dataBar>
        <cfvo type="min"/>
        <cfvo type="max"/>
        <color rgb="FF638EC6"/>
      </dataBar>
    </cfRule>
    <cfRule type="colorScale" priority="8198">
      <colorScale>
        <cfvo type="min"/>
        <cfvo type="percentile" val="50"/>
        <cfvo type="max"/>
        <color rgb="FFF8696B"/>
        <color rgb="FFFFEB84"/>
        <color rgb="FF63BE7B"/>
      </colorScale>
    </cfRule>
    <cfRule type="cellIs" dxfId="4822" priority="8199" operator="equal">
      <formula>"Tax"</formula>
    </cfRule>
    <cfRule type="cellIs" dxfId="4821" priority="8200" operator="equal">
      <formula>"Income"</formula>
    </cfRule>
    <cfRule type="cellIs" dxfId="4820" priority="8201" operator="equal">
      <formula>"Cost of Sales"</formula>
    </cfRule>
    <cfRule type="cellIs" dxfId="4819" priority="8202" operator="equal">
      <formula>"Payroll"</formula>
    </cfRule>
    <cfRule type="cellIs" dxfId="4818" priority="8203" operator="equal">
      <formula>"Investment"</formula>
    </cfRule>
    <cfRule type="cellIs" dxfId="4817" priority="8204" operator="equal">
      <formula>"Sunk"</formula>
    </cfRule>
    <cfRule type="cellIs" dxfId="4816" priority="8205" operator="equal">
      <formula>"OpEx"</formula>
    </cfRule>
    <cfRule type="cellIs" dxfId="4815" priority="8206" operator="equal">
      <formula>"CapEx"</formula>
    </cfRule>
    <cfRule type="dataBar" priority="8207">
      <dataBar>
        <cfvo type="min"/>
        <cfvo type="max"/>
        <color rgb="FF638EC6"/>
      </dataBar>
    </cfRule>
    <cfRule type="colorScale" priority="8208">
      <colorScale>
        <cfvo type="min"/>
        <cfvo type="percentile" val="50"/>
        <cfvo type="max"/>
        <color rgb="FFF8696B"/>
        <color rgb="FFFFEB84"/>
        <color rgb="FF63BE7B"/>
      </colorScale>
    </cfRule>
    <cfRule type="cellIs" dxfId="4814" priority="8209" operator="equal">
      <formula>"Tax"</formula>
    </cfRule>
  </conditionalFormatting>
  <conditionalFormatting sqref="F560:F563">
    <cfRule type="cellIs" dxfId="4813" priority="8181" operator="equal">
      <formula>"Cost of Sales"</formula>
    </cfRule>
    <cfRule type="cellIs" dxfId="4812" priority="8182" operator="equal">
      <formula>"Payroll"</formula>
    </cfRule>
    <cfRule type="cellIs" dxfId="4811" priority="8183" operator="equal">
      <formula>"Investment"</formula>
    </cfRule>
    <cfRule type="cellIs" dxfId="4810" priority="8184" operator="equal">
      <formula>"Sunk"</formula>
    </cfRule>
    <cfRule type="cellIs" dxfId="4809" priority="8185" operator="equal">
      <formula>"OpEx"</formula>
    </cfRule>
    <cfRule type="cellIs" dxfId="4808" priority="8186" operator="equal">
      <formula>"CapEx"</formula>
    </cfRule>
    <cfRule type="cellIs" dxfId="4807" priority="8196" operator="equal">
      <formula>"Income"</formula>
    </cfRule>
  </conditionalFormatting>
  <conditionalFormatting sqref="F561">
    <cfRule type="dataBar" priority="8190">
      <dataBar>
        <cfvo type="min"/>
        <cfvo type="max"/>
        <color rgb="FF638EC6"/>
      </dataBar>
    </cfRule>
    <cfRule type="colorScale" priority="8191">
      <colorScale>
        <cfvo type="min"/>
        <cfvo type="percentile" val="50"/>
        <cfvo type="max"/>
        <color rgb="FFF8696B"/>
        <color rgb="FFFFEB84"/>
        <color rgb="FF63BE7B"/>
      </colorScale>
    </cfRule>
    <cfRule type="cellIs" dxfId="4806" priority="8192" operator="equal">
      <formula>"Tax"</formula>
    </cfRule>
  </conditionalFormatting>
  <conditionalFormatting sqref="F562">
    <cfRule type="dataBar" priority="8193">
      <dataBar>
        <cfvo type="min"/>
        <cfvo type="max"/>
        <color rgb="FF638EC6"/>
      </dataBar>
    </cfRule>
    <cfRule type="colorScale" priority="8194">
      <colorScale>
        <cfvo type="min"/>
        <cfvo type="percentile" val="50"/>
        <cfvo type="max"/>
        <color rgb="FFF8696B"/>
        <color rgb="FFFFEB84"/>
        <color rgb="FF63BE7B"/>
      </colorScale>
    </cfRule>
    <cfRule type="cellIs" dxfId="4805" priority="8195" operator="equal">
      <formula>"Tax"</formula>
    </cfRule>
  </conditionalFormatting>
  <conditionalFormatting sqref="F563">
    <cfRule type="dataBar" priority="8178">
      <dataBar>
        <cfvo type="min"/>
        <cfvo type="max"/>
        <color rgb="FF638EC6"/>
      </dataBar>
    </cfRule>
    <cfRule type="colorScale" priority="8179">
      <colorScale>
        <cfvo type="min"/>
        <cfvo type="percentile" val="50"/>
        <cfvo type="max"/>
        <color rgb="FFF8696B"/>
        <color rgb="FFFFEB84"/>
        <color rgb="FF63BE7B"/>
      </colorScale>
    </cfRule>
    <cfRule type="cellIs" dxfId="4804" priority="8180" operator="equal">
      <formula>"Tax"</formula>
    </cfRule>
    <cfRule type="dataBar" priority="8187">
      <dataBar>
        <cfvo type="min"/>
        <cfvo type="max"/>
        <color rgb="FF638EC6"/>
      </dataBar>
    </cfRule>
    <cfRule type="colorScale" priority="8188">
      <colorScale>
        <cfvo type="min"/>
        <cfvo type="percentile" val="50"/>
        <cfvo type="max"/>
        <color rgb="FFF8696B"/>
        <color rgb="FFFFEB84"/>
        <color rgb="FF63BE7B"/>
      </colorScale>
    </cfRule>
    <cfRule type="cellIs" dxfId="4803" priority="8189" operator="equal">
      <formula>"Tax"</formula>
    </cfRule>
  </conditionalFormatting>
  <conditionalFormatting sqref="F563:F564">
    <cfRule type="cellIs" dxfId="4802" priority="8152" operator="equal">
      <formula>"Income"</formula>
    </cfRule>
    <cfRule type="cellIs" dxfId="4801" priority="8153" operator="equal">
      <formula>"Cost of Sales"</formula>
    </cfRule>
    <cfRule type="cellIs" dxfId="4800" priority="8154" operator="equal">
      <formula>"Payroll"</formula>
    </cfRule>
    <cfRule type="cellIs" dxfId="4799" priority="8155" operator="equal">
      <formula>"Investment"</formula>
    </cfRule>
    <cfRule type="cellIs" dxfId="4798" priority="8156" operator="equal">
      <formula>"Sunk"</formula>
    </cfRule>
    <cfRule type="cellIs" dxfId="4797" priority="8157" operator="equal">
      <formula>"OpEx"</formula>
    </cfRule>
    <cfRule type="cellIs" dxfId="4796" priority="8158" operator="equal">
      <formula>"CapEx"</formula>
    </cfRule>
  </conditionalFormatting>
  <conditionalFormatting sqref="F564">
    <cfRule type="dataBar" priority="8149">
      <dataBar>
        <cfvo type="min"/>
        <cfvo type="max"/>
        <color rgb="FF638EC6"/>
      </dataBar>
    </cfRule>
    <cfRule type="colorScale" priority="8150">
      <colorScale>
        <cfvo type="min"/>
        <cfvo type="percentile" val="50"/>
        <cfvo type="max"/>
        <color rgb="FFF8696B"/>
        <color rgb="FFFFEB84"/>
        <color rgb="FF63BE7B"/>
      </colorScale>
    </cfRule>
    <cfRule type="cellIs" dxfId="4795" priority="8151" operator="equal">
      <formula>"Tax"</formula>
    </cfRule>
  </conditionalFormatting>
  <conditionalFormatting sqref="F565">
    <cfRule type="dataBar" priority="8133">
      <dataBar>
        <cfvo type="min"/>
        <cfvo type="max"/>
        <color rgb="FF638EC6"/>
      </dataBar>
    </cfRule>
    <cfRule type="colorScale" priority="8134">
      <colorScale>
        <cfvo type="min"/>
        <cfvo type="percentile" val="50"/>
        <cfvo type="max"/>
        <color rgb="FFF8696B"/>
        <color rgb="FFFFEB84"/>
        <color rgb="FF63BE7B"/>
      </colorScale>
    </cfRule>
    <cfRule type="cellIs" dxfId="4794" priority="8136" operator="equal">
      <formula>"Income"</formula>
    </cfRule>
    <cfRule type="cellIs" dxfId="4793" priority="8137" operator="equal">
      <formula>"Cost of Sales"</formula>
    </cfRule>
    <cfRule type="cellIs" dxfId="4792" priority="8138" operator="equal">
      <formula>"Payroll"</formula>
    </cfRule>
    <cfRule type="cellIs" dxfId="4791" priority="8139" operator="equal">
      <formula>"Investment"</formula>
    </cfRule>
    <cfRule type="cellIs" dxfId="4790" priority="8140" operator="equal">
      <formula>"Sunk"</formula>
    </cfRule>
    <cfRule type="cellIs" dxfId="4789" priority="8141" operator="equal">
      <formula>"OpEx"</formula>
    </cfRule>
    <cfRule type="cellIs" dxfId="4788" priority="8142" operator="equal">
      <formula>"CapEx"</formula>
    </cfRule>
  </conditionalFormatting>
  <conditionalFormatting sqref="F565:F566">
    <cfRule type="cellIs" dxfId="4787" priority="8135" operator="equal">
      <formula>"Tax"</formula>
    </cfRule>
  </conditionalFormatting>
  <conditionalFormatting sqref="F567">
    <cfRule type="dataBar" priority="8111">
      <dataBar>
        <cfvo type="min"/>
        <cfvo type="max"/>
        <color rgb="FF638EC6"/>
      </dataBar>
    </cfRule>
    <cfRule type="colorScale" priority="8112">
      <colorScale>
        <cfvo type="min"/>
        <cfvo type="percentile" val="50"/>
        <cfvo type="max"/>
        <color rgb="FFF8696B"/>
        <color rgb="FFFFEB84"/>
        <color rgb="FF63BE7B"/>
      </colorScale>
    </cfRule>
    <cfRule type="cellIs" dxfId="4786" priority="8113" operator="equal">
      <formula>"Tax"</formula>
    </cfRule>
    <cfRule type="cellIs" dxfId="4785" priority="8114" operator="equal">
      <formula>"Income"</formula>
    </cfRule>
    <cfRule type="cellIs" dxfId="4784" priority="8115" operator="equal">
      <formula>"Cost of Sales"</formula>
    </cfRule>
    <cfRule type="cellIs" dxfId="4783" priority="8116" operator="equal">
      <formula>"Payroll"</formula>
    </cfRule>
    <cfRule type="cellIs" dxfId="4782" priority="8117" operator="equal">
      <formula>"Investment"</formula>
    </cfRule>
    <cfRule type="cellIs" dxfId="4781" priority="8118" operator="equal">
      <formula>"Sunk"</formula>
    </cfRule>
    <cfRule type="cellIs" dxfId="4780" priority="8119" operator="equal">
      <formula>"OpEx"</formula>
    </cfRule>
    <cfRule type="cellIs" dxfId="4779" priority="8120" operator="equal">
      <formula>"CapEx"</formula>
    </cfRule>
  </conditionalFormatting>
  <conditionalFormatting sqref="F568">
    <cfRule type="dataBar" priority="8095">
      <dataBar>
        <cfvo type="min"/>
        <cfvo type="max"/>
        <color rgb="FF638EC6"/>
      </dataBar>
    </cfRule>
    <cfRule type="colorScale" priority="8096">
      <colorScale>
        <cfvo type="min"/>
        <cfvo type="percentile" val="50"/>
        <cfvo type="max"/>
        <color rgb="FFF8696B"/>
        <color rgb="FFFFEB84"/>
        <color rgb="FF63BE7B"/>
      </colorScale>
    </cfRule>
    <cfRule type="cellIs" dxfId="4778" priority="8097" operator="equal">
      <formula>"Cost of Sales"</formula>
    </cfRule>
    <cfRule type="cellIs" dxfId="4777" priority="8098" operator="equal">
      <formula>"Payroll"</formula>
    </cfRule>
    <cfRule type="cellIs" dxfId="4776" priority="8099" operator="equal">
      <formula>"Investment"</formula>
    </cfRule>
    <cfRule type="cellIs" dxfId="4775" priority="8100" operator="equal">
      <formula>"Sunk"</formula>
    </cfRule>
    <cfRule type="cellIs" dxfId="4774" priority="8101" operator="equal">
      <formula>"OpEx"</formula>
    </cfRule>
    <cfRule type="cellIs" dxfId="4773" priority="8102" operator="equal">
      <formula>"CapEx"</formula>
    </cfRule>
    <cfRule type="cellIs" dxfId="4772" priority="8103" operator="equal">
      <formula>"Income"</formula>
    </cfRule>
  </conditionalFormatting>
  <conditionalFormatting sqref="F568:F569">
    <cfRule type="cellIs" dxfId="4771" priority="8082" operator="equal">
      <formula>"Tax"</formula>
    </cfRule>
  </conditionalFormatting>
  <conditionalFormatting sqref="F569">
    <cfRule type="dataBar" priority="8080">
      <dataBar>
        <cfvo type="min"/>
        <cfvo type="max"/>
        <color rgb="FF638EC6"/>
      </dataBar>
    </cfRule>
    <cfRule type="colorScale" priority="8081">
      <colorScale>
        <cfvo type="min"/>
        <cfvo type="percentile" val="50"/>
        <cfvo type="max"/>
        <color rgb="FFF8696B"/>
        <color rgb="FFFFEB84"/>
        <color rgb="FF63BE7B"/>
      </colorScale>
    </cfRule>
  </conditionalFormatting>
  <conditionalFormatting sqref="F569:F570">
    <cfRule type="cellIs" dxfId="4770" priority="8073" operator="equal">
      <formula>"Income"</formula>
    </cfRule>
    <cfRule type="cellIs" dxfId="4769" priority="8074" operator="equal">
      <formula>"Cost of Sales"</formula>
    </cfRule>
    <cfRule type="cellIs" dxfId="4768" priority="8075" operator="equal">
      <formula>"Payroll"</formula>
    </cfRule>
    <cfRule type="cellIs" dxfId="4767" priority="8076" operator="equal">
      <formula>"Investment"</formula>
    </cfRule>
    <cfRule type="cellIs" dxfId="4766" priority="8077" operator="equal">
      <formula>"Sunk"</formula>
    </cfRule>
    <cfRule type="cellIs" dxfId="4765" priority="8078" operator="equal">
      <formula>"OpEx"</formula>
    </cfRule>
    <cfRule type="cellIs" dxfId="4764" priority="8079" operator="equal">
      <formula>"CapEx"</formula>
    </cfRule>
  </conditionalFormatting>
  <conditionalFormatting sqref="F570">
    <cfRule type="dataBar" priority="8061">
      <dataBar>
        <cfvo type="min"/>
        <cfvo type="max"/>
        <color rgb="FF638EC6"/>
      </dataBar>
    </cfRule>
    <cfRule type="colorScale" priority="8062">
      <colorScale>
        <cfvo type="min"/>
        <cfvo type="percentile" val="50"/>
        <cfvo type="max"/>
        <color rgb="FFF8696B"/>
        <color rgb="FFFFEB84"/>
        <color rgb="FF63BE7B"/>
      </colorScale>
    </cfRule>
    <cfRule type="cellIs" dxfId="4763" priority="8063" operator="equal">
      <formula>"Tax"</formula>
    </cfRule>
    <cfRule type="cellIs" dxfId="4762" priority="8064" operator="equal">
      <formula>"Cost of Sales"</formula>
    </cfRule>
    <cfRule type="cellIs" dxfId="4761" priority="8065" operator="equal">
      <formula>"Payroll"</formula>
    </cfRule>
    <cfRule type="cellIs" dxfId="4760" priority="8066" operator="equal">
      <formula>"Investment"</formula>
    </cfRule>
    <cfRule type="cellIs" dxfId="4759" priority="8067" operator="equal">
      <formula>"Sunk"</formula>
    </cfRule>
    <cfRule type="cellIs" dxfId="4758" priority="8068" operator="equal">
      <formula>"OpEx"</formula>
    </cfRule>
    <cfRule type="cellIs" dxfId="4757" priority="8069" operator="equal">
      <formula>"CapEx"</formula>
    </cfRule>
    <cfRule type="dataBar" priority="8070">
      <dataBar>
        <cfvo type="min"/>
        <cfvo type="max"/>
        <color rgb="FF638EC6"/>
      </dataBar>
    </cfRule>
    <cfRule type="colorScale" priority="8071">
      <colorScale>
        <cfvo type="min"/>
        <cfvo type="percentile" val="50"/>
        <cfvo type="max"/>
        <color rgb="FFF8696B"/>
        <color rgb="FFFFEB84"/>
        <color rgb="FF63BE7B"/>
      </colorScale>
    </cfRule>
    <cfRule type="cellIs" dxfId="4756" priority="8072" operator="equal">
      <formula>"Tax"</formula>
    </cfRule>
  </conditionalFormatting>
  <conditionalFormatting sqref="F571">
    <cfRule type="dataBar" priority="8037">
      <dataBar>
        <cfvo type="min"/>
        <cfvo type="max"/>
        <color rgb="FF638EC6"/>
      </dataBar>
    </cfRule>
    <cfRule type="colorScale" priority="8038">
      <colorScale>
        <cfvo type="min"/>
        <cfvo type="percentile" val="50"/>
        <cfvo type="max"/>
        <color rgb="FFF8696B"/>
        <color rgb="FFFFEB84"/>
        <color rgb="FF63BE7B"/>
      </colorScale>
    </cfRule>
    <cfRule type="cellIs" dxfId="4755" priority="8040" operator="equal">
      <formula>"Income"</formula>
    </cfRule>
    <cfRule type="cellIs" dxfId="4754" priority="8041" operator="equal">
      <formula>"Cost of Sales"</formula>
    </cfRule>
    <cfRule type="cellIs" dxfId="4753" priority="8042" operator="equal">
      <formula>"Payroll"</formula>
    </cfRule>
    <cfRule type="cellIs" dxfId="4752" priority="8043" operator="equal">
      <formula>"Investment"</formula>
    </cfRule>
    <cfRule type="cellIs" dxfId="4751" priority="8044" operator="equal">
      <formula>"Sunk"</formula>
    </cfRule>
    <cfRule type="cellIs" dxfId="4750" priority="8045" operator="equal">
      <formula>"OpEx"</formula>
    </cfRule>
    <cfRule type="cellIs" dxfId="4749" priority="8046" operator="equal">
      <formula>"CapEx"</formula>
    </cfRule>
  </conditionalFormatting>
  <conditionalFormatting sqref="F571:F572">
    <cfRule type="cellIs" dxfId="4748" priority="8039" operator="equal">
      <formula>"Tax"</formula>
    </cfRule>
  </conditionalFormatting>
  <conditionalFormatting sqref="F572">
    <cfRule type="dataBar" priority="7973">
      <dataBar>
        <cfvo type="min"/>
        <cfvo type="max"/>
        <color rgb="FF638EC6"/>
      </dataBar>
    </cfRule>
    <cfRule type="colorScale" priority="7974">
      <colorScale>
        <cfvo type="min"/>
        <cfvo type="percentile" val="50"/>
        <cfvo type="max"/>
        <color rgb="FFF8696B"/>
        <color rgb="FFFFEB84"/>
        <color rgb="FF63BE7B"/>
      </colorScale>
    </cfRule>
    <cfRule type="cellIs" dxfId="4747" priority="7976" operator="equal">
      <formula>"Income"</formula>
    </cfRule>
    <cfRule type="cellIs" dxfId="4746" priority="7977" operator="equal">
      <formula>"Cost of Sales"</formula>
    </cfRule>
    <cfRule type="cellIs" dxfId="4745" priority="7978" operator="equal">
      <formula>"Payroll"</formula>
    </cfRule>
    <cfRule type="cellIs" dxfId="4744" priority="7979" operator="equal">
      <formula>"Investment"</formula>
    </cfRule>
    <cfRule type="cellIs" dxfId="4743" priority="7980" operator="equal">
      <formula>"Sunk"</formula>
    </cfRule>
    <cfRule type="cellIs" dxfId="4742" priority="7981" operator="equal">
      <formula>"OpEx"</formula>
    </cfRule>
    <cfRule type="cellIs" dxfId="4741" priority="7982" operator="equal">
      <formula>"CapEx"</formula>
    </cfRule>
  </conditionalFormatting>
  <conditionalFormatting sqref="F573">
    <cfRule type="dataBar" priority="7960">
      <dataBar>
        <cfvo type="min"/>
        <cfvo type="max"/>
        <color rgb="FF638EC6"/>
      </dataBar>
    </cfRule>
    <cfRule type="colorScale" priority="7961">
      <colorScale>
        <cfvo type="min"/>
        <cfvo type="percentile" val="50"/>
        <cfvo type="max"/>
        <color rgb="FFF8696B"/>
        <color rgb="FFFFEB84"/>
        <color rgb="FF63BE7B"/>
      </colorScale>
    </cfRule>
    <cfRule type="cellIs" dxfId="4740" priority="7962" operator="equal">
      <formula>"Tax"</formula>
    </cfRule>
    <cfRule type="cellIs" dxfId="4739" priority="7963" operator="equal">
      <formula>"Income"</formula>
    </cfRule>
    <cfRule type="cellIs" dxfId="4738" priority="7964" operator="equal">
      <formula>"Cost of Sales"</formula>
    </cfRule>
    <cfRule type="cellIs" dxfId="4737" priority="7965" operator="equal">
      <formula>"Payroll"</formula>
    </cfRule>
    <cfRule type="cellIs" dxfId="4736" priority="7966" operator="equal">
      <formula>"Investment"</formula>
    </cfRule>
    <cfRule type="cellIs" dxfId="4735" priority="7967" operator="equal">
      <formula>"Sunk"</formula>
    </cfRule>
    <cfRule type="cellIs" dxfId="4734" priority="7968" operator="equal">
      <formula>"OpEx"</formula>
    </cfRule>
    <cfRule type="cellIs" dxfId="4733" priority="7969" operator="equal">
      <formula>"CapEx"</formula>
    </cfRule>
    <cfRule type="dataBar" priority="7970">
      <dataBar>
        <cfvo type="min"/>
        <cfvo type="max"/>
        <color rgb="FF638EC6"/>
      </dataBar>
    </cfRule>
    <cfRule type="colorScale" priority="7971">
      <colorScale>
        <cfvo type="min"/>
        <cfvo type="percentile" val="50"/>
        <cfvo type="max"/>
        <color rgb="FFF8696B"/>
        <color rgb="FFFFEB84"/>
        <color rgb="FF63BE7B"/>
      </colorScale>
    </cfRule>
    <cfRule type="cellIs" dxfId="4732" priority="7972" operator="equal">
      <formula>"Tax"</formula>
    </cfRule>
  </conditionalFormatting>
  <conditionalFormatting sqref="F573:F574">
    <cfRule type="cellIs" dxfId="4731" priority="7953" operator="equal">
      <formula>"Income"</formula>
    </cfRule>
    <cfRule type="cellIs" dxfId="4730" priority="7954" operator="equal">
      <formula>"Cost of Sales"</formula>
    </cfRule>
    <cfRule type="cellIs" dxfId="4729" priority="7955" operator="equal">
      <formula>"Payroll"</formula>
    </cfRule>
    <cfRule type="cellIs" dxfId="4728" priority="7956" operator="equal">
      <formula>"Investment"</formula>
    </cfRule>
    <cfRule type="cellIs" dxfId="4727" priority="7957" operator="equal">
      <formula>"Sunk"</formula>
    </cfRule>
    <cfRule type="cellIs" dxfId="4726" priority="7958" operator="equal">
      <formula>"OpEx"</formula>
    </cfRule>
    <cfRule type="cellIs" dxfId="4725" priority="7959" operator="equal">
      <formula>"CapEx"</formula>
    </cfRule>
  </conditionalFormatting>
  <conditionalFormatting sqref="F574">
    <cfRule type="cellIs" dxfId="4724" priority="7940" operator="equal">
      <formula>"Income"</formula>
    </cfRule>
    <cfRule type="cellIs" dxfId="4723" priority="7941" operator="equal">
      <formula>"Cost of Sales"</formula>
    </cfRule>
    <cfRule type="cellIs" dxfId="4722" priority="7942" operator="equal">
      <formula>"Payroll"</formula>
    </cfRule>
    <cfRule type="cellIs" dxfId="4721" priority="7943" operator="equal">
      <formula>"Investment"</formula>
    </cfRule>
    <cfRule type="cellIs" dxfId="4720" priority="7944" operator="equal">
      <formula>"Sunk"</formula>
    </cfRule>
    <cfRule type="cellIs" dxfId="4719" priority="7945" operator="equal">
      <formula>"OpEx"</formula>
    </cfRule>
    <cfRule type="cellIs" dxfId="4718" priority="7946" operator="equal">
      <formula>"CapEx"</formula>
    </cfRule>
    <cfRule type="dataBar" priority="7947">
      <dataBar>
        <cfvo type="min"/>
        <cfvo type="max"/>
        <color rgb="FF638EC6"/>
      </dataBar>
    </cfRule>
    <cfRule type="colorScale" priority="7948">
      <colorScale>
        <cfvo type="min"/>
        <cfvo type="percentile" val="50"/>
        <cfvo type="max"/>
        <color rgb="FFF8696B"/>
        <color rgb="FFFFEB84"/>
        <color rgb="FF63BE7B"/>
      </colorScale>
    </cfRule>
    <cfRule type="cellIs" dxfId="4717" priority="7949" operator="equal">
      <formula>"Tax"</formula>
    </cfRule>
    <cfRule type="dataBar" priority="7950">
      <dataBar>
        <cfvo type="min"/>
        <cfvo type="max"/>
        <color rgb="FF638EC6"/>
      </dataBar>
    </cfRule>
    <cfRule type="colorScale" priority="7951">
      <colorScale>
        <cfvo type="min"/>
        <cfvo type="percentile" val="50"/>
        <cfvo type="max"/>
        <color rgb="FFF8696B"/>
        <color rgb="FFFFEB84"/>
        <color rgb="FF63BE7B"/>
      </colorScale>
    </cfRule>
  </conditionalFormatting>
  <conditionalFormatting sqref="F574:F575">
    <cfRule type="cellIs" dxfId="4716" priority="7952" operator="equal">
      <formula>"Tax"</formula>
    </cfRule>
  </conditionalFormatting>
  <conditionalFormatting sqref="F576">
    <cfRule type="dataBar" priority="7919">
      <dataBar>
        <cfvo type="min"/>
        <cfvo type="max"/>
        <color rgb="FF638EC6"/>
      </dataBar>
    </cfRule>
    <cfRule type="colorScale" priority="7920">
      <colorScale>
        <cfvo type="min"/>
        <cfvo type="percentile" val="50"/>
        <cfvo type="max"/>
        <color rgb="FFF8696B"/>
        <color rgb="FFFFEB84"/>
        <color rgb="FF63BE7B"/>
      </colorScale>
    </cfRule>
    <cfRule type="cellIs" dxfId="4715" priority="7921" operator="equal">
      <formula>"Tax"</formula>
    </cfRule>
  </conditionalFormatting>
  <conditionalFormatting sqref="F576:F577">
    <cfRule type="cellIs" dxfId="4714" priority="7922" operator="equal">
      <formula>"Income"</formula>
    </cfRule>
    <cfRule type="cellIs" dxfId="4713" priority="7923" operator="equal">
      <formula>"Cost of Sales"</formula>
    </cfRule>
    <cfRule type="cellIs" dxfId="4712" priority="7924" operator="equal">
      <formula>"Payroll"</formula>
    </cfRule>
    <cfRule type="cellIs" dxfId="4711" priority="7925" operator="equal">
      <formula>"Investment"</formula>
    </cfRule>
    <cfRule type="cellIs" dxfId="4710" priority="7926" operator="equal">
      <formula>"Sunk"</formula>
    </cfRule>
    <cfRule type="cellIs" dxfId="4709" priority="7927" operator="equal">
      <formula>"OpEx"</formula>
    </cfRule>
    <cfRule type="cellIs" dxfId="4708" priority="7928" operator="equal">
      <formula>"CapEx"</formula>
    </cfRule>
  </conditionalFormatting>
  <conditionalFormatting sqref="F577">
    <cfRule type="dataBar" priority="7916">
      <dataBar>
        <cfvo type="min"/>
        <cfvo type="max"/>
        <color rgb="FF638EC6"/>
      </dataBar>
    </cfRule>
    <cfRule type="colorScale" priority="7917">
      <colorScale>
        <cfvo type="min"/>
        <cfvo type="percentile" val="50"/>
        <cfvo type="max"/>
        <color rgb="FFF8696B"/>
        <color rgb="FFFFEB84"/>
        <color rgb="FF63BE7B"/>
      </colorScale>
    </cfRule>
    <cfRule type="cellIs" dxfId="4707" priority="7918" operator="equal">
      <formula>"Tax"</formula>
    </cfRule>
  </conditionalFormatting>
  <conditionalFormatting sqref="F578">
    <cfRule type="dataBar" priority="7894">
      <dataBar>
        <cfvo type="min"/>
        <cfvo type="max"/>
        <color rgb="FF638EC6"/>
      </dataBar>
    </cfRule>
    <cfRule type="colorScale" priority="7895">
      <colorScale>
        <cfvo type="min"/>
        <cfvo type="percentile" val="50"/>
        <cfvo type="max"/>
        <color rgb="FFF8696B"/>
        <color rgb="FFFFEB84"/>
        <color rgb="FF63BE7B"/>
      </colorScale>
    </cfRule>
    <cfRule type="cellIs" dxfId="4706" priority="7896" operator="equal">
      <formula>"Tax"</formula>
    </cfRule>
    <cfRule type="cellIs" dxfId="4705" priority="7897" operator="equal">
      <formula>"Income"</formula>
    </cfRule>
    <cfRule type="cellIs" dxfId="4704" priority="7898" operator="equal">
      <formula>"Cost of Sales"</formula>
    </cfRule>
    <cfRule type="cellIs" dxfId="4703" priority="7899" operator="equal">
      <formula>"Payroll"</formula>
    </cfRule>
    <cfRule type="cellIs" dxfId="4702" priority="7900" operator="equal">
      <formula>"Investment"</formula>
    </cfRule>
    <cfRule type="cellIs" dxfId="4701" priority="7901" operator="equal">
      <formula>"Sunk"</formula>
    </cfRule>
    <cfRule type="cellIs" dxfId="4700" priority="7902" operator="equal">
      <formula>"OpEx"</formula>
    </cfRule>
    <cfRule type="cellIs" dxfId="4699" priority="7903" operator="equal">
      <formula>"CapEx"</formula>
    </cfRule>
  </conditionalFormatting>
  <conditionalFormatting sqref="F579">
    <cfRule type="dataBar" priority="7885">
      <dataBar>
        <cfvo type="min"/>
        <cfvo type="max"/>
        <color rgb="FF638EC6"/>
      </dataBar>
    </cfRule>
    <cfRule type="colorScale" priority="7886">
      <colorScale>
        <cfvo type="min"/>
        <cfvo type="percentile" val="50"/>
        <cfvo type="max"/>
        <color rgb="FFF8696B"/>
        <color rgb="FFFFEB84"/>
        <color rgb="FF63BE7B"/>
      </colorScale>
    </cfRule>
    <cfRule type="cellIs" dxfId="4698" priority="7887" operator="equal">
      <formula>"Tax"</formula>
    </cfRule>
  </conditionalFormatting>
  <conditionalFormatting sqref="F579:F580">
    <cfRule type="cellIs" dxfId="4697" priority="7864" operator="equal">
      <formula>"Income"</formula>
    </cfRule>
    <cfRule type="cellIs" dxfId="4696" priority="7865" operator="equal">
      <formula>"Cost of Sales"</formula>
    </cfRule>
    <cfRule type="cellIs" dxfId="4695" priority="7866" operator="equal">
      <formula>"Payroll"</formula>
    </cfRule>
    <cfRule type="cellIs" dxfId="4694" priority="7867" operator="equal">
      <formula>"Investment"</formula>
    </cfRule>
    <cfRule type="cellIs" dxfId="4693" priority="7868" operator="equal">
      <formula>"Sunk"</formula>
    </cfRule>
    <cfRule type="cellIs" dxfId="4692" priority="7869" operator="equal">
      <formula>"OpEx"</formula>
    </cfRule>
    <cfRule type="cellIs" dxfId="4691" priority="7870" operator="equal">
      <formula>"CapEx"</formula>
    </cfRule>
  </conditionalFormatting>
  <conditionalFormatting sqref="F580">
    <cfRule type="dataBar" priority="7861">
      <dataBar>
        <cfvo type="min"/>
        <cfvo type="max"/>
        <color rgb="FF638EC6"/>
      </dataBar>
    </cfRule>
    <cfRule type="colorScale" priority="7862">
      <colorScale>
        <cfvo type="min"/>
        <cfvo type="percentile" val="50"/>
        <cfvo type="max"/>
        <color rgb="FFF8696B"/>
        <color rgb="FFFFEB84"/>
        <color rgb="FF63BE7B"/>
      </colorScale>
    </cfRule>
    <cfRule type="cellIs" dxfId="4690" priority="7863" operator="equal">
      <formula>"Tax"</formula>
    </cfRule>
  </conditionalFormatting>
  <conditionalFormatting sqref="F581">
    <cfRule type="dataBar" priority="7843">
      <dataBar>
        <cfvo type="min"/>
        <cfvo type="max"/>
        <color rgb="FF638EC6"/>
      </dataBar>
    </cfRule>
    <cfRule type="colorScale" priority="7844">
      <colorScale>
        <cfvo type="min"/>
        <cfvo type="percentile" val="50"/>
        <cfvo type="max"/>
        <color rgb="FFF8696B"/>
        <color rgb="FFFFEB84"/>
        <color rgb="FF63BE7B"/>
      </colorScale>
    </cfRule>
    <cfRule type="cellIs" dxfId="4689" priority="7845" operator="equal">
      <formula>"Tax"</formula>
    </cfRule>
    <cfRule type="cellIs" dxfId="4688" priority="7846" operator="equal">
      <formula>"Income"</formula>
    </cfRule>
    <cfRule type="cellIs" dxfId="4687" priority="7847" operator="equal">
      <formula>"Cost of Sales"</formula>
    </cfRule>
    <cfRule type="cellIs" dxfId="4686" priority="7848" operator="equal">
      <formula>"Payroll"</formula>
    </cfRule>
    <cfRule type="cellIs" dxfId="4685" priority="7849" operator="equal">
      <formula>"Investment"</formula>
    </cfRule>
    <cfRule type="cellIs" dxfId="4684" priority="7850" operator="equal">
      <formula>"Sunk"</formula>
    </cfRule>
    <cfRule type="cellIs" dxfId="4683" priority="7851" operator="equal">
      <formula>"OpEx"</formula>
    </cfRule>
    <cfRule type="cellIs" dxfId="4682" priority="7852" operator="equal">
      <formula>"CapEx"</formula>
    </cfRule>
  </conditionalFormatting>
  <conditionalFormatting sqref="F582:F583">
    <cfRule type="dataBar" priority="7821">
      <dataBar>
        <cfvo type="min"/>
        <cfvo type="max"/>
        <color rgb="FF638EC6"/>
      </dataBar>
    </cfRule>
    <cfRule type="colorScale" priority="7822">
      <colorScale>
        <cfvo type="min"/>
        <cfvo type="percentile" val="50"/>
        <cfvo type="max"/>
        <color rgb="FFF8696B"/>
        <color rgb="FFFFEB84"/>
        <color rgb="FF63BE7B"/>
      </colorScale>
    </cfRule>
    <cfRule type="cellIs" dxfId="4681" priority="7824" operator="equal">
      <formula>"Income"</formula>
    </cfRule>
    <cfRule type="cellIs" dxfId="4680" priority="7825" operator="equal">
      <formula>"Cost of Sales"</formula>
    </cfRule>
    <cfRule type="cellIs" dxfId="4679" priority="7826" operator="equal">
      <formula>"Payroll"</formula>
    </cfRule>
    <cfRule type="cellIs" dxfId="4678" priority="7827" operator="equal">
      <formula>"Investment"</formula>
    </cfRule>
    <cfRule type="cellIs" dxfId="4677" priority="7828" operator="equal">
      <formula>"Sunk"</formula>
    </cfRule>
    <cfRule type="cellIs" dxfId="4676" priority="7829" operator="equal">
      <formula>"OpEx"</formula>
    </cfRule>
    <cfRule type="cellIs" dxfId="4675" priority="7830" operator="equal">
      <formula>"CapEx"</formula>
    </cfRule>
  </conditionalFormatting>
  <conditionalFormatting sqref="F582:F584">
    <cfRule type="cellIs" dxfId="4674" priority="7823" operator="equal">
      <formula>"Tax"</formula>
    </cfRule>
  </conditionalFormatting>
  <conditionalFormatting sqref="F585">
    <cfRule type="cellIs" dxfId="4673" priority="7747" operator="equal">
      <formula>"Income"</formula>
    </cfRule>
    <cfRule type="cellIs" dxfId="4672" priority="7748" operator="equal">
      <formula>"Cost of Sales"</formula>
    </cfRule>
    <cfRule type="cellIs" dxfId="4671" priority="7749" operator="equal">
      <formula>"Payroll"</formula>
    </cfRule>
    <cfRule type="cellIs" dxfId="4670" priority="7750" operator="equal">
      <formula>"Investment"</formula>
    </cfRule>
    <cfRule type="cellIs" dxfId="4669" priority="7751" operator="equal">
      <formula>"Sunk"</formula>
    </cfRule>
    <cfRule type="cellIs" dxfId="4668" priority="7752" operator="equal">
      <formula>"OpEx"</formula>
    </cfRule>
    <cfRule type="cellIs" dxfId="4667" priority="7753" operator="equal">
      <formula>"CapEx"</formula>
    </cfRule>
    <cfRule type="dataBar" priority="7754">
      <dataBar>
        <cfvo type="min"/>
        <cfvo type="max"/>
        <color rgb="FF638EC6"/>
      </dataBar>
    </cfRule>
    <cfRule type="colorScale" priority="7755">
      <colorScale>
        <cfvo type="min"/>
        <cfvo type="percentile" val="50"/>
        <cfvo type="max"/>
        <color rgb="FFF8696B"/>
        <color rgb="FFFFEB84"/>
        <color rgb="FF63BE7B"/>
      </colorScale>
    </cfRule>
    <cfRule type="cellIs" dxfId="4666" priority="7756" operator="equal">
      <formula>"Tax"</formula>
    </cfRule>
  </conditionalFormatting>
  <conditionalFormatting sqref="F586">
    <cfRule type="dataBar" priority="7796">
      <dataBar>
        <cfvo type="min"/>
        <cfvo type="max"/>
        <color rgb="FF638EC6"/>
      </dataBar>
    </cfRule>
    <cfRule type="colorScale" priority="7797">
      <colorScale>
        <cfvo type="min"/>
        <cfvo type="percentile" val="50"/>
        <cfvo type="max"/>
        <color rgb="FFF8696B"/>
        <color rgb="FFFFEB84"/>
        <color rgb="FF63BE7B"/>
      </colorScale>
    </cfRule>
    <cfRule type="cellIs" dxfId="4665" priority="7798" operator="equal">
      <formula>"Tax"</formula>
    </cfRule>
  </conditionalFormatting>
  <conditionalFormatting sqref="F586:F587">
    <cfRule type="cellIs" dxfId="4664" priority="7799" operator="equal">
      <formula>"Income"</formula>
    </cfRule>
    <cfRule type="cellIs" dxfId="4663" priority="7800" operator="equal">
      <formula>"Cost of Sales"</formula>
    </cfRule>
    <cfRule type="cellIs" dxfId="4662" priority="7801" operator="equal">
      <formula>"Payroll"</formula>
    </cfRule>
    <cfRule type="cellIs" dxfId="4661" priority="7802" operator="equal">
      <formula>"Investment"</formula>
    </cfRule>
    <cfRule type="cellIs" dxfId="4660" priority="7803" operator="equal">
      <formula>"Sunk"</formula>
    </cfRule>
    <cfRule type="cellIs" dxfId="4659" priority="7804" operator="equal">
      <formula>"OpEx"</formula>
    </cfRule>
    <cfRule type="cellIs" dxfId="4658" priority="7805" operator="equal">
      <formula>"CapEx"</formula>
    </cfRule>
    <cfRule type="dataBar" priority="7806">
      <dataBar>
        <cfvo type="min"/>
        <cfvo type="max"/>
        <color rgb="FF638EC6"/>
      </dataBar>
    </cfRule>
    <cfRule type="colorScale" priority="7807">
      <colorScale>
        <cfvo type="min"/>
        <cfvo type="percentile" val="50"/>
        <cfvo type="max"/>
        <color rgb="FFF8696B"/>
        <color rgb="FFFFEB84"/>
        <color rgb="FF63BE7B"/>
      </colorScale>
    </cfRule>
    <cfRule type="cellIs" dxfId="4657" priority="7808" operator="equal">
      <formula>"Tax"</formula>
    </cfRule>
  </conditionalFormatting>
  <conditionalFormatting sqref="F587">
    <cfRule type="dataBar" priority="7786">
      <dataBar>
        <cfvo type="min"/>
        <cfvo type="max"/>
        <color rgb="FF638EC6"/>
      </dataBar>
    </cfRule>
    <cfRule type="colorScale" priority="7787">
      <colorScale>
        <cfvo type="min"/>
        <cfvo type="percentile" val="50"/>
        <cfvo type="max"/>
        <color rgb="FFF8696B"/>
        <color rgb="FFFFEB84"/>
        <color rgb="FF63BE7B"/>
      </colorScale>
    </cfRule>
    <cfRule type="cellIs" dxfId="4656" priority="7788" operator="equal">
      <formula>"Tax"</formula>
    </cfRule>
    <cfRule type="cellIs" dxfId="4655" priority="7789" operator="equal">
      <formula>"Cost of Sales"</formula>
    </cfRule>
    <cfRule type="cellIs" dxfId="4654" priority="7790" operator="equal">
      <formula>"Payroll"</formula>
    </cfRule>
    <cfRule type="cellIs" dxfId="4653" priority="7791" operator="equal">
      <formula>"Investment"</formula>
    </cfRule>
    <cfRule type="cellIs" dxfId="4652" priority="7792" operator="equal">
      <formula>"Sunk"</formula>
    </cfRule>
    <cfRule type="cellIs" dxfId="4651" priority="7793" operator="equal">
      <formula>"OpEx"</formula>
    </cfRule>
    <cfRule type="cellIs" dxfId="4650" priority="7794" operator="equal">
      <formula>"CapEx"</formula>
    </cfRule>
    <cfRule type="cellIs" dxfId="4649" priority="7795" operator="equal">
      <formula>"Income"</formula>
    </cfRule>
  </conditionalFormatting>
  <conditionalFormatting sqref="F588">
    <cfRule type="dataBar" priority="7729">
      <dataBar>
        <cfvo type="min"/>
        <cfvo type="max"/>
        <color rgb="FF638EC6"/>
      </dataBar>
    </cfRule>
    <cfRule type="colorScale" priority="7730">
      <colorScale>
        <cfvo type="min"/>
        <cfvo type="percentile" val="50"/>
        <cfvo type="max"/>
        <color rgb="FFF8696B"/>
        <color rgb="FFFFEB84"/>
        <color rgb="FF63BE7B"/>
      </colorScale>
    </cfRule>
    <cfRule type="cellIs" dxfId="4648" priority="7731" operator="equal">
      <formula>"Tax"</formula>
    </cfRule>
    <cfRule type="cellIs" dxfId="4647" priority="7732" operator="equal">
      <formula>"Cost of Sales"</formula>
    </cfRule>
    <cfRule type="cellIs" dxfId="4646" priority="7733" operator="equal">
      <formula>"Payroll"</formula>
    </cfRule>
    <cfRule type="cellIs" dxfId="4645" priority="7734" operator="equal">
      <formula>"Investment"</formula>
    </cfRule>
    <cfRule type="cellIs" dxfId="4644" priority="7735" operator="equal">
      <formula>"Sunk"</formula>
    </cfRule>
    <cfRule type="cellIs" dxfId="4643" priority="7736" operator="equal">
      <formula>"OpEx"</formula>
    </cfRule>
    <cfRule type="cellIs" dxfId="4642" priority="7737" operator="equal">
      <formula>"CapEx"</formula>
    </cfRule>
    <cfRule type="cellIs" dxfId="4641" priority="7738" operator="equal">
      <formula>"Income"</formula>
    </cfRule>
  </conditionalFormatting>
  <conditionalFormatting sqref="F589">
    <cfRule type="dataBar" priority="7708">
      <dataBar>
        <cfvo type="min"/>
        <cfvo type="max"/>
        <color rgb="FF638EC6"/>
      </dataBar>
    </cfRule>
    <cfRule type="colorScale" priority="7709">
      <colorScale>
        <cfvo type="min"/>
        <cfvo type="percentile" val="50"/>
        <cfvo type="max"/>
        <color rgb="FFF8696B"/>
        <color rgb="FFFFEB84"/>
        <color rgb="FF63BE7B"/>
      </colorScale>
    </cfRule>
    <cfRule type="cellIs" dxfId="4640" priority="7710" operator="equal">
      <formula>"Tax"</formula>
    </cfRule>
    <cfRule type="cellIs" dxfId="4639" priority="7711" operator="equal">
      <formula>"Income"</formula>
    </cfRule>
    <cfRule type="cellIs" dxfId="4638" priority="7712" operator="equal">
      <formula>"Cost of Sales"</formula>
    </cfRule>
    <cfRule type="cellIs" dxfId="4637" priority="7713" operator="equal">
      <formula>"Payroll"</formula>
    </cfRule>
    <cfRule type="cellIs" dxfId="4636" priority="7714" operator="equal">
      <formula>"Investment"</formula>
    </cfRule>
    <cfRule type="cellIs" dxfId="4635" priority="7715" operator="equal">
      <formula>"Sunk"</formula>
    </cfRule>
    <cfRule type="cellIs" dxfId="4634" priority="7716" operator="equal">
      <formula>"OpEx"</formula>
    </cfRule>
    <cfRule type="cellIs" dxfId="4633" priority="7717" operator="equal">
      <formula>"CapEx"</formula>
    </cfRule>
  </conditionalFormatting>
  <conditionalFormatting sqref="F590">
    <cfRule type="dataBar" priority="7699">
      <dataBar>
        <cfvo type="min"/>
        <cfvo type="max"/>
        <color rgb="FF638EC6"/>
      </dataBar>
    </cfRule>
    <cfRule type="colorScale" priority="7700">
      <colorScale>
        <cfvo type="min"/>
        <cfvo type="percentile" val="50"/>
        <cfvo type="max"/>
        <color rgb="FFF8696B"/>
        <color rgb="FFFFEB84"/>
        <color rgb="FF63BE7B"/>
      </colorScale>
    </cfRule>
    <cfRule type="cellIs" dxfId="4632" priority="7701" operator="equal">
      <formula>"Cost of Sales"</formula>
    </cfRule>
    <cfRule type="cellIs" dxfId="4631" priority="7702" operator="equal">
      <formula>"Payroll"</formula>
    </cfRule>
    <cfRule type="cellIs" dxfId="4630" priority="7703" operator="equal">
      <formula>"Investment"</formula>
    </cfRule>
    <cfRule type="cellIs" dxfId="4629" priority="7704" operator="equal">
      <formula>"Sunk"</formula>
    </cfRule>
    <cfRule type="cellIs" dxfId="4628" priority="7705" operator="equal">
      <formula>"OpEx"</formula>
    </cfRule>
    <cfRule type="cellIs" dxfId="4627" priority="7706" operator="equal">
      <formula>"CapEx"</formula>
    </cfRule>
    <cfRule type="cellIs" dxfId="4626" priority="7707" operator="equal">
      <formula>"Income"</formula>
    </cfRule>
  </conditionalFormatting>
  <conditionalFormatting sqref="F590:F594">
    <cfRule type="cellIs" dxfId="4625" priority="7679" operator="equal">
      <formula>"Tax"</formula>
    </cfRule>
  </conditionalFormatting>
  <conditionalFormatting sqref="F592">
    <cfRule type="dataBar" priority="7677">
      <dataBar>
        <cfvo type="min"/>
        <cfvo type="max"/>
        <color rgb="FF638EC6"/>
      </dataBar>
    </cfRule>
    <cfRule type="colorScale" priority="7678">
      <colorScale>
        <cfvo type="min"/>
        <cfvo type="percentile" val="50"/>
        <cfvo type="max"/>
        <color rgb="FFF8696B"/>
        <color rgb="FFFFEB84"/>
        <color rgb="FF63BE7B"/>
      </colorScale>
    </cfRule>
    <cfRule type="cellIs" dxfId="4624" priority="7680" operator="equal">
      <formula>"Income"</formula>
    </cfRule>
    <cfRule type="cellIs" dxfId="4623" priority="7681" operator="equal">
      <formula>"Cost of Sales"</formula>
    </cfRule>
    <cfRule type="cellIs" dxfId="4622" priority="7682" operator="equal">
      <formula>"Payroll"</formula>
    </cfRule>
    <cfRule type="cellIs" dxfId="4621" priority="7683" operator="equal">
      <formula>"Investment"</formula>
    </cfRule>
    <cfRule type="cellIs" dxfId="4620" priority="7684" operator="equal">
      <formula>"Sunk"</formula>
    </cfRule>
    <cfRule type="cellIs" dxfId="4619" priority="7685" operator="equal">
      <formula>"OpEx"</formula>
    </cfRule>
    <cfRule type="cellIs" dxfId="4618" priority="7686" operator="equal">
      <formula>"CapEx"</formula>
    </cfRule>
  </conditionalFormatting>
  <conditionalFormatting sqref="F595">
    <cfRule type="dataBar" priority="7660">
      <dataBar>
        <cfvo type="min"/>
        <cfvo type="max"/>
        <color rgb="FF638EC6"/>
      </dataBar>
    </cfRule>
    <cfRule type="colorScale" priority="7661">
      <colorScale>
        <cfvo type="min"/>
        <cfvo type="percentile" val="50"/>
        <cfvo type="max"/>
        <color rgb="FFF8696B"/>
        <color rgb="FFFFEB84"/>
        <color rgb="FF63BE7B"/>
      </colorScale>
    </cfRule>
    <cfRule type="cellIs" dxfId="4617" priority="7662" operator="equal">
      <formula>"Tax"</formula>
    </cfRule>
    <cfRule type="cellIs" dxfId="4616" priority="7663" operator="equal">
      <formula>"Cost of Sales"</formula>
    </cfRule>
    <cfRule type="cellIs" dxfId="4615" priority="7664" operator="equal">
      <formula>"Payroll"</formula>
    </cfRule>
    <cfRule type="cellIs" dxfId="4614" priority="7665" operator="equal">
      <formula>"Investment"</formula>
    </cfRule>
    <cfRule type="cellIs" dxfId="4613" priority="7666" operator="equal">
      <formula>"Sunk"</formula>
    </cfRule>
    <cfRule type="cellIs" dxfId="4612" priority="7667" operator="equal">
      <formula>"OpEx"</formula>
    </cfRule>
    <cfRule type="cellIs" dxfId="4611" priority="7668" operator="equal">
      <formula>"CapEx"</formula>
    </cfRule>
    <cfRule type="cellIs" dxfId="4610" priority="7669" operator="equal">
      <formula>"Income"</formula>
    </cfRule>
  </conditionalFormatting>
  <conditionalFormatting sqref="F596">
    <cfRule type="dataBar" priority="7646">
      <dataBar>
        <cfvo type="min"/>
        <cfvo type="max"/>
        <color rgb="FF638EC6"/>
      </dataBar>
    </cfRule>
    <cfRule type="colorScale" priority="7647">
      <colorScale>
        <cfvo type="min"/>
        <cfvo type="percentile" val="50"/>
        <cfvo type="max"/>
        <color rgb="FFF8696B"/>
        <color rgb="FFFFEB84"/>
        <color rgb="FF63BE7B"/>
      </colorScale>
    </cfRule>
    <cfRule type="cellIs" dxfId="4609" priority="7648" operator="equal">
      <formula>"Tax"</formula>
    </cfRule>
    <cfRule type="cellIs" dxfId="4608" priority="7649" operator="equal">
      <formula>"Income"</formula>
    </cfRule>
    <cfRule type="cellIs" dxfId="4607" priority="7650" operator="equal">
      <formula>"Cost of Sales"</formula>
    </cfRule>
    <cfRule type="cellIs" dxfId="4606" priority="7651" operator="equal">
      <formula>"Payroll"</formula>
    </cfRule>
    <cfRule type="cellIs" dxfId="4605" priority="7652" operator="equal">
      <formula>"Investment"</formula>
    </cfRule>
    <cfRule type="cellIs" dxfId="4604" priority="7653" operator="equal">
      <formula>"Sunk"</formula>
    </cfRule>
    <cfRule type="cellIs" dxfId="4603" priority="7654" operator="equal">
      <formula>"OpEx"</formula>
    </cfRule>
    <cfRule type="cellIs" dxfId="4602" priority="7655" operator="equal">
      <formula>"CapEx"</formula>
    </cfRule>
  </conditionalFormatting>
  <conditionalFormatting sqref="F597">
    <cfRule type="dataBar" priority="7643">
      <dataBar>
        <cfvo type="min"/>
        <cfvo type="max"/>
        <color rgb="FF638EC6"/>
      </dataBar>
    </cfRule>
    <cfRule type="colorScale" priority="7644">
      <colorScale>
        <cfvo type="min"/>
        <cfvo type="percentile" val="50"/>
        <cfvo type="max"/>
        <color rgb="FFF8696B"/>
        <color rgb="FFFFEB84"/>
        <color rgb="FF63BE7B"/>
      </colorScale>
    </cfRule>
    <cfRule type="cellIs" dxfId="4601" priority="7645" operator="equal">
      <formula>"Tax"</formula>
    </cfRule>
  </conditionalFormatting>
  <conditionalFormatting sqref="F597:F598">
    <cfRule type="cellIs" dxfId="4600" priority="7636" operator="equal">
      <formula>"Cost of Sales"</formula>
    </cfRule>
    <cfRule type="cellIs" dxfId="4599" priority="7637" operator="equal">
      <formula>"Payroll"</formula>
    </cfRule>
    <cfRule type="cellIs" dxfId="4598" priority="7638" operator="equal">
      <formula>"Investment"</formula>
    </cfRule>
    <cfRule type="cellIs" dxfId="4597" priority="7639" operator="equal">
      <formula>"Sunk"</formula>
    </cfRule>
    <cfRule type="cellIs" dxfId="4596" priority="7640" operator="equal">
      <formula>"OpEx"</formula>
    </cfRule>
    <cfRule type="cellIs" dxfId="4595" priority="7641" operator="equal">
      <formula>"CapEx"</formula>
    </cfRule>
    <cfRule type="cellIs" dxfId="4594" priority="7642" operator="equal">
      <formula>"Income"</formula>
    </cfRule>
  </conditionalFormatting>
  <conditionalFormatting sqref="F598">
    <cfRule type="dataBar" priority="7633">
      <dataBar>
        <cfvo type="min"/>
        <cfvo type="max"/>
        <color rgb="FF638EC6"/>
      </dataBar>
    </cfRule>
    <cfRule type="colorScale" priority="7634">
      <colorScale>
        <cfvo type="min"/>
        <cfvo type="percentile" val="50"/>
        <cfvo type="max"/>
        <color rgb="FFF8696B"/>
        <color rgb="FFFFEB84"/>
        <color rgb="FF63BE7B"/>
      </colorScale>
    </cfRule>
    <cfRule type="cellIs" dxfId="4593" priority="7635" operator="equal">
      <formula>"Tax"</formula>
    </cfRule>
  </conditionalFormatting>
  <conditionalFormatting sqref="F599">
    <cfRule type="dataBar" priority="7599">
      <dataBar>
        <cfvo type="min"/>
        <cfvo type="max"/>
        <color rgb="FF638EC6"/>
      </dataBar>
    </cfRule>
    <cfRule type="colorScale" priority="7600">
      <colorScale>
        <cfvo type="min"/>
        <cfvo type="percentile" val="50"/>
        <cfvo type="max"/>
        <color rgb="FFF8696B"/>
        <color rgb="FFFFEB84"/>
        <color rgb="FF63BE7B"/>
      </colorScale>
    </cfRule>
    <cfRule type="cellIs" dxfId="4592" priority="7601" operator="equal">
      <formula>"Tax"</formula>
    </cfRule>
    <cfRule type="dataBar" priority="7616">
      <dataBar>
        <cfvo type="min"/>
        <cfvo type="max"/>
        <color rgb="FF638EC6"/>
      </dataBar>
    </cfRule>
    <cfRule type="colorScale" priority="7617">
      <colorScale>
        <cfvo type="min"/>
        <cfvo type="percentile" val="50"/>
        <cfvo type="max"/>
        <color rgb="FFF8696B"/>
        <color rgb="FFFFEB84"/>
        <color rgb="FF63BE7B"/>
      </colorScale>
    </cfRule>
    <cfRule type="cellIs" dxfId="4591" priority="7618" operator="equal">
      <formula>"Tax"</formula>
    </cfRule>
  </conditionalFormatting>
  <conditionalFormatting sqref="F599:F601">
    <cfRule type="cellIs" dxfId="4590" priority="7602" operator="equal">
      <formula>"Cost of Sales"</formula>
    </cfRule>
    <cfRule type="cellIs" dxfId="4589" priority="7603" operator="equal">
      <formula>"Payroll"</formula>
    </cfRule>
    <cfRule type="cellIs" dxfId="4588" priority="7604" operator="equal">
      <formula>"Investment"</formula>
    </cfRule>
    <cfRule type="cellIs" dxfId="4587" priority="7605" operator="equal">
      <formula>"Sunk"</formula>
    </cfRule>
    <cfRule type="cellIs" dxfId="4586" priority="7606" operator="equal">
      <formula>"OpEx"</formula>
    </cfRule>
    <cfRule type="cellIs" dxfId="4585" priority="7607" operator="equal">
      <formula>"CapEx"</formula>
    </cfRule>
    <cfRule type="cellIs" dxfId="4584" priority="7614" operator="equal">
      <formula>"Income"</formula>
    </cfRule>
  </conditionalFormatting>
  <conditionalFormatting sqref="F600:F601">
    <cfRule type="dataBar" priority="7619">
      <dataBar>
        <cfvo type="min"/>
        <cfvo type="max"/>
        <color rgb="FF638EC6"/>
      </dataBar>
    </cfRule>
    <cfRule type="colorScale" priority="7620">
      <colorScale>
        <cfvo type="min"/>
        <cfvo type="percentile" val="50"/>
        <cfvo type="max"/>
        <color rgb="FFF8696B"/>
        <color rgb="FFFFEB84"/>
        <color rgb="FF63BE7B"/>
      </colorScale>
    </cfRule>
    <cfRule type="cellIs" dxfId="4583" priority="7621" operator="equal">
      <formula>"Tax"</formula>
    </cfRule>
  </conditionalFormatting>
  <conditionalFormatting sqref="F602">
    <cfRule type="dataBar" priority="7586">
      <dataBar>
        <cfvo type="min"/>
        <cfvo type="max"/>
        <color rgb="FF638EC6"/>
      </dataBar>
    </cfRule>
    <cfRule type="colorScale" priority="7587">
      <colorScale>
        <cfvo type="min"/>
        <cfvo type="percentile" val="50"/>
        <cfvo type="max"/>
        <color rgb="FFF8696B"/>
        <color rgb="FFFFEB84"/>
        <color rgb="FF63BE7B"/>
      </colorScale>
    </cfRule>
    <cfRule type="cellIs" dxfId="4582" priority="7588" operator="equal">
      <formula>"Tax"</formula>
    </cfRule>
    <cfRule type="cellIs" dxfId="4581" priority="7589" operator="equal">
      <formula>"Income"</formula>
    </cfRule>
    <cfRule type="cellIs" dxfId="4580" priority="7590" operator="equal">
      <formula>"Cost of Sales"</formula>
    </cfRule>
    <cfRule type="cellIs" dxfId="4579" priority="7591" operator="equal">
      <formula>"Payroll"</formula>
    </cfRule>
    <cfRule type="cellIs" dxfId="4578" priority="7592" operator="equal">
      <formula>"Investment"</formula>
    </cfRule>
    <cfRule type="cellIs" dxfId="4577" priority="7593" operator="equal">
      <formula>"Sunk"</formula>
    </cfRule>
    <cfRule type="cellIs" dxfId="4576" priority="7594" operator="equal">
      <formula>"OpEx"</formula>
    </cfRule>
    <cfRule type="cellIs" dxfId="4575" priority="7595" operator="equal">
      <formula>"CapEx"</formula>
    </cfRule>
    <cfRule type="dataBar" priority="7596">
      <dataBar>
        <cfvo type="min"/>
        <cfvo type="max"/>
        <color rgb="FF638EC6"/>
      </dataBar>
    </cfRule>
    <cfRule type="colorScale" priority="7597">
      <colorScale>
        <cfvo type="min"/>
        <cfvo type="percentile" val="50"/>
        <cfvo type="max"/>
        <color rgb="FFF8696B"/>
        <color rgb="FFFFEB84"/>
        <color rgb="FF63BE7B"/>
      </colorScale>
    </cfRule>
    <cfRule type="cellIs" dxfId="4574" priority="7598" operator="equal">
      <formula>"Tax"</formula>
    </cfRule>
  </conditionalFormatting>
  <conditionalFormatting sqref="F602:F603">
    <cfRule type="cellIs" dxfId="4573" priority="7579" operator="equal">
      <formula>"Income"</formula>
    </cfRule>
    <cfRule type="cellIs" dxfId="4572" priority="7580" operator="equal">
      <formula>"Cost of Sales"</formula>
    </cfRule>
    <cfRule type="cellIs" dxfId="4571" priority="7581" operator="equal">
      <formula>"Payroll"</formula>
    </cfRule>
    <cfRule type="cellIs" dxfId="4570" priority="7582" operator="equal">
      <formula>"Investment"</formula>
    </cfRule>
    <cfRule type="cellIs" dxfId="4569" priority="7583" operator="equal">
      <formula>"Sunk"</formula>
    </cfRule>
    <cfRule type="cellIs" dxfId="4568" priority="7584" operator="equal">
      <formula>"OpEx"</formula>
    </cfRule>
    <cfRule type="cellIs" dxfId="4567" priority="7585" operator="equal">
      <formula>"CapEx"</formula>
    </cfRule>
  </conditionalFormatting>
  <conditionalFormatting sqref="F603">
    <cfRule type="dataBar" priority="7573">
      <dataBar>
        <cfvo type="min"/>
        <cfvo type="max"/>
        <color rgb="FF638EC6"/>
      </dataBar>
    </cfRule>
    <cfRule type="colorScale" priority="7574">
      <colorScale>
        <cfvo type="min"/>
        <cfvo type="percentile" val="50"/>
        <cfvo type="max"/>
        <color rgb="FFF8696B"/>
        <color rgb="FFFFEB84"/>
        <color rgb="FF63BE7B"/>
      </colorScale>
    </cfRule>
    <cfRule type="cellIs" dxfId="4566" priority="7575" operator="equal">
      <formula>"Tax"</formula>
    </cfRule>
    <cfRule type="dataBar" priority="7576">
      <dataBar>
        <cfvo type="min"/>
        <cfvo type="max"/>
        <color rgb="FF638EC6"/>
      </dataBar>
    </cfRule>
    <cfRule type="colorScale" priority="7577">
      <colorScale>
        <cfvo type="min"/>
        <cfvo type="percentile" val="50"/>
        <cfvo type="max"/>
        <color rgb="FFF8696B"/>
        <color rgb="FFFFEB84"/>
        <color rgb="FF63BE7B"/>
      </colorScale>
    </cfRule>
    <cfRule type="cellIs" dxfId="4565" priority="7578" operator="equal">
      <formula>"Tax"</formula>
    </cfRule>
  </conditionalFormatting>
  <conditionalFormatting sqref="F603:F604">
    <cfRule type="cellIs" dxfId="4564" priority="7566" operator="equal">
      <formula>"Cost of Sales"</formula>
    </cfRule>
    <cfRule type="cellIs" dxfId="4563" priority="7567" operator="equal">
      <formula>"Payroll"</formula>
    </cfRule>
    <cfRule type="cellIs" dxfId="4562" priority="7568" operator="equal">
      <formula>"Investment"</formula>
    </cfRule>
    <cfRule type="cellIs" dxfId="4561" priority="7569" operator="equal">
      <formula>"Sunk"</formula>
    </cfRule>
    <cfRule type="cellIs" dxfId="4560" priority="7570" operator="equal">
      <formula>"OpEx"</formula>
    </cfRule>
    <cfRule type="cellIs" dxfId="4559" priority="7571" operator="equal">
      <formula>"CapEx"</formula>
    </cfRule>
    <cfRule type="cellIs" dxfId="4558" priority="7572" operator="equal">
      <formula>"Income"</formula>
    </cfRule>
  </conditionalFormatting>
  <conditionalFormatting sqref="F604">
    <cfRule type="dataBar" priority="7560">
      <dataBar>
        <cfvo type="min"/>
        <cfvo type="max"/>
        <color rgb="FF638EC6"/>
      </dataBar>
    </cfRule>
    <cfRule type="colorScale" priority="7561">
      <colorScale>
        <cfvo type="min"/>
        <cfvo type="percentile" val="50"/>
        <cfvo type="max"/>
        <color rgb="FFF8696B"/>
        <color rgb="FFFFEB84"/>
        <color rgb="FF63BE7B"/>
      </colorScale>
    </cfRule>
    <cfRule type="cellIs" dxfId="4557" priority="7562" operator="equal">
      <formula>"Tax"</formula>
    </cfRule>
    <cfRule type="dataBar" priority="7563">
      <dataBar>
        <cfvo type="min"/>
        <cfvo type="max"/>
        <color rgb="FF638EC6"/>
      </dataBar>
    </cfRule>
    <cfRule type="colorScale" priority="7564">
      <colorScale>
        <cfvo type="min"/>
        <cfvo type="percentile" val="50"/>
        <cfvo type="max"/>
        <color rgb="FFF8696B"/>
        <color rgb="FFFFEB84"/>
        <color rgb="FF63BE7B"/>
      </colorScale>
    </cfRule>
    <cfRule type="cellIs" dxfId="4556" priority="7565" operator="equal">
      <formula>"Tax"</formula>
    </cfRule>
  </conditionalFormatting>
  <conditionalFormatting sqref="F604:F605">
    <cfRule type="cellIs" dxfId="4555" priority="7553" operator="equal">
      <formula>"Cost of Sales"</formula>
    </cfRule>
    <cfRule type="cellIs" dxfId="4554" priority="7554" operator="equal">
      <formula>"Payroll"</formula>
    </cfRule>
    <cfRule type="cellIs" dxfId="4553" priority="7555" operator="equal">
      <formula>"Investment"</formula>
    </cfRule>
    <cfRule type="cellIs" dxfId="4552" priority="7556" operator="equal">
      <formula>"Sunk"</formula>
    </cfRule>
    <cfRule type="cellIs" dxfId="4551" priority="7557" operator="equal">
      <formula>"OpEx"</formula>
    </cfRule>
    <cfRule type="cellIs" dxfId="4550" priority="7558" operator="equal">
      <formula>"CapEx"</formula>
    </cfRule>
    <cfRule type="cellIs" dxfId="4549" priority="7559" operator="equal">
      <formula>"Income"</formula>
    </cfRule>
  </conditionalFormatting>
  <conditionalFormatting sqref="F605">
    <cfRule type="dataBar" priority="7547">
      <dataBar>
        <cfvo type="min"/>
        <cfvo type="max"/>
        <color rgb="FF638EC6"/>
      </dataBar>
    </cfRule>
    <cfRule type="colorScale" priority="7548">
      <colorScale>
        <cfvo type="min"/>
        <cfvo type="percentile" val="50"/>
        <cfvo type="max"/>
        <color rgb="FFF8696B"/>
        <color rgb="FFFFEB84"/>
        <color rgb="FF63BE7B"/>
      </colorScale>
    </cfRule>
    <cfRule type="cellIs" dxfId="4548" priority="7549" operator="equal">
      <formula>"Tax"</formula>
    </cfRule>
    <cfRule type="dataBar" priority="7550">
      <dataBar>
        <cfvo type="min"/>
        <cfvo type="max"/>
        <color rgb="FF638EC6"/>
      </dataBar>
    </cfRule>
    <cfRule type="colorScale" priority="7551">
      <colorScale>
        <cfvo type="min"/>
        <cfvo type="percentile" val="50"/>
        <cfvo type="max"/>
        <color rgb="FFF8696B"/>
        <color rgb="FFFFEB84"/>
        <color rgb="FF63BE7B"/>
      </colorScale>
    </cfRule>
    <cfRule type="cellIs" dxfId="4547" priority="7552" operator="equal">
      <formula>"Tax"</formula>
    </cfRule>
  </conditionalFormatting>
  <conditionalFormatting sqref="F605:F609">
    <cfRule type="cellIs" dxfId="4546" priority="7474" operator="equal">
      <formula>"Income"</formula>
    </cfRule>
    <cfRule type="cellIs" dxfId="4545" priority="7475" operator="equal">
      <formula>"Cost of Sales"</formula>
    </cfRule>
    <cfRule type="cellIs" dxfId="4544" priority="7476" operator="equal">
      <formula>"Payroll"</formula>
    </cfRule>
    <cfRule type="cellIs" dxfId="4543" priority="7477" operator="equal">
      <formula>"Investment"</formula>
    </cfRule>
    <cfRule type="cellIs" dxfId="4542" priority="7478" operator="equal">
      <formula>"Sunk"</formula>
    </cfRule>
    <cfRule type="cellIs" dxfId="4541" priority="7479" operator="equal">
      <formula>"OpEx"</formula>
    </cfRule>
    <cfRule type="cellIs" dxfId="4540" priority="7480" operator="equal">
      <formula>"CapEx"</formula>
    </cfRule>
  </conditionalFormatting>
  <conditionalFormatting sqref="F606">
    <cfRule type="dataBar" priority="7520">
      <dataBar>
        <cfvo type="min"/>
        <cfvo type="max"/>
        <color rgb="FF638EC6"/>
      </dataBar>
    </cfRule>
    <cfRule type="colorScale" priority="7521">
      <colorScale>
        <cfvo type="min"/>
        <cfvo type="percentile" val="50"/>
        <cfvo type="max"/>
        <color rgb="FFF8696B"/>
        <color rgb="FFFFEB84"/>
        <color rgb="FF63BE7B"/>
      </colorScale>
    </cfRule>
    <cfRule type="cellIs" dxfId="4539" priority="7522" operator="equal">
      <formula>"Tax"</formula>
    </cfRule>
  </conditionalFormatting>
  <conditionalFormatting sqref="F607:F608">
    <cfRule type="dataBar" priority="7499">
      <dataBar>
        <cfvo type="min"/>
        <cfvo type="max"/>
        <color rgb="FF638EC6"/>
      </dataBar>
    </cfRule>
    <cfRule type="colorScale" priority="7500">
      <colorScale>
        <cfvo type="min"/>
        <cfvo type="percentile" val="50"/>
        <cfvo type="max"/>
        <color rgb="FFF8696B"/>
        <color rgb="FFFFEB84"/>
        <color rgb="FF63BE7B"/>
      </colorScale>
    </cfRule>
    <cfRule type="cellIs" dxfId="4538" priority="7501" operator="equal">
      <formula>"Tax"</formula>
    </cfRule>
  </conditionalFormatting>
  <conditionalFormatting sqref="F609">
    <cfRule type="dataBar" priority="7471">
      <dataBar>
        <cfvo type="min"/>
        <cfvo type="max"/>
        <color rgb="FF638EC6"/>
      </dataBar>
    </cfRule>
    <cfRule type="colorScale" priority="7472">
      <colorScale>
        <cfvo type="min"/>
        <cfvo type="percentile" val="50"/>
        <cfvo type="max"/>
        <color rgb="FFF8696B"/>
        <color rgb="FFFFEB84"/>
        <color rgb="FF63BE7B"/>
      </colorScale>
    </cfRule>
    <cfRule type="cellIs" dxfId="4537" priority="7473" operator="equal">
      <formula>"Tax"</formula>
    </cfRule>
  </conditionalFormatting>
  <conditionalFormatting sqref="F610">
    <cfRule type="dataBar" priority="7458">
      <dataBar>
        <cfvo type="min"/>
        <cfvo type="max"/>
        <color rgb="FF638EC6"/>
      </dataBar>
    </cfRule>
    <cfRule type="colorScale" priority="7459">
      <colorScale>
        <cfvo type="min"/>
        <cfvo type="percentile" val="50"/>
        <cfvo type="max"/>
        <color rgb="FFF8696B"/>
        <color rgb="FFFFEB84"/>
        <color rgb="FF63BE7B"/>
      </colorScale>
    </cfRule>
    <cfRule type="cellIs" dxfId="4536" priority="7460" operator="equal">
      <formula>"Tax"</formula>
    </cfRule>
    <cfRule type="cellIs" dxfId="4535" priority="7461" operator="equal">
      <formula>"Income"</formula>
    </cfRule>
    <cfRule type="cellIs" dxfId="4534" priority="7462" operator="equal">
      <formula>"Cost of Sales"</formula>
    </cfRule>
    <cfRule type="cellIs" dxfId="4533" priority="7463" operator="equal">
      <formula>"Payroll"</formula>
    </cfRule>
    <cfRule type="cellIs" dxfId="4532" priority="7464" operator="equal">
      <formula>"Investment"</formula>
    </cfRule>
    <cfRule type="cellIs" dxfId="4531" priority="7465" operator="equal">
      <formula>"Sunk"</formula>
    </cfRule>
    <cfRule type="cellIs" dxfId="4530" priority="7466" operator="equal">
      <formula>"OpEx"</formula>
    </cfRule>
    <cfRule type="cellIs" dxfId="4529" priority="7467" operator="equal">
      <formula>"CapEx"</formula>
    </cfRule>
    <cfRule type="dataBar" priority="7468">
      <dataBar>
        <cfvo type="min"/>
        <cfvo type="max"/>
        <color rgb="FF638EC6"/>
      </dataBar>
    </cfRule>
    <cfRule type="colorScale" priority="7469">
      <colorScale>
        <cfvo type="min"/>
        <cfvo type="percentile" val="50"/>
        <cfvo type="max"/>
        <color rgb="FFF8696B"/>
        <color rgb="FFFFEB84"/>
        <color rgb="FF63BE7B"/>
      </colorScale>
    </cfRule>
    <cfRule type="cellIs" dxfId="4528" priority="7470" operator="equal">
      <formula>"Tax"</formula>
    </cfRule>
  </conditionalFormatting>
  <conditionalFormatting sqref="F610:F611">
    <cfRule type="cellIs" dxfId="4527" priority="7448" operator="equal">
      <formula>"Income"</formula>
    </cfRule>
    <cfRule type="cellIs" dxfId="4526" priority="7449" operator="equal">
      <formula>"Cost of Sales"</formula>
    </cfRule>
    <cfRule type="cellIs" dxfId="4525" priority="7450" operator="equal">
      <formula>"Payroll"</formula>
    </cfRule>
    <cfRule type="cellIs" dxfId="4524" priority="7451" operator="equal">
      <formula>"Investment"</formula>
    </cfRule>
    <cfRule type="cellIs" dxfId="4523" priority="7452" operator="equal">
      <formula>"Sunk"</formula>
    </cfRule>
    <cfRule type="cellIs" dxfId="4522" priority="7453" operator="equal">
      <formula>"OpEx"</formula>
    </cfRule>
    <cfRule type="cellIs" dxfId="4521" priority="7454" operator="equal">
      <formula>"CapEx"</formula>
    </cfRule>
  </conditionalFormatting>
  <conditionalFormatting sqref="F611">
    <cfRule type="dataBar" priority="7445">
      <dataBar>
        <cfvo type="min"/>
        <cfvo type="max"/>
        <color rgb="FF638EC6"/>
      </dataBar>
    </cfRule>
    <cfRule type="colorScale" priority="7446">
      <colorScale>
        <cfvo type="min"/>
        <cfvo type="percentile" val="50"/>
        <cfvo type="max"/>
        <color rgb="FFF8696B"/>
        <color rgb="FFFFEB84"/>
        <color rgb="FF63BE7B"/>
      </colorScale>
    </cfRule>
    <cfRule type="cellIs" dxfId="4520" priority="7447" operator="equal">
      <formula>"Tax"</formula>
    </cfRule>
    <cfRule type="dataBar" priority="7455">
      <dataBar>
        <cfvo type="min"/>
        <cfvo type="max"/>
        <color rgb="FF638EC6"/>
      </dataBar>
    </cfRule>
    <cfRule type="colorScale" priority="7456">
      <colorScale>
        <cfvo type="min"/>
        <cfvo type="percentile" val="50"/>
        <cfvo type="max"/>
        <color rgb="FFF8696B"/>
        <color rgb="FFFFEB84"/>
        <color rgb="FF63BE7B"/>
      </colorScale>
    </cfRule>
    <cfRule type="cellIs" dxfId="4519" priority="7457" operator="equal">
      <formula>"Tax"</formula>
    </cfRule>
  </conditionalFormatting>
  <conditionalFormatting sqref="F611:F612">
    <cfRule type="cellIs" dxfId="4518" priority="7434" operator="equal">
      <formula>"Income"</formula>
    </cfRule>
    <cfRule type="cellIs" dxfId="4517" priority="7435" operator="equal">
      <formula>"Cost of Sales"</formula>
    </cfRule>
    <cfRule type="cellIs" dxfId="4516" priority="7436" operator="equal">
      <formula>"Payroll"</formula>
    </cfRule>
    <cfRule type="cellIs" dxfId="4515" priority="7437" operator="equal">
      <formula>"Investment"</formula>
    </cfRule>
    <cfRule type="cellIs" dxfId="4514" priority="7438" operator="equal">
      <formula>"Sunk"</formula>
    </cfRule>
    <cfRule type="cellIs" dxfId="4513" priority="7439" operator="equal">
      <formula>"OpEx"</formula>
    </cfRule>
    <cfRule type="cellIs" dxfId="4512" priority="7440" operator="equal">
      <formula>"CapEx"</formula>
    </cfRule>
  </conditionalFormatting>
  <conditionalFormatting sqref="F612">
    <cfRule type="dataBar" priority="7428">
      <dataBar>
        <cfvo type="min"/>
        <cfvo type="max"/>
        <color rgb="FF638EC6"/>
      </dataBar>
    </cfRule>
    <cfRule type="colorScale" priority="7429">
      <colorScale>
        <cfvo type="min"/>
        <cfvo type="percentile" val="50"/>
        <cfvo type="max"/>
        <color rgb="FFF8696B"/>
        <color rgb="FFFFEB84"/>
        <color rgb="FF63BE7B"/>
      </colorScale>
    </cfRule>
    <cfRule type="cellIs" dxfId="4511" priority="7430" operator="equal">
      <formula>"Tax"</formula>
    </cfRule>
    <cfRule type="dataBar" priority="7431">
      <dataBar>
        <cfvo type="min"/>
        <cfvo type="max"/>
        <color rgb="FF638EC6"/>
      </dataBar>
    </cfRule>
    <cfRule type="colorScale" priority="7432">
      <colorScale>
        <cfvo type="min"/>
        <cfvo type="percentile" val="50"/>
        <cfvo type="max"/>
        <color rgb="FFF8696B"/>
        <color rgb="FFFFEB84"/>
        <color rgb="FF63BE7B"/>
      </colorScale>
    </cfRule>
    <cfRule type="cellIs" dxfId="4510" priority="7433" operator="equal">
      <formula>"Tax"</formula>
    </cfRule>
  </conditionalFormatting>
  <conditionalFormatting sqref="F612:F613">
    <cfRule type="cellIs" dxfId="4509" priority="7422" operator="equal">
      <formula>"Cost of Sales"</formula>
    </cfRule>
    <cfRule type="cellIs" dxfId="4508" priority="7423" operator="equal">
      <formula>"Payroll"</formula>
    </cfRule>
    <cfRule type="cellIs" dxfId="4507" priority="7424" operator="equal">
      <formula>"Investment"</formula>
    </cfRule>
    <cfRule type="cellIs" dxfId="4506" priority="7425" operator="equal">
      <formula>"Sunk"</formula>
    </cfRule>
    <cfRule type="cellIs" dxfId="4505" priority="7426" operator="equal">
      <formula>"OpEx"</formula>
    </cfRule>
    <cfRule type="cellIs" dxfId="4504" priority="7427" operator="equal">
      <formula>"CapEx"</formula>
    </cfRule>
  </conditionalFormatting>
  <conditionalFormatting sqref="F612:F615 F630">
    <cfRule type="cellIs" dxfId="4503" priority="7412" operator="equal">
      <formula>"Income"</formula>
    </cfRule>
  </conditionalFormatting>
  <conditionalFormatting sqref="F613">
    <cfRule type="dataBar" priority="7419">
      <dataBar>
        <cfvo type="min"/>
        <cfvo type="max"/>
        <color rgb="FF638EC6"/>
      </dataBar>
    </cfRule>
    <cfRule type="colorScale" priority="7420">
      <colorScale>
        <cfvo type="min"/>
        <cfvo type="percentile" val="50"/>
        <cfvo type="max"/>
        <color rgb="FFF8696B"/>
        <color rgb="FFFFEB84"/>
        <color rgb="FF63BE7B"/>
      </colorScale>
    </cfRule>
    <cfRule type="cellIs" dxfId="4502" priority="7421" operator="equal">
      <formula>"Tax"</formula>
    </cfRule>
  </conditionalFormatting>
  <conditionalFormatting sqref="F614">
    <cfRule type="dataBar" priority="7410">
      <dataBar>
        <cfvo type="min"/>
        <cfvo type="max"/>
        <color rgb="FF638EC6"/>
      </dataBar>
    </cfRule>
    <cfRule type="colorScale" priority="7411">
      <colorScale>
        <cfvo type="min"/>
        <cfvo type="percentile" val="50"/>
        <cfvo type="max"/>
        <color rgb="FFF8696B"/>
        <color rgb="FFFFEB84"/>
        <color rgb="FF63BE7B"/>
      </colorScale>
    </cfRule>
    <cfRule type="cellIs" dxfId="4501" priority="7413" operator="equal">
      <formula>"Cost of Sales"</formula>
    </cfRule>
    <cfRule type="cellIs" dxfId="4500" priority="7414" operator="equal">
      <formula>"Payroll"</formula>
    </cfRule>
    <cfRule type="cellIs" dxfId="4499" priority="7415" operator="equal">
      <formula>"Investment"</formula>
    </cfRule>
    <cfRule type="cellIs" dxfId="4498" priority="7416" operator="equal">
      <formula>"Sunk"</formula>
    </cfRule>
    <cfRule type="cellIs" dxfId="4497" priority="7417" operator="equal">
      <formula>"OpEx"</formula>
    </cfRule>
    <cfRule type="cellIs" dxfId="4496" priority="7418" operator="equal">
      <formula>"CapEx"</formula>
    </cfRule>
  </conditionalFormatting>
  <conditionalFormatting sqref="F614:F615 F630">
    <cfRule type="cellIs" dxfId="4495" priority="7409" operator="equal">
      <formula>"Tax"</formula>
    </cfRule>
  </conditionalFormatting>
  <conditionalFormatting sqref="F615:F617">
    <cfRule type="cellIs" dxfId="4494" priority="7352" operator="equal">
      <formula>"Cost of Sales"</formula>
    </cfRule>
    <cfRule type="cellIs" dxfId="4493" priority="7353" operator="equal">
      <formula>"Payroll"</formula>
    </cfRule>
    <cfRule type="cellIs" dxfId="4492" priority="7354" operator="equal">
      <formula>"Investment"</formula>
    </cfRule>
    <cfRule type="cellIs" dxfId="4491" priority="7355" operator="equal">
      <formula>"Sunk"</formula>
    </cfRule>
    <cfRule type="cellIs" dxfId="4490" priority="7356" operator="equal">
      <formula>"OpEx"</formula>
    </cfRule>
    <cfRule type="cellIs" dxfId="4489" priority="7357" operator="equal">
      <formula>"CapEx"</formula>
    </cfRule>
  </conditionalFormatting>
  <conditionalFormatting sqref="F616">
    <cfRule type="dataBar" priority="7386">
      <dataBar>
        <cfvo type="min"/>
        <cfvo type="max"/>
        <color rgb="FF638EC6"/>
      </dataBar>
    </cfRule>
    <cfRule type="colorScale" priority="7387">
      <colorScale>
        <cfvo type="min"/>
        <cfvo type="percentile" val="50"/>
        <cfvo type="max"/>
        <color rgb="FFF8696B"/>
        <color rgb="FFFFEB84"/>
        <color rgb="FF63BE7B"/>
      </colorScale>
    </cfRule>
    <cfRule type="cellIs" dxfId="4488" priority="7388" operator="equal">
      <formula>"Tax"</formula>
    </cfRule>
  </conditionalFormatting>
  <conditionalFormatting sqref="F616:F617">
    <cfRule type="cellIs" dxfId="4487" priority="7351" operator="equal">
      <formula>"Income"</formula>
    </cfRule>
  </conditionalFormatting>
  <conditionalFormatting sqref="F617">
    <cfRule type="dataBar" priority="7348">
      <dataBar>
        <cfvo type="min"/>
        <cfvo type="max"/>
        <color rgb="FF638EC6"/>
      </dataBar>
    </cfRule>
    <cfRule type="colorScale" priority="7349">
      <colorScale>
        <cfvo type="min"/>
        <cfvo type="percentile" val="50"/>
        <cfvo type="max"/>
        <color rgb="FFF8696B"/>
        <color rgb="FFFFEB84"/>
        <color rgb="FF63BE7B"/>
      </colorScale>
    </cfRule>
    <cfRule type="cellIs" dxfId="4486" priority="7350" operator="equal">
      <formula>"Tax"</formula>
    </cfRule>
  </conditionalFormatting>
  <conditionalFormatting sqref="F618">
    <cfRule type="dataBar" priority="7338">
      <dataBar>
        <cfvo type="min"/>
        <cfvo type="max"/>
        <color rgb="FF638EC6"/>
      </dataBar>
    </cfRule>
    <cfRule type="colorScale" priority="7339">
      <colorScale>
        <cfvo type="min"/>
        <cfvo type="percentile" val="50"/>
        <cfvo type="max"/>
        <color rgb="FFF8696B"/>
        <color rgb="FFFFEB84"/>
        <color rgb="FF63BE7B"/>
      </colorScale>
    </cfRule>
    <cfRule type="cellIs" dxfId="4485" priority="7340" operator="equal">
      <formula>"Tax"</formula>
    </cfRule>
    <cfRule type="cellIs" dxfId="4484" priority="7341" operator="equal">
      <formula>"Income"</formula>
    </cfRule>
    <cfRule type="cellIs" dxfId="4483" priority="7342" operator="equal">
      <formula>"Cost of Sales"</formula>
    </cfRule>
    <cfRule type="cellIs" dxfId="4482" priority="7343" operator="equal">
      <formula>"Payroll"</formula>
    </cfRule>
    <cfRule type="cellIs" dxfId="4481" priority="7344" operator="equal">
      <formula>"Investment"</formula>
    </cfRule>
    <cfRule type="cellIs" dxfId="4480" priority="7345" operator="equal">
      <formula>"Sunk"</formula>
    </cfRule>
    <cfRule type="cellIs" dxfId="4479" priority="7346" operator="equal">
      <formula>"OpEx"</formula>
    </cfRule>
    <cfRule type="cellIs" dxfId="4478" priority="7347" operator="equal">
      <formula>"CapEx"</formula>
    </cfRule>
  </conditionalFormatting>
  <conditionalFormatting sqref="F619">
    <cfRule type="dataBar" priority="7329">
      <dataBar>
        <cfvo type="min"/>
        <cfvo type="max"/>
        <color rgb="FF638EC6"/>
      </dataBar>
    </cfRule>
    <cfRule type="colorScale" priority="7330">
      <colorScale>
        <cfvo type="min"/>
        <cfvo type="percentile" val="50"/>
        <cfvo type="max"/>
        <color rgb="FFF8696B"/>
        <color rgb="FFFFEB84"/>
        <color rgb="FF63BE7B"/>
      </colorScale>
    </cfRule>
    <cfRule type="cellIs" dxfId="4477" priority="7331" operator="equal">
      <formula>"Income"</formula>
    </cfRule>
    <cfRule type="cellIs" dxfId="4476" priority="7332" operator="equal">
      <formula>"Cost of Sales"</formula>
    </cfRule>
    <cfRule type="cellIs" dxfId="4475" priority="7333" operator="equal">
      <formula>"Payroll"</formula>
    </cfRule>
    <cfRule type="cellIs" dxfId="4474" priority="7334" operator="equal">
      <formula>"Investment"</formula>
    </cfRule>
    <cfRule type="cellIs" dxfId="4473" priority="7335" operator="equal">
      <formula>"Sunk"</formula>
    </cfRule>
    <cfRule type="cellIs" dxfId="4472" priority="7336" operator="equal">
      <formula>"OpEx"</formula>
    </cfRule>
    <cfRule type="cellIs" dxfId="4471" priority="7337" operator="equal">
      <formula>"CapEx"</formula>
    </cfRule>
  </conditionalFormatting>
  <conditionalFormatting sqref="F619:F622">
    <cfRule type="cellIs" dxfId="4470" priority="7305" operator="equal">
      <formula>"Tax"</formula>
    </cfRule>
  </conditionalFormatting>
  <conditionalFormatting sqref="F620">
    <cfRule type="dataBar" priority="7358">
      <dataBar>
        <cfvo type="min"/>
        <cfvo type="max"/>
        <color rgb="FF638EC6"/>
      </dataBar>
    </cfRule>
    <cfRule type="colorScale" priority="7359">
      <colorScale>
        <cfvo type="min"/>
        <cfvo type="percentile" val="50"/>
        <cfvo type="max"/>
        <color rgb="FFF8696B"/>
        <color rgb="FFFFEB84"/>
        <color rgb="FF63BE7B"/>
      </colorScale>
    </cfRule>
    <cfRule type="cellIs" dxfId="4469" priority="7360" operator="equal">
      <formula>"Cost of Sales"</formula>
    </cfRule>
    <cfRule type="cellIs" dxfId="4468" priority="7361" operator="equal">
      <formula>"Payroll"</formula>
    </cfRule>
    <cfRule type="cellIs" dxfId="4467" priority="7362" operator="equal">
      <formula>"Investment"</formula>
    </cfRule>
    <cfRule type="cellIs" dxfId="4466" priority="7363" operator="equal">
      <formula>"Sunk"</formula>
    </cfRule>
    <cfRule type="cellIs" dxfId="4465" priority="7364" operator="equal">
      <formula>"OpEx"</formula>
    </cfRule>
    <cfRule type="cellIs" dxfId="4464" priority="7365" operator="equal">
      <formula>"CapEx"</formula>
    </cfRule>
    <cfRule type="cellIs" dxfId="4463" priority="7366" operator="equal">
      <formula>"Income"</formula>
    </cfRule>
  </conditionalFormatting>
  <conditionalFormatting sqref="F621">
    <cfRule type="dataBar" priority="7307">
      <dataBar>
        <cfvo type="min"/>
        <cfvo type="max"/>
        <color rgb="FF638EC6"/>
      </dataBar>
    </cfRule>
    <cfRule type="colorScale" priority="7308">
      <colorScale>
        <cfvo type="min"/>
        <cfvo type="percentile" val="50"/>
        <cfvo type="max"/>
        <color rgb="FFF8696B"/>
        <color rgb="FFFFEB84"/>
        <color rgb="FF63BE7B"/>
      </colorScale>
    </cfRule>
    <cfRule type="cellIs" dxfId="4462" priority="7309" operator="equal">
      <formula>"Cost of Sales"</formula>
    </cfRule>
    <cfRule type="cellIs" dxfId="4461" priority="7310" operator="equal">
      <formula>"Payroll"</formula>
    </cfRule>
    <cfRule type="cellIs" dxfId="4460" priority="7311" operator="equal">
      <formula>"Investment"</formula>
    </cfRule>
    <cfRule type="cellIs" dxfId="4459" priority="7312" operator="equal">
      <formula>"Sunk"</formula>
    </cfRule>
    <cfRule type="cellIs" dxfId="4458" priority="7313" operator="equal">
      <formula>"OpEx"</formula>
    </cfRule>
    <cfRule type="cellIs" dxfId="4457" priority="7314" operator="equal">
      <formula>"CapEx"</formula>
    </cfRule>
    <cfRule type="cellIs" dxfId="4456" priority="7315" operator="equal">
      <formula>"Income"</formula>
    </cfRule>
  </conditionalFormatting>
  <conditionalFormatting sqref="F622">
    <cfRule type="dataBar" priority="7303">
      <dataBar>
        <cfvo type="min"/>
        <cfvo type="max"/>
        <color rgb="FF638EC6"/>
      </dataBar>
    </cfRule>
    <cfRule type="colorScale" priority="7304">
      <colorScale>
        <cfvo type="min"/>
        <cfvo type="percentile" val="50"/>
        <cfvo type="max"/>
        <color rgb="FFF8696B"/>
        <color rgb="FFFFEB84"/>
        <color rgb="FF63BE7B"/>
      </colorScale>
    </cfRule>
  </conditionalFormatting>
  <conditionalFormatting sqref="F622:F623">
    <cfRule type="cellIs" dxfId="4455" priority="7296" operator="equal">
      <formula>"Income"</formula>
    </cfRule>
    <cfRule type="cellIs" dxfId="4454" priority="7297" operator="equal">
      <formula>"Cost of Sales"</formula>
    </cfRule>
    <cfRule type="cellIs" dxfId="4453" priority="7298" operator="equal">
      <formula>"Payroll"</formula>
    </cfRule>
    <cfRule type="cellIs" dxfId="4452" priority="7299" operator="equal">
      <formula>"Investment"</formula>
    </cfRule>
    <cfRule type="cellIs" dxfId="4451" priority="7300" operator="equal">
      <formula>"Sunk"</formula>
    </cfRule>
    <cfRule type="cellIs" dxfId="4450" priority="7301" operator="equal">
      <formula>"OpEx"</formula>
    </cfRule>
    <cfRule type="cellIs" dxfId="4449" priority="7302" operator="equal">
      <formula>"CapEx"</formula>
    </cfRule>
  </conditionalFormatting>
  <conditionalFormatting sqref="F623">
    <cfRule type="dataBar" priority="7293">
      <dataBar>
        <cfvo type="min"/>
        <cfvo type="max"/>
        <color rgb="FF638EC6"/>
      </dataBar>
    </cfRule>
    <cfRule type="colorScale" priority="7294">
      <colorScale>
        <cfvo type="min"/>
        <cfvo type="percentile" val="50"/>
        <cfvo type="max"/>
        <color rgb="FFF8696B"/>
        <color rgb="FFFFEB84"/>
        <color rgb="FF63BE7B"/>
      </colorScale>
    </cfRule>
    <cfRule type="cellIs" dxfId="4448" priority="7295" operator="equal">
      <formula>"Tax"</formula>
    </cfRule>
  </conditionalFormatting>
  <conditionalFormatting sqref="F624">
    <cfRule type="dataBar" priority="7283">
      <dataBar>
        <cfvo type="min"/>
        <cfvo type="max"/>
        <color rgb="FF638EC6"/>
      </dataBar>
    </cfRule>
    <cfRule type="colorScale" priority="7284">
      <colorScale>
        <cfvo type="min"/>
        <cfvo type="percentile" val="50"/>
        <cfvo type="max"/>
        <color rgb="FFF8696B"/>
        <color rgb="FFFFEB84"/>
        <color rgb="FF63BE7B"/>
      </colorScale>
    </cfRule>
    <cfRule type="cellIs" dxfId="4447" priority="7285" operator="equal">
      <formula>"Tax"</formula>
    </cfRule>
    <cfRule type="cellIs" dxfId="4446" priority="7286" operator="equal">
      <formula>"Income"</formula>
    </cfRule>
    <cfRule type="cellIs" dxfId="4445" priority="7287" operator="equal">
      <formula>"Cost of Sales"</formula>
    </cfRule>
    <cfRule type="cellIs" dxfId="4444" priority="7288" operator="equal">
      <formula>"Payroll"</formula>
    </cfRule>
    <cfRule type="cellIs" dxfId="4443" priority="7289" operator="equal">
      <formula>"Investment"</formula>
    </cfRule>
    <cfRule type="cellIs" dxfId="4442" priority="7290" operator="equal">
      <formula>"Sunk"</formula>
    </cfRule>
    <cfRule type="cellIs" dxfId="4441" priority="7291" operator="equal">
      <formula>"OpEx"</formula>
    </cfRule>
    <cfRule type="cellIs" dxfId="4440" priority="7292" operator="equal">
      <formula>"CapEx"</formula>
    </cfRule>
  </conditionalFormatting>
  <conditionalFormatting sqref="F625">
    <cfRule type="dataBar" priority="7263">
      <dataBar>
        <cfvo type="min"/>
        <cfvo type="max"/>
        <color rgb="FF638EC6"/>
      </dataBar>
    </cfRule>
    <cfRule type="colorScale" priority="7264">
      <colorScale>
        <cfvo type="min"/>
        <cfvo type="percentile" val="50"/>
        <cfvo type="max"/>
        <color rgb="FFF8696B"/>
        <color rgb="FFFFEB84"/>
        <color rgb="FF63BE7B"/>
      </colorScale>
    </cfRule>
    <cfRule type="cellIs" dxfId="4439" priority="7265" operator="equal">
      <formula>"Cost of Sales"</formula>
    </cfRule>
    <cfRule type="cellIs" dxfId="4438" priority="7266" operator="equal">
      <formula>"Payroll"</formula>
    </cfRule>
    <cfRule type="cellIs" dxfId="4437" priority="7267" operator="equal">
      <formula>"Investment"</formula>
    </cfRule>
    <cfRule type="cellIs" dxfId="4436" priority="7268" operator="equal">
      <formula>"Sunk"</formula>
    </cfRule>
    <cfRule type="cellIs" dxfId="4435" priority="7269" operator="equal">
      <formula>"OpEx"</formula>
    </cfRule>
    <cfRule type="cellIs" dxfId="4434" priority="7270" operator="equal">
      <formula>"CapEx"</formula>
    </cfRule>
    <cfRule type="cellIs" dxfId="4433" priority="7271" operator="equal">
      <formula>"Income"</formula>
    </cfRule>
  </conditionalFormatting>
  <conditionalFormatting sqref="F625:F626">
    <cfRule type="cellIs" dxfId="4432" priority="7261" operator="equal">
      <formula>"Tax"</formula>
    </cfRule>
  </conditionalFormatting>
  <conditionalFormatting sqref="F626">
    <cfRule type="dataBar" priority="7259">
      <dataBar>
        <cfvo type="min"/>
        <cfvo type="max"/>
        <color rgb="FF638EC6"/>
      </dataBar>
    </cfRule>
    <cfRule type="colorScale" priority="7260">
      <colorScale>
        <cfvo type="min"/>
        <cfvo type="percentile" val="50"/>
        <cfvo type="max"/>
        <color rgb="FFF8696B"/>
        <color rgb="FFFFEB84"/>
        <color rgb="FF63BE7B"/>
      </colorScale>
    </cfRule>
  </conditionalFormatting>
  <conditionalFormatting sqref="F626:F627">
    <cfRule type="cellIs" dxfId="4431" priority="7252" operator="equal">
      <formula>"Income"</formula>
    </cfRule>
    <cfRule type="cellIs" dxfId="4430" priority="7253" operator="equal">
      <formula>"Cost of Sales"</formula>
    </cfRule>
    <cfRule type="cellIs" dxfId="4429" priority="7254" operator="equal">
      <formula>"Payroll"</formula>
    </cfRule>
    <cfRule type="cellIs" dxfId="4428" priority="7255" operator="equal">
      <formula>"Investment"</formula>
    </cfRule>
    <cfRule type="cellIs" dxfId="4427" priority="7256" operator="equal">
      <formula>"Sunk"</formula>
    </cfRule>
    <cfRule type="cellIs" dxfId="4426" priority="7257" operator="equal">
      <formula>"OpEx"</formula>
    </cfRule>
    <cfRule type="cellIs" dxfId="4425" priority="7258" operator="equal">
      <formula>"CapEx"</formula>
    </cfRule>
  </conditionalFormatting>
  <conditionalFormatting sqref="F627">
    <cfRule type="dataBar" priority="7249">
      <dataBar>
        <cfvo type="min"/>
        <cfvo type="max"/>
        <color rgb="FF638EC6"/>
      </dataBar>
    </cfRule>
    <cfRule type="colorScale" priority="7250">
      <colorScale>
        <cfvo type="min"/>
        <cfvo type="percentile" val="50"/>
        <cfvo type="max"/>
        <color rgb="FFF8696B"/>
        <color rgb="FFFFEB84"/>
        <color rgb="FF63BE7B"/>
      </colorScale>
    </cfRule>
    <cfRule type="cellIs" dxfId="4424" priority="7251" operator="equal">
      <formula>"Tax"</formula>
    </cfRule>
  </conditionalFormatting>
  <conditionalFormatting sqref="F628">
    <cfRule type="dataBar" priority="7239">
      <dataBar>
        <cfvo type="min"/>
        <cfvo type="max"/>
        <color rgb="FF638EC6"/>
      </dataBar>
    </cfRule>
    <cfRule type="colorScale" priority="7240">
      <colorScale>
        <cfvo type="min"/>
        <cfvo type="percentile" val="50"/>
        <cfvo type="max"/>
        <color rgb="FFF8696B"/>
        <color rgb="FFFFEB84"/>
        <color rgb="FF63BE7B"/>
      </colorScale>
    </cfRule>
    <cfRule type="cellIs" dxfId="4423" priority="7241" operator="equal">
      <formula>"Tax"</formula>
    </cfRule>
    <cfRule type="cellIs" dxfId="4422" priority="7242" operator="equal">
      <formula>"Income"</formula>
    </cfRule>
    <cfRule type="cellIs" dxfId="4421" priority="7243" operator="equal">
      <formula>"Cost of Sales"</formula>
    </cfRule>
    <cfRule type="cellIs" dxfId="4420" priority="7244" operator="equal">
      <formula>"Payroll"</formula>
    </cfRule>
    <cfRule type="cellIs" dxfId="4419" priority="7245" operator="equal">
      <formula>"Investment"</formula>
    </cfRule>
    <cfRule type="cellIs" dxfId="4418" priority="7246" operator="equal">
      <formula>"Sunk"</formula>
    </cfRule>
    <cfRule type="cellIs" dxfId="4417" priority="7247" operator="equal">
      <formula>"OpEx"</formula>
    </cfRule>
    <cfRule type="cellIs" dxfId="4416" priority="7248" operator="equal">
      <formula>"CapEx"</formula>
    </cfRule>
  </conditionalFormatting>
  <conditionalFormatting sqref="F629">
    <cfRule type="cellIs" dxfId="4415" priority="7183" operator="equal">
      <formula>"Tax"</formula>
    </cfRule>
    <cfRule type="dataBar" priority="7219">
      <dataBar>
        <cfvo type="min"/>
        <cfvo type="max"/>
        <color rgb="FF638EC6"/>
      </dataBar>
    </cfRule>
    <cfRule type="colorScale" priority="7220">
      <colorScale>
        <cfvo type="min"/>
        <cfvo type="percentile" val="50"/>
        <cfvo type="max"/>
        <color rgb="FFF8696B"/>
        <color rgb="FFFFEB84"/>
        <color rgb="FF63BE7B"/>
      </colorScale>
    </cfRule>
    <cfRule type="cellIs" dxfId="4414" priority="7221" operator="equal">
      <formula>"Cost of Sales"</formula>
    </cfRule>
    <cfRule type="cellIs" dxfId="4413" priority="7222" operator="equal">
      <formula>"Payroll"</formula>
    </cfRule>
    <cfRule type="cellIs" dxfId="4412" priority="7223" operator="equal">
      <formula>"Investment"</formula>
    </cfRule>
    <cfRule type="cellIs" dxfId="4411" priority="7224" operator="equal">
      <formula>"Sunk"</formula>
    </cfRule>
    <cfRule type="cellIs" dxfId="4410" priority="7225" operator="equal">
      <formula>"OpEx"</formula>
    </cfRule>
    <cfRule type="cellIs" dxfId="4409" priority="7226" operator="equal">
      <formula>"CapEx"</formula>
    </cfRule>
    <cfRule type="cellIs" dxfId="4408" priority="7227" operator="equal">
      <formula>"Income"</formula>
    </cfRule>
  </conditionalFormatting>
  <conditionalFormatting sqref="F630 F615">
    <cfRule type="dataBar" priority="7407">
      <dataBar>
        <cfvo type="min"/>
        <cfvo type="max"/>
        <color rgb="FF638EC6"/>
      </dataBar>
    </cfRule>
    <cfRule type="colorScale" priority="7408">
      <colorScale>
        <cfvo type="min"/>
        <cfvo type="percentile" val="50"/>
        <cfvo type="max"/>
        <color rgb="FFF8696B"/>
        <color rgb="FFFFEB84"/>
        <color rgb="FF63BE7B"/>
      </colorScale>
    </cfRule>
  </conditionalFormatting>
  <conditionalFormatting sqref="F631 F634">
    <cfRule type="cellIs" dxfId="4407" priority="7161" operator="equal">
      <formula>"Tax"</formula>
    </cfRule>
    <cfRule type="cellIs" dxfId="4406" priority="7162" operator="equal">
      <formula>"Income"</formula>
    </cfRule>
  </conditionalFormatting>
  <conditionalFormatting sqref="F632">
    <cfRule type="dataBar" priority="7117">
      <dataBar>
        <cfvo type="min"/>
        <cfvo type="max"/>
        <color rgb="FF638EC6"/>
      </dataBar>
    </cfRule>
    <cfRule type="colorScale" priority="7118">
      <colorScale>
        <cfvo type="min"/>
        <cfvo type="percentile" val="50"/>
        <cfvo type="max"/>
        <color rgb="FFF8696B"/>
        <color rgb="FFFFEB84"/>
        <color rgb="FF63BE7B"/>
      </colorScale>
    </cfRule>
    <cfRule type="cellIs" dxfId="4405" priority="7119" operator="equal">
      <formula>"Tax"</formula>
    </cfRule>
    <cfRule type="cellIs" dxfId="4404" priority="7120" operator="equal">
      <formula>"Cost of Sales"</formula>
    </cfRule>
    <cfRule type="cellIs" dxfId="4403" priority="7121" operator="equal">
      <formula>"Payroll"</formula>
    </cfRule>
    <cfRule type="cellIs" dxfId="4402" priority="7122" operator="equal">
      <formula>"Investment"</formula>
    </cfRule>
    <cfRule type="cellIs" dxfId="4401" priority="7123" operator="equal">
      <formula>"Sunk"</formula>
    </cfRule>
    <cfRule type="cellIs" dxfId="4400" priority="7124" operator="equal">
      <formula>"OpEx"</formula>
    </cfRule>
    <cfRule type="cellIs" dxfId="4399" priority="7125" operator="equal">
      <formula>"CapEx"</formula>
    </cfRule>
    <cfRule type="cellIs" dxfId="4398" priority="7132" operator="equal">
      <formula>"Income"</formula>
    </cfRule>
    <cfRule type="dataBar" priority="7134">
      <dataBar>
        <cfvo type="min"/>
        <cfvo type="max"/>
        <color rgb="FF638EC6"/>
      </dataBar>
    </cfRule>
    <cfRule type="colorScale" priority="7135">
      <colorScale>
        <cfvo type="min"/>
        <cfvo type="percentile" val="50"/>
        <cfvo type="max"/>
        <color rgb="FFF8696B"/>
        <color rgb="FFFFEB84"/>
        <color rgb="FF63BE7B"/>
      </colorScale>
    </cfRule>
    <cfRule type="cellIs" dxfId="4397" priority="7136" operator="equal">
      <formula>"Tax"</formula>
    </cfRule>
  </conditionalFormatting>
  <conditionalFormatting sqref="F633">
    <cfRule type="dataBar" priority="7096">
      <dataBar>
        <cfvo type="min"/>
        <cfvo type="max"/>
        <color rgb="FF638EC6"/>
      </dataBar>
    </cfRule>
    <cfRule type="colorScale" priority="7097">
      <colorScale>
        <cfvo type="min"/>
        <cfvo type="percentile" val="50"/>
        <cfvo type="max"/>
        <color rgb="FFF8696B"/>
        <color rgb="FFFFEB84"/>
        <color rgb="FF63BE7B"/>
      </colorScale>
    </cfRule>
    <cfRule type="cellIs" dxfId="4396" priority="7098" operator="equal">
      <formula>"Tax"</formula>
    </cfRule>
    <cfRule type="cellIs" dxfId="4395" priority="7099" operator="equal">
      <formula>"Income"</formula>
    </cfRule>
    <cfRule type="cellIs" dxfId="4394" priority="7100" operator="equal">
      <formula>"Cost of Sales"</formula>
    </cfRule>
    <cfRule type="cellIs" dxfId="4393" priority="7101" operator="equal">
      <formula>"Payroll"</formula>
    </cfRule>
    <cfRule type="cellIs" dxfId="4392" priority="7102" operator="equal">
      <formula>"Investment"</formula>
    </cfRule>
    <cfRule type="cellIs" dxfId="4391" priority="7103" operator="equal">
      <formula>"Sunk"</formula>
    </cfRule>
    <cfRule type="cellIs" dxfId="4390" priority="7104" operator="equal">
      <formula>"OpEx"</formula>
    </cfRule>
    <cfRule type="cellIs" dxfId="4389" priority="7105" operator="equal">
      <formula>"CapEx"</formula>
    </cfRule>
  </conditionalFormatting>
  <conditionalFormatting sqref="F634 F631">
    <cfRule type="dataBar" priority="7153">
      <dataBar>
        <cfvo type="min"/>
        <cfvo type="max"/>
        <color rgb="FF638EC6"/>
      </dataBar>
    </cfRule>
    <cfRule type="colorScale" priority="7154">
      <colorScale>
        <cfvo type="min"/>
        <cfvo type="percentile" val="50"/>
        <cfvo type="max"/>
        <color rgb="FFF8696B"/>
        <color rgb="FFFFEB84"/>
        <color rgb="FF63BE7B"/>
      </colorScale>
    </cfRule>
  </conditionalFormatting>
  <conditionalFormatting sqref="F634">
    <cfRule type="cellIs" dxfId="4388" priority="7155" operator="equal">
      <formula>"Cost of Sales"</formula>
    </cfRule>
    <cfRule type="cellIs" dxfId="4387" priority="7156" operator="equal">
      <formula>"Payroll"</formula>
    </cfRule>
    <cfRule type="cellIs" dxfId="4386" priority="7157" operator="equal">
      <formula>"Investment"</formula>
    </cfRule>
    <cfRule type="cellIs" dxfId="4385" priority="7158" operator="equal">
      <formula>"Sunk"</formula>
    </cfRule>
    <cfRule type="cellIs" dxfId="4384" priority="7159" operator="equal">
      <formula>"OpEx"</formula>
    </cfRule>
    <cfRule type="cellIs" dxfId="4383" priority="7160" operator="equal">
      <formula>"CapEx"</formula>
    </cfRule>
  </conditionalFormatting>
  <conditionalFormatting sqref="F635">
    <cfRule type="dataBar" priority="7080">
      <dataBar>
        <cfvo type="min"/>
        <cfvo type="max"/>
        <color rgb="FF638EC6"/>
      </dataBar>
    </cfRule>
    <cfRule type="colorScale" priority="7081">
      <colorScale>
        <cfvo type="min"/>
        <cfvo type="percentile" val="50"/>
        <cfvo type="max"/>
        <color rgb="FFF8696B"/>
        <color rgb="FFFFEB84"/>
        <color rgb="FF63BE7B"/>
      </colorScale>
    </cfRule>
    <cfRule type="cellIs" dxfId="4382" priority="7082" operator="equal">
      <formula>"Income"</formula>
    </cfRule>
    <cfRule type="cellIs" dxfId="4381" priority="7083" operator="equal">
      <formula>"Cost of Sales"</formula>
    </cfRule>
    <cfRule type="cellIs" dxfId="4380" priority="7084" operator="equal">
      <formula>"Payroll"</formula>
    </cfRule>
    <cfRule type="cellIs" dxfId="4379" priority="7085" operator="equal">
      <formula>"Investment"</formula>
    </cfRule>
    <cfRule type="cellIs" dxfId="4378" priority="7086" operator="equal">
      <formula>"Sunk"</formula>
    </cfRule>
    <cfRule type="cellIs" dxfId="4377" priority="7087" operator="equal">
      <formula>"OpEx"</formula>
    </cfRule>
    <cfRule type="cellIs" dxfId="4376" priority="7088" operator="equal">
      <formula>"CapEx"</formula>
    </cfRule>
  </conditionalFormatting>
  <conditionalFormatting sqref="F635:F636">
    <cfRule type="cellIs" dxfId="4375" priority="7070" operator="equal">
      <formula>"Tax"</formula>
    </cfRule>
  </conditionalFormatting>
  <conditionalFormatting sqref="F636">
    <cfRule type="dataBar" priority="7062">
      <dataBar>
        <cfvo type="min"/>
        <cfvo type="max"/>
        <color rgb="FF638EC6"/>
      </dataBar>
    </cfRule>
    <cfRule type="colorScale" priority="7063">
      <colorScale>
        <cfvo type="min"/>
        <cfvo type="percentile" val="50"/>
        <cfvo type="max"/>
        <color rgb="FFF8696B"/>
        <color rgb="FFFFEB84"/>
        <color rgb="FF63BE7B"/>
      </colorScale>
    </cfRule>
    <cfRule type="cellIs" dxfId="4374" priority="7064" operator="equal">
      <formula>"Cost of Sales"</formula>
    </cfRule>
    <cfRule type="cellIs" dxfId="4373" priority="7065" operator="equal">
      <formula>"Payroll"</formula>
    </cfRule>
    <cfRule type="cellIs" dxfId="4372" priority="7066" operator="equal">
      <formula>"Investment"</formula>
    </cfRule>
    <cfRule type="cellIs" dxfId="4371" priority="7067" operator="equal">
      <formula>"Sunk"</formula>
    </cfRule>
    <cfRule type="cellIs" dxfId="4370" priority="7068" operator="equal">
      <formula>"OpEx"</formula>
    </cfRule>
    <cfRule type="cellIs" dxfId="4369" priority="7069" operator="equal">
      <formula>"CapEx"</formula>
    </cfRule>
    <cfRule type="cellIs" dxfId="4368" priority="7071" operator="equal">
      <formula>"Income"</formula>
    </cfRule>
  </conditionalFormatting>
  <conditionalFormatting sqref="F637">
    <cfRule type="dataBar" priority="7052">
      <dataBar>
        <cfvo type="min"/>
        <cfvo type="max"/>
        <color rgb="FF638EC6"/>
      </dataBar>
    </cfRule>
    <cfRule type="colorScale" priority="7053">
      <colorScale>
        <cfvo type="min"/>
        <cfvo type="percentile" val="50"/>
        <cfvo type="max"/>
        <color rgb="FFF8696B"/>
        <color rgb="FFFFEB84"/>
        <color rgb="FF63BE7B"/>
      </colorScale>
    </cfRule>
    <cfRule type="cellIs" dxfId="4367" priority="7054" operator="equal">
      <formula>"Cost of Sales"</formula>
    </cfRule>
    <cfRule type="cellIs" dxfId="4366" priority="7055" operator="equal">
      <formula>"Payroll"</formula>
    </cfRule>
    <cfRule type="cellIs" dxfId="4365" priority="7056" operator="equal">
      <formula>"Investment"</formula>
    </cfRule>
    <cfRule type="cellIs" dxfId="4364" priority="7057" operator="equal">
      <formula>"Sunk"</formula>
    </cfRule>
    <cfRule type="cellIs" dxfId="4363" priority="7058" operator="equal">
      <formula>"OpEx"</formula>
    </cfRule>
    <cfRule type="cellIs" dxfId="4362" priority="7059" operator="equal">
      <formula>"CapEx"</formula>
    </cfRule>
    <cfRule type="cellIs" dxfId="4361" priority="7060" operator="equal">
      <formula>"Tax"</formula>
    </cfRule>
    <cfRule type="cellIs" dxfId="4360" priority="7061" operator="equal">
      <formula>"Income"</formula>
    </cfRule>
  </conditionalFormatting>
  <conditionalFormatting sqref="F638">
    <cfRule type="dataBar" priority="7027">
      <dataBar>
        <cfvo type="min"/>
        <cfvo type="max"/>
        <color rgb="FF638EC6"/>
      </dataBar>
    </cfRule>
    <cfRule type="colorScale" priority="7028">
      <colorScale>
        <cfvo type="min"/>
        <cfvo type="percentile" val="50"/>
        <cfvo type="max"/>
        <color rgb="FFF8696B"/>
        <color rgb="FFFFEB84"/>
        <color rgb="FF63BE7B"/>
      </colorScale>
    </cfRule>
    <cfRule type="cellIs" dxfId="4359" priority="7029" operator="equal">
      <formula>"Tax"</formula>
    </cfRule>
    <cfRule type="cellIs" dxfId="4358" priority="7030" operator="equal">
      <formula>"Income"</formula>
    </cfRule>
    <cfRule type="cellIs" dxfId="4357" priority="7031" operator="equal">
      <formula>"Cost of Sales"</formula>
    </cfRule>
    <cfRule type="cellIs" dxfId="4356" priority="7032" operator="equal">
      <formula>"Payroll"</formula>
    </cfRule>
    <cfRule type="cellIs" dxfId="4355" priority="7033" operator="equal">
      <formula>"Investment"</formula>
    </cfRule>
    <cfRule type="cellIs" dxfId="4354" priority="7034" operator="equal">
      <formula>"Sunk"</formula>
    </cfRule>
    <cfRule type="cellIs" dxfId="4353" priority="7035" operator="equal">
      <formula>"OpEx"</formula>
    </cfRule>
    <cfRule type="cellIs" dxfId="4352" priority="7036" operator="equal">
      <formula>"CapEx"</formula>
    </cfRule>
    <cfRule type="dataBar" priority="7037">
      <dataBar>
        <cfvo type="min"/>
        <cfvo type="max"/>
        <color rgb="FF638EC6"/>
      </dataBar>
    </cfRule>
    <cfRule type="colorScale" priority="7038">
      <colorScale>
        <cfvo type="min"/>
        <cfvo type="percentile" val="50"/>
        <cfvo type="max"/>
        <color rgb="FFF8696B"/>
        <color rgb="FFFFEB84"/>
        <color rgb="FF63BE7B"/>
      </colorScale>
    </cfRule>
    <cfRule type="cellIs" dxfId="4351" priority="7039" operator="equal">
      <formula>"Tax"</formula>
    </cfRule>
  </conditionalFormatting>
  <conditionalFormatting sqref="F638:F639">
    <cfRule type="cellIs" dxfId="4350" priority="7001" operator="equal">
      <formula>"Cost of Sales"</formula>
    </cfRule>
    <cfRule type="cellIs" dxfId="4349" priority="7002" operator="equal">
      <formula>"Payroll"</formula>
    </cfRule>
    <cfRule type="cellIs" dxfId="4348" priority="7003" operator="equal">
      <formula>"Investment"</formula>
    </cfRule>
    <cfRule type="cellIs" dxfId="4347" priority="7004" operator="equal">
      <formula>"Sunk"</formula>
    </cfRule>
    <cfRule type="cellIs" dxfId="4346" priority="7005" operator="equal">
      <formula>"OpEx"</formula>
    </cfRule>
    <cfRule type="cellIs" dxfId="4345" priority="7006" operator="equal">
      <formula>"CapEx"</formula>
    </cfRule>
    <cfRule type="cellIs" dxfId="4344" priority="7007" operator="equal">
      <formula>"Income"</formula>
    </cfRule>
  </conditionalFormatting>
  <conditionalFormatting sqref="F639">
    <cfRule type="dataBar" priority="6999">
      <dataBar>
        <cfvo type="min"/>
        <cfvo type="max"/>
        <color rgb="FF638EC6"/>
      </dataBar>
    </cfRule>
    <cfRule type="colorScale" priority="7000">
      <colorScale>
        <cfvo type="min"/>
        <cfvo type="percentile" val="50"/>
        <cfvo type="max"/>
        <color rgb="FFF8696B"/>
        <color rgb="FFFFEB84"/>
        <color rgb="FF63BE7B"/>
      </colorScale>
    </cfRule>
    <cfRule type="cellIs" dxfId="4343" priority="7008" operator="equal">
      <formula>"Tax"</formula>
    </cfRule>
  </conditionalFormatting>
  <conditionalFormatting sqref="F640">
    <cfRule type="dataBar" priority="6962">
      <dataBar>
        <cfvo type="min"/>
        <cfvo type="max"/>
        <color rgb="FF638EC6"/>
      </dataBar>
    </cfRule>
    <cfRule type="colorScale" priority="6963">
      <colorScale>
        <cfvo type="min"/>
        <cfvo type="percentile" val="50"/>
        <cfvo type="max"/>
        <color rgb="FFF8696B"/>
        <color rgb="FFFFEB84"/>
        <color rgb="FF63BE7B"/>
      </colorScale>
    </cfRule>
    <cfRule type="cellIs" dxfId="4342" priority="6964" operator="equal">
      <formula>"Income"</formula>
    </cfRule>
    <cfRule type="cellIs" dxfId="4341" priority="6965" operator="equal">
      <formula>"Cost of Sales"</formula>
    </cfRule>
    <cfRule type="cellIs" dxfId="4340" priority="6966" operator="equal">
      <formula>"Payroll"</formula>
    </cfRule>
    <cfRule type="cellIs" dxfId="4339" priority="6967" operator="equal">
      <formula>"Investment"</formula>
    </cfRule>
    <cfRule type="cellIs" dxfId="4338" priority="6968" operator="equal">
      <formula>"Sunk"</formula>
    </cfRule>
    <cfRule type="cellIs" dxfId="4337" priority="6969" operator="equal">
      <formula>"OpEx"</formula>
    </cfRule>
    <cfRule type="cellIs" dxfId="4336" priority="6970" operator="equal">
      <formula>"CapEx"</formula>
    </cfRule>
  </conditionalFormatting>
  <conditionalFormatting sqref="F640:F641">
    <cfRule type="cellIs" dxfId="4335" priority="6952" operator="equal">
      <formula>"Tax"</formula>
    </cfRule>
  </conditionalFormatting>
  <conditionalFormatting sqref="F641">
    <cfRule type="dataBar" priority="6944">
      <dataBar>
        <cfvo type="min"/>
        <cfvo type="max"/>
        <color rgb="FF638EC6"/>
      </dataBar>
    </cfRule>
    <cfRule type="colorScale" priority="6945">
      <colorScale>
        <cfvo type="min"/>
        <cfvo type="percentile" val="50"/>
        <cfvo type="max"/>
        <color rgb="FFF8696B"/>
        <color rgb="FFFFEB84"/>
        <color rgb="FF63BE7B"/>
      </colorScale>
    </cfRule>
    <cfRule type="cellIs" dxfId="4334" priority="6946" operator="equal">
      <formula>"Cost of Sales"</formula>
    </cfRule>
    <cfRule type="cellIs" dxfId="4333" priority="6947" operator="equal">
      <formula>"Payroll"</formula>
    </cfRule>
    <cfRule type="cellIs" dxfId="4332" priority="6948" operator="equal">
      <formula>"Investment"</formula>
    </cfRule>
    <cfRule type="cellIs" dxfId="4331" priority="6949" operator="equal">
      <formula>"Sunk"</formula>
    </cfRule>
    <cfRule type="cellIs" dxfId="4330" priority="6950" operator="equal">
      <formula>"OpEx"</formula>
    </cfRule>
    <cfRule type="cellIs" dxfId="4329" priority="6951" operator="equal">
      <formula>"CapEx"</formula>
    </cfRule>
    <cfRule type="cellIs" dxfId="4328" priority="6953" operator="equal">
      <formula>"Income"</formula>
    </cfRule>
  </conditionalFormatting>
  <conditionalFormatting sqref="F642">
    <cfRule type="dataBar" priority="6935">
      <dataBar>
        <cfvo type="min"/>
        <cfvo type="max"/>
        <color rgb="FF638EC6"/>
      </dataBar>
    </cfRule>
    <cfRule type="colorScale" priority="6936">
      <colorScale>
        <cfvo type="min"/>
        <cfvo type="percentile" val="50"/>
        <cfvo type="max"/>
        <color rgb="FFF8696B"/>
        <color rgb="FFFFEB84"/>
        <color rgb="FF63BE7B"/>
      </colorScale>
    </cfRule>
    <cfRule type="cellIs" dxfId="4327" priority="6937" operator="equal">
      <formula>"Income"</formula>
    </cfRule>
    <cfRule type="cellIs" dxfId="4326" priority="6938" operator="equal">
      <formula>"Cost of Sales"</formula>
    </cfRule>
    <cfRule type="cellIs" dxfId="4325" priority="6939" operator="equal">
      <formula>"Payroll"</formula>
    </cfRule>
    <cfRule type="cellIs" dxfId="4324" priority="6940" operator="equal">
      <formula>"Investment"</formula>
    </cfRule>
    <cfRule type="cellIs" dxfId="4323" priority="6941" operator="equal">
      <formula>"Sunk"</formula>
    </cfRule>
    <cfRule type="cellIs" dxfId="4322" priority="6942" operator="equal">
      <formula>"OpEx"</formula>
    </cfRule>
    <cfRule type="cellIs" dxfId="4321" priority="6943" operator="equal">
      <formula>"CapEx"</formula>
    </cfRule>
  </conditionalFormatting>
  <conditionalFormatting sqref="F642:F643">
    <cfRule type="cellIs" dxfId="4320" priority="6921" operator="equal">
      <formula>"Tax"</formula>
    </cfRule>
  </conditionalFormatting>
  <conditionalFormatting sqref="F643">
    <cfRule type="dataBar" priority="6913">
      <dataBar>
        <cfvo type="min"/>
        <cfvo type="max"/>
        <color rgb="FF638EC6"/>
      </dataBar>
    </cfRule>
    <cfRule type="colorScale" priority="6914">
      <colorScale>
        <cfvo type="min"/>
        <cfvo type="percentile" val="50"/>
        <cfvo type="max"/>
        <color rgb="FFF8696B"/>
        <color rgb="FFFFEB84"/>
        <color rgb="FF63BE7B"/>
      </colorScale>
    </cfRule>
    <cfRule type="cellIs" dxfId="4319" priority="6915" operator="equal">
      <formula>"Cost of Sales"</formula>
    </cfRule>
    <cfRule type="cellIs" dxfId="4318" priority="6916" operator="equal">
      <formula>"Payroll"</formula>
    </cfRule>
    <cfRule type="cellIs" dxfId="4317" priority="6917" operator="equal">
      <formula>"Investment"</formula>
    </cfRule>
    <cfRule type="cellIs" dxfId="4316" priority="6918" operator="equal">
      <formula>"Sunk"</formula>
    </cfRule>
    <cfRule type="cellIs" dxfId="4315" priority="6919" operator="equal">
      <formula>"OpEx"</formula>
    </cfRule>
    <cfRule type="cellIs" dxfId="4314" priority="6920" operator="equal">
      <formula>"CapEx"</formula>
    </cfRule>
    <cfRule type="cellIs" dxfId="4313" priority="6922" operator="equal">
      <formula>"Income"</formula>
    </cfRule>
  </conditionalFormatting>
  <conditionalFormatting sqref="F644">
    <cfRule type="dataBar" priority="6883">
      <dataBar>
        <cfvo type="min"/>
        <cfvo type="max"/>
        <color rgb="FF638EC6"/>
      </dataBar>
    </cfRule>
    <cfRule type="colorScale" priority="6884">
      <colorScale>
        <cfvo type="min"/>
        <cfvo type="percentile" val="50"/>
        <cfvo type="max"/>
        <color rgb="FFF8696B"/>
        <color rgb="FFFFEB84"/>
        <color rgb="FF63BE7B"/>
      </colorScale>
    </cfRule>
    <cfRule type="cellIs" dxfId="4312" priority="6885" operator="equal">
      <formula>"Tax"</formula>
    </cfRule>
    <cfRule type="cellIs" dxfId="4311" priority="6886" operator="equal">
      <formula>"Income"</formula>
    </cfRule>
    <cfRule type="cellIs" dxfId="4310" priority="6887" operator="equal">
      <formula>"Cost of Sales"</formula>
    </cfRule>
    <cfRule type="cellIs" dxfId="4309" priority="6888" operator="equal">
      <formula>"Payroll"</formula>
    </cfRule>
    <cfRule type="cellIs" dxfId="4308" priority="6889" operator="equal">
      <formula>"Investment"</formula>
    </cfRule>
    <cfRule type="cellIs" dxfId="4307" priority="6890" operator="equal">
      <formula>"Sunk"</formula>
    </cfRule>
    <cfRule type="cellIs" dxfId="4306" priority="6891" operator="equal">
      <formula>"OpEx"</formula>
    </cfRule>
    <cfRule type="cellIs" dxfId="4305" priority="6892" operator="equal">
      <formula>"CapEx"</formula>
    </cfRule>
  </conditionalFormatting>
  <conditionalFormatting sqref="F645">
    <cfRule type="dataBar" priority="6879">
      <dataBar>
        <cfvo type="min"/>
        <cfvo type="max"/>
        <color rgb="FF638EC6"/>
      </dataBar>
    </cfRule>
    <cfRule type="colorScale" priority="6880">
      <colorScale>
        <cfvo type="min"/>
        <cfvo type="percentile" val="50"/>
        <cfvo type="max"/>
        <color rgb="FFF8696B"/>
        <color rgb="FFFFEB84"/>
        <color rgb="FF63BE7B"/>
      </colorScale>
    </cfRule>
    <cfRule type="cellIs" dxfId="4304" priority="6881" operator="equal">
      <formula>"Tax"</formula>
    </cfRule>
    <cfRule type="cellIs" dxfId="4303" priority="6882" operator="equal">
      <formula>"Income"</formula>
    </cfRule>
  </conditionalFormatting>
  <conditionalFormatting sqref="F645:F646">
    <cfRule type="cellIs" dxfId="4302" priority="6873" operator="equal">
      <formula>"Cost of Sales"</formula>
    </cfRule>
    <cfRule type="cellIs" dxfId="4301" priority="6874" operator="equal">
      <formula>"Payroll"</formula>
    </cfRule>
    <cfRule type="cellIs" dxfId="4300" priority="6875" operator="equal">
      <formula>"Investment"</formula>
    </cfRule>
    <cfRule type="cellIs" dxfId="4299" priority="6876" operator="equal">
      <formula>"Sunk"</formula>
    </cfRule>
    <cfRule type="cellIs" dxfId="4298" priority="6877" operator="equal">
      <formula>"OpEx"</formula>
    </cfRule>
    <cfRule type="cellIs" dxfId="4297" priority="6878" operator="equal">
      <formula>"CapEx"</formula>
    </cfRule>
  </conditionalFormatting>
  <conditionalFormatting sqref="F646">
    <cfRule type="dataBar" priority="6856">
      <dataBar>
        <cfvo type="min"/>
        <cfvo type="max"/>
        <color rgb="FF638EC6"/>
      </dataBar>
    </cfRule>
    <cfRule type="colorScale" priority="6857">
      <colorScale>
        <cfvo type="min"/>
        <cfvo type="percentile" val="50"/>
        <cfvo type="max"/>
        <color rgb="FFF8696B"/>
        <color rgb="FFFFEB84"/>
        <color rgb="FF63BE7B"/>
      </colorScale>
    </cfRule>
    <cfRule type="cellIs" dxfId="4296" priority="6858" operator="equal">
      <formula>"Tax"</formula>
    </cfRule>
    <cfRule type="cellIs" dxfId="4295" priority="6859" operator="equal">
      <formula>"Income"</formula>
    </cfRule>
    <cfRule type="cellIs" dxfId="4294" priority="6860" operator="equal">
      <formula>"Cost of Sales"</formula>
    </cfRule>
    <cfRule type="cellIs" dxfId="4293" priority="6861" operator="equal">
      <formula>"Payroll"</formula>
    </cfRule>
    <cfRule type="cellIs" dxfId="4292" priority="6862" operator="equal">
      <formula>"Investment"</formula>
    </cfRule>
    <cfRule type="cellIs" dxfId="4291" priority="6863" operator="equal">
      <formula>"Sunk"</formula>
    </cfRule>
    <cfRule type="cellIs" dxfId="4290" priority="6864" operator="equal">
      <formula>"OpEx"</formula>
    </cfRule>
    <cfRule type="cellIs" dxfId="4289" priority="6865" operator="equal">
      <formula>"CapEx"</formula>
    </cfRule>
    <cfRule type="dataBar" priority="6866">
      <dataBar>
        <cfvo type="min"/>
        <cfvo type="max"/>
        <color rgb="FF638EC6"/>
      </dataBar>
    </cfRule>
    <cfRule type="colorScale" priority="6867">
      <colorScale>
        <cfvo type="min"/>
        <cfvo type="percentile" val="50"/>
        <cfvo type="max"/>
        <color rgb="FFF8696B"/>
        <color rgb="FFFFEB84"/>
        <color rgb="FF63BE7B"/>
      </colorScale>
    </cfRule>
    <cfRule type="cellIs" dxfId="4288" priority="6868" operator="equal">
      <formula>"Tax"</formula>
    </cfRule>
    <cfRule type="cellIs" dxfId="4287" priority="6869" operator="equal">
      <formula>"Income"</formula>
    </cfRule>
    <cfRule type="dataBar" priority="6870">
      <dataBar>
        <cfvo type="min"/>
        <cfvo type="max"/>
        <color rgb="FF638EC6"/>
      </dataBar>
    </cfRule>
    <cfRule type="colorScale" priority="6871">
      <colorScale>
        <cfvo type="min"/>
        <cfvo type="percentile" val="50"/>
        <cfvo type="max"/>
        <color rgb="FFF8696B"/>
        <color rgb="FFFFEB84"/>
        <color rgb="FF63BE7B"/>
      </colorScale>
    </cfRule>
    <cfRule type="cellIs" dxfId="4286" priority="6872" operator="equal">
      <formula>"Tax"</formula>
    </cfRule>
  </conditionalFormatting>
  <conditionalFormatting sqref="F646:F648">
    <cfRule type="cellIs" dxfId="4285" priority="6849" operator="equal">
      <formula>"Cost of Sales"</formula>
    </cfRule>
    <cfRule type="cellIs" dxfId="4284" priority="6850" operator="equal">
      <formula>"Payroll"</formula>
    </cfRule>
    <cfRule type="cellIs" dxfId="4283" priority="6851" operator="equal">
      <formula>"Investment"</formula>
    </cfRule>
    <cfRule type="cellIs" dxfId="4282" priority="6852" operator="equal">
      <formula>"Sunk"</formula>
    </cfRule>
    <cfRule type="cellIs" dxfId="4281" priority="6853" operator="equal">
      <formula>"OpEx"</formula>
    </cfRule>
    <cfRule type="cellIs" dxfId="4280" priority="6854" operator="equal">
      <formula>"CapEx"</formula>
    </cfRule>
    <cfRule type="cellIs" dxfId="4279" priority="6855" operator="equal">
      <formula>"Income"</formula>
    </cfRule>
  </conditionalFormatting>
  <conditionalFormatting sqref="F647:F648">
    <cfRule type="dataBar" priority="6847">
      <dataBar>
        <cfvo type="min"/>
        <cfvo type="max"/>
        <color rgb="FF638EC6"/>
      </dataBar>
    </cfRule>
    <cfRule type="colorScale" priority="6848">
      <colorScale>
        <cfvo type="min"/>
        <cfvo type="percentile" val="50"/>
        <cfvo type="max"/>
        <color rgb="FFF8696B"/>
        <color rgb="FFFFEB84"/>
        <color rgb="FF63BE7B"/>
      </colorScale>
    </cfRule>
  </conditionalFormatting>
  <conditionalFormatting sqref="F647:F650">
    <cfRule type="cellIs" dxfId="4278" priority="6825" operator="equal">
      <formula>"Tax"</formula>
    </cfRule>
  </conditionalFormatting>
  <conditionalFormatting sqref="F649">
    <cfRule type="dataBar" priority="6893">
      <dataBar>
        <cfvo type="min"/>
        <cfvo type="max"/>
        <color rgb="FF638EC6"/>
      </dataBar>
    </cfRule>
    <cfRule type="colorScale" priority="6894">
      <colorScale>
        <cfvo type="min"/>
        <cfvo type="percentile" val="50"/>
        <cfvo type="max"/>
        <color rgb="FFF8696B"/>
        <color rgb="FFFFEB84"/>
        <color rgb="FF63BE7B"/>
      </colorScale>
    </cfRule>
  </conditionalFormatting>
  <conditionalFormatting sqref="F649:F652">
    <cfRule type="cellIs" dxfId="4277" priority="6895" operator="equal">
      <formula>"Cost of Sales"</formula>
    </cfRule>
    <cfRule type="cellIs" dxfId="4276" priority="6896" operator="equal">
      <formula>"Payroll"</formula>
    </cfRule>
    <cfRule type="cellIs" dxfId="4275" priority="6897" operator="equal">
      <formula>"Investment"</formula>
    </cfRule>
    <cfRule type="cellIs" dxfId="4274" priority="6898" operator="equal">
      <formula>"Sunk"</formula>
    </cfRule>
    <cfRule type="cellIs" dxfId="4273" priority="6899" operator="equal">
      <formula>"OpEx"</formula>
    </cfRule>
    <cfRule type="cellIs" dxfId="4272" priority="6900" operator="equal">
      <formula>"CapEx"</formula>
    </cfRule>
    <cfRule type="cellIs" dxfId="4271" priority="6901" operator="equal">
      <formula>"Income"</formula>
    </cfRule>
  </conditionalFormatting>
  <conditionalFormatting sqref="F650">
    <cfRule type="dataBar" priority="6823">
      <dataBar>
        <cfvo type="min"/>
        <cfvo type="max"/>
        <color rgb="FF638EC6"/>
      </dataBar>
    </cfRule>
    <cfRule type="colorScale" priority="6824">
      <colorScale>
        <cfvo type="min"/>
        <cfvo type="percentile" val="50"/>
        <cfvo type="max"/>
        <color rgb="FFF8696B"/>
        <color rgb="FFFFEB84"/>
        <color rgb="FF63BE7B"/>
      </colorScale>
    </cfRule>
  </conditionalFormatting>
  <conditionalFormatting sqref="F651">
    <cfRule type="dataBar" priority="6820">
      <dataBar>
        <cfvo type="min"/>
        <cfvo type="max"/>
        <color rgb="FF638EC6"/>
      </dataBar>
    </cfRule>
    <cfRule type="colorScale" priority="6821">
      <colorScale>
        <cfvo type="min"/>
        <cfvo type="percentile" val="50"/>
        <cfvo type="max"/>
        <color rgb="FFF8696B"/>
        <color rgb="FFFFEB84"/>
        <color rgb="FF63BE7B"/>
      </colorScale>
    </cfRule>
    <cfRule type="cellIs" dxfId="4270" priority="6822" operator="equal">
      <formula>"Tax"</formula>
    </cfRule>
  </conditionalFormatting>
  <conditionalFormatting sqref="F652">
    <cfRule type="dataBar" priority="6814">
      <dataBar>
        <cfvo type="min"/>
        <cfvo type="max"/>
        <color rgb="FF638EC6"/>
      </dataBar>
    </cfRule>
    <cfRule type="colorScale" priority="6815">
      <colorScale>
        <cfvo type="min"/>
        <cfvo type="percentile" val="50"/>
        <cfvo type="max"/>
        <color rgb="FFF8696B"/>
        <color rgb="FFFFEB84"/>
        <color rgb="FF63BE7B"/>
      </colorScale>
    </cfRule>
    <cfRule type="cellIs" dxfId="4269" priority="6816" operator="equal">
      <formula>"Tax"</formula>
    </cfRule>
    <cfRule type="dataBar" priority="6817">
      <dataBar>
        <cfvo type="min"/>
        <cfvo type="max"/>
        <color rgb="FF638EC6"/>
      </dataBar>
    </cfRule>
    <cfRule type="colorScale" priority="6818">
      <colorScale>
        <cfvo type="min"/>
        <cfvo type="percentile" val="50"/>
        <cfvo type="max"/>
        <color rgb="FFF8696B"/>
        <color rgb="FFFFEB84"/>
        <color rgb="FF63BE7B"/>
      </colorScale>
    </cfRule>
    <cfRule type="cellIs" dxfId="4268" priority="6819" operator="equal">
      <formula>"Tax"</formula>
    </cfRule>
  </conditionalFormatting>
  <conditionalFormatting sqref="F652:F653">
    <cfRule type="cellIs" dxfId="4267" priority="6807" operator="equal">
      <formula>"Income"</formula>
    </cfRule>
    <cfRule type="cellIs" dxfId="4266" priority="6808" operator="equal">
      <formula>"Cost of Sales"</formula>
    </cfRule>
    <cfRule type="cellIs" dxfId="4265" priority="6809" operator="equal">
      <formula>"Payroll"</formula>
    </cfRule>
    <cfRule type="cellIs" dxfId="4264" priority="6810" operator="equal">
      <formula>"Investment"</formula>
    </cfRule>
    <cfRule type="cellIs" dxfId="4263" priority="6811" operator="equal">
      <formula>"Sunk"</formula>
    </cfRule>
    <cfRule type="cellIs" dxfId="4262" priority="6812" operator="equal">
      <formula>"OpEx"</formula>
    </cfRule>
    <cfRule type="cellIs" dxfId="4261" priority="6813" operator="equal">
      <formula>"CapEx"</formula>
    </cfRule>
  </conditionalFormatting>
  <conditionalFormatting sqref="F653">
    <cfRule type="dataBar" priority="6804">
      <dataBar>
        <cfvo type="min"/>
        <cfvo type="max"/>
        <color rgb="FF638EC6"/>
      </dataBar>
    </cfRule>
    <cfRule type="colorScale" priority="6805">
      <colorScale>
        <cfvo type="min"/>
        <cfvo type="percentile" val="50"/>
        <cfvo type="max"/>
        <color rgb="FFF8696B"/>
        <color rgb="FFFFEB84"/>
        <color rgb="FF63BE7B"/>
      </colorScale>
    </cfRule>
    <cfRule type="cellIs" dxfId="4260" priority="6806" operator="equal">
      <formula>"Tax"</formula>
    </cfRule>
  </conditionalFormatting>
  <conditionalFormatting sqref="F654">
    <cfRule type="dataBar" priority="6795">
      <dataBar>
        <cfvo type="min"/>
        <cfvo type="max"/>
        <color rgb="FF638EC6"/>
      </dataBar>
    </cfRule>
    <cfRule type="colorScale" priority="6796">
      <colorScale>
        <cfvo type="min"/>
        <cfvo type="percentile" val="50"/>
        <cfvo type="max"/>
        <color rgb="FFF8696B"/>
        <color rgb="FFFFEB84"/>
        <color rgb="FF63BE7B"/>
      </colorScale>
    </cfRule>
    <cfRule type="cellIs" dxfId="4259" priority="6797" operator="equal">
      <formula>"Income"</formula>
    </cfRule>
    <cfRule type="cellIs" dxfId="4258" priority="6798" operator="equal">
      <formula>"Cost of Sales"</formula>
    </cfRule>
    <cfRule type="cellIs" dxfId="4257" priority="6799" operator="equal">
      <formula>"Payroll"</formula>
    </cfRule>
    <cfRule type="cellIs" dxfId="4256" priority="6800" operator="equal">
      <formula>"Investment"</formula>
    </cfRule>
    <cfRule type="cellIs" dxfId="4255" priority="6801" operator="equal">
      <formula>"Sunk"</formula>
    </cfRule>
    <cfRule type="cellIs" dxfId="4254" priority="6802" operator="equal">
      <formula>"OpEx"</formula>
    </cfRule>
    <cfRule type="cellIs" dxfId="4253" priority="6803" operator="equal">
      <formula>"CapEx"</formula>
    </cfRule>
  </conditionalFormatting>
  <conditionalFormatting sqref="F654:F655">
    <cfRule type="cellIs" dxfId="4252" priority="6758" operator="equal">
      <formula>"Tax"</formula>
    </cfRule>
  </conditionalFormatting>
  <conditionalFormatting sqref="F655">
    <cfRule type="dataBar" priority="6756">
      <dataBar>
        <cfvo type="min"/>
        <cfvo type="max"/>
        <color rgb="FF638EC6"/>
      </dataBar>
    </cfRule>
    <cfRule type="colorScale" priority="6757">
      <colorScale>
        <cfvo type="min"/>
        <cfvo type="percentile" val="50"/>
        <cfvo type="max"/>
        <color rgb="FFF8696B"/>
        <color rgb="FFFFEB84"/>
        <color rgb="FF63BE7B"/>
      </colorScale>
    </cfRule>
    <cfRule type="cellIs" dxfId="4251" priority="6759" operator="equal">
      <formula>"Income"</formula>
    </cfRule>
    <cfRule type="cellIs" dxfId="4250" priority="6760" operator="equal">
      <formula>"Cost of Sales"</formula>
    </cfRule>
    <cfRule type="cellIs" dxfId="4249" priority="6761" operator="equal">
      <formula>"Payroll"</formula>
    </cfRule>
    <cfRule type="cellIs" dxfId="4248" priority="6762" operator="equal">
      <formula>"Investment"</formula>
    </cfRule>
    <cfRule type="cellIs" dxfId="4247" priority="6763" operator="equal">
      <formula>"Sunk"</formula>
    </cfRule>
    <cfRule type="cellIs" dxfId="4246" priority="6764" operator="equal">
      <formula>"OpEx"</formula>
    </cfRule>
    <cfRule type="cellIs" dxfId="4245" priority="6765" operator="equal">
      <formula>"CapEx"</formula>
    </cfRule>
  </conditionalFormatting>
  <conditionalFormatting sqref="F656">
    <cfRule type="dataBar" priority="6735">
      <dataBar>
        <cfvo type="min"/>
        <cfvo type="max"/>
        <color rgb="FF638EC6"/>
      </dataBar>
    </cfRule>
    <cfRule type="colorScale" priority="6736">
      <colorScale>
        <cfvo type="min"/>
        <cfvo type="percentile" val="50"/>
        <cfvo type="max"/>
        <color rgb="FFF8696B"/>
        <color rgb="FFFFEB84"/>
        <color rgb="FF63BE7B"/>
      </colorScale>
    </cfRule>
    <cfRule type="cellIs" dxfId="4244" priority="6737" operator="equal">
      <formula>"Tax"</formula>
    </cfRule>
    <cfRule type="cellIs" dxfId="4243" priority="6738" operator="equal">
      <formula>"Income"</formula>
    </cfRule>
    <cfRule type="cellIs" dxfId="4242" priority="6739" operator="equal">
      <formula>"Cost of Sales"</formula>
    </cfRule>
    <cfRule type="cellIs" dxfId="4241" priority="6740" operator="equal">
      <formula>"Payroll"</formula>
    </cfRule>
    <cfRule type="cellIs" dxfId="4240" priority="6741" operator="equal">
      <formula>"Investment"</formula>
    </cfRule>
    <cfRule type="cellIs" dxfId="4239" priority="6742" operator="equal">
      <formula>"Sunk"</formula>
    </cfRule>
    <cfRule type="cellIs" dxfId="4238" priority="6743" operator="equal">
      <formula>"OpEx"</formula>
    </cfRule>
    <cfRule type="cellIs" dxfId="4237" priority="6744" operator="equal">
      <formula>"CapEx"</formula>
    </cfRule>
    <cfRule type="dataBar" priority="6745">
      <dataBar>
        <cfvo type="min"/>
        <cfvo type="max"/>
        <color rgb="FF638EC6"/>
      </dataBar>
    </cfRule>
    <cfRule type="colorScale" priority="6746">
      <colorScale>
        <cfvo type="min"/>
        <cfvo type="percentile" val="50"/>
        <cfvo type="max"/>
        <color rgb="FFF8696B"/>
        <color rgb="FFFFEB84"/>
        <color rgb="FF63BE7B"/>
      </colorScale>
    </cfRule>
    <cfRule type="cellIs" dxfId="4236" priority="6747" operator="equal">
      <formula>"Tax"</formula>
    </cfRule>
  </conditionalFormatting>
  <conditionalFormatting sqref="F656:F657">
    <cfRule type="cellIs" dxfId="4235" priority="6710" operator="equal">
      <formula>"Cost of Sales"</formula>
    </cfRule>
    <cfRule type="cellIs" dxfId="4234" priority="6711" operator="equal">
      <formula>"Payroll"</formula>
    </cfRule>
    <cfRule type="cellIs" dxfId="4233" priority="6712" operator="equal">
      <formula>"Investment"</formula>
    </cfRule>
    <cfRule type="cellIs" dxfId="4232" priority="6713" operator="equal">
      <formula>"Sunk"</formula>
    </cfRule>
    <cfRule type="cellIs" dxfId="4231" priority="6714" operator="equal">
      <formula>"OpEx"</formula>
    </cfRule>
    <cfRule type="cellIs" dxfId="4230" priority="6715" operator="equal">
      <formula>"CapEx"</formula>
    </cfRule>
    <cfRule type="cellIs" dxfId="4229" priority="6716" operator="equal">
      <formula>"Income"</formula>
    </cfRule>
  </conditionalFormatting>
  <conditionalFormatting sqref="F657">
    <cfRule type="dataBar" priority="6708">
      <dataBar>
        <cfvo type="min"/>
        <cfvo type="max"/>
        <color rgb="FF638EC6"/>
      </dataBar>
    </cfRule>
    <cfRule type="colorScale" priority="6709">
      <colorScale>
        <cfvo type="min"/>
        <cfvo type="percentile" val="50"/>
        <cfvo type="max"/>
        <color rgb="FFF8696B"/>
        <color rgb="FFFFEB84"/>
        <color rgb="FF63BE7B"/>
      </colorScale>
    </cfRule>
  </conditionalFormatting>
  <conditionalFormatting sqref="F657:F658 F663">
    <cfRule type="cellIs" dxfId="4228" priority="6678" operator="equal">
      <formula>"Tax"</formula>
    </cfRule>
  </conditionalFormatting>
  <conditionalFormatting sqref="F658 F663">
    <cfRule type="cellIs" dxfId="4227" priority="6679" operator="equal">
      <formula>"Cost of Sales"</formula>
    </cfRule>
    <cfRule type="cellIs" dxfId="4226" priority="6680" operator="equal">
      <formula>"Payroll"</formula>
    </cfRule>
    <cfRule type="cellIs" dxfId="4225" priority="6681" operator="equal">
      <formula>"Investment"</formula>
    </cfRule>
    <cfRule type="cellIs" dxfId="4224" priority="6682" operator="equal">
      <formula>"Sunk"</formula>
    </cfRule>
    <cfRule type="cellIs" dxfId="4223" priority="6683" operator="equal">
      <formula>"OpEx"</formula>
    </cfRule>
    <cfRule type="cellIs" dxfId="4222" priority="6684" operator="equal">
      <formula>"CapEx"</formula>
    </cfRule>
    <cfRule type="cellIs" dxfId="4221" priority="6685" operator="equal">
      <formula>"Income"</formula>
    </cfRule>
  </conditionalFormatting>
  <conditionalFormatting sqref="F659">
    <cfRule type="dataBar" priority="6648">
      <dataBar>
        <cfvo type="min"/>
        <cfvo type="max"/>
        <color rgb="FF638EC6"/>
      </dataBar>
    </cfRule>
    <cfRule type="colorScale" priority="6649">
      <colorScale>
        <cfvo type="min"/>
        <cfvo type="percentile" val="50"/>
        <cfvo type="max"/>
        <color rgb="FFF8696B"/>
        <color rgb="FFFFEB84"/>
        <color rgb="FF63BE7B"/>
      </colorScale>
    </cfRule>
    <cfRule type="cellIs" dxfId="4220" priority="6650" operator="equal">
      <formula>"Income"</formula>
    </cfRule>
    <cfRule type="cellIs" dxfId="4219" priority="6651" operator="equal">
      <formula>"Cost of Sales"</formula>
    </cfRule>
    <cfRule type="cellIs" dxfId="4218" priority="6652" operator="equal">
      <formula>"Payroll"</formula>
    </cfRule>
    <cfRule type="cellIs" dxfId="4217" priority="6653" operator="equal">
      <formula>"Investment"</formula>
    </cfRule>
    <cfRule type="cellIs" dxfId="4216" priority="6654" operator="equal">
      <formula>"Sunk"</formula>
    </cfRule>
    <cfRule type="cellIs" dxfId="4215" priority="6655" operator="equal">
      <formula>"OpEx"</formula>
    </cfRule>
    <cfRule type="cellIs" dxfId="4214" priority="6656" operator="equal">
      <formula>"CapEx"</formula>
    </cfRule>
  </conditionalFormatting>
  <conditionalFormatting sqref="F659:F660">
    <cfRule type="cellIs" dxfId="4213" priority="6647" operator="equal">
      <formula>"Tax"</formula>
    </cfRule>
  </conditionalFormatting>
  <conditionalFormatting sqref="F660">
    <cfRule type="dataBar" priority="6638">
      <dataBar>
        <cfvo type="min"/>
        <cfvo type="max"/>
        <color rgb="FF638EC6"/>
      </dataBar>
    </cfRule>
    <cfRule type="colorScale" priority="6639">
      <colorScale>
        <cfvo type="min"/>
        <cfvo type="percentile" val="50"/>
        <cfvo type="max"/>
        <color rgb="FFF8696B"/>
        <color rgb="FFFFEB84"/>
        <color rgb="FF63BE7B"/>
      </colorScale>
    </cfRule>
    <cfRule type="cellIs" dxfId="4212" priority="6640" operator="equal">
      <formula>"Income"</formula>
    </cfRule>
    <cfRule type="cellIs" dxfId="4211" priority="6641" operator="equal">
      <formula>"Cost of Sales"</formula>
    </cfRule>
    <cfRule type="cellIs" dxfId="4210" priority="6642" operator="equal">
      <formula>"Payroll"</formula>
    </cfRule>
    <cfRule type="cellIs" dxfId="4209" priority="6643" operator="equal">
      <formula>"Investment"</formula>
    </cfRule>
    <cfRule type="cellIs" dxfId="4208" priority="6644" operator="equal">
      <formula>"Sunk"</formula>
    </cfRule>
    <cfRule type="cellIs" dxfId="4207" priority="6645" operator="equal">
      <formula>"OpEx"</formula>
    </cfRule>
    <cfRule type="cellIs" dxfId="4206" priority="6646" operator="equal">
      <formula>"CapEx"</formula>
    </cfRule>
  </conditionalFormatting>
  <conditionalFormatting sqref="F661">
    <cfRule type="dataBar" priority="6625">
      <dataBar>
        <cfvo type="min"/>
        <cfvo type="max"/>
        <color rgb="FF638EC6"/>
      </dataBar>
    </cfRule>
    <cfRule type="colorScale" priority="6626">
      <colorScale>
        <cfvo type="min"/>
        <cfvo type="percentile" val="50"/>
        <cfvo type="max"/>
        <color rgb="FFF8696B"/>
        <color rgb="FFFFEB84"/>
        <color rgb="FF63BE7B"/>
      </colorScale>
    </cfRule>
    <cfRule type="cellIs" dxfId="4205" priority="6627" operator="equal">
      <formula>"Tax"</formula>
    </cfRule>
    <cfRule type="cellIs" dxfId="4204" priority="6628" operator="equal">
      <formula>"Income"</formula>
    </cfRule>
    <cfRule type="cellIs" dxfId="4203" priority="6629" operator="equal">
      <formula>"Cost of Sales"</formula>
    </cfRule>
    <cfRule type="cellIs" dxfId="4202" priority="6630" operator="equal">
      <formula>"Payroll"</formula>
    </cfRule>
    <cfRule type="cellIs" dxfId="4201" priority="6631" operator="equal">
      <formula>"Investment"</formula>
    </cfRule>
    <cfRule type="cellIs" dxfId="4200" priority="6632" operator="equal">
      <formula>"Sunk"</formula>
    </cfRule>
    <cfRule type="cellIs" dxfId="4199" priority="6633" operator="equal">
      <formula>"OpEx"</formula>
    </cfRule>
    <cfRule type="cellIs" dxfId="4198" priority="6634" operator="equal">
      <formula>"CapEx"</formula>
    </cfRule>
    <cfRule type="dataBar" priority="6635">
      <dataBar>
        <cfvo type="min"/>
        <cfvo type="max"/>
        <color rgb="FF638EC6"/>
      </dataBar>
    </cfRule>
    <cfRule type="colorScale" priority="6636">
      <colorScale>
        <cfvo type="min"/>
        <cfvo type="percentile" val="50"/>
        <cfvo type="max"/>
        <color rgb="FFF8696B"/>
        <color rgb="FFFFEB84"/>
        <color rgb="FF63BE7B"/>
      </colorScale>
    </cfRule>
    <cfRule type="cellIs" dxfId="4197" priority="6637" operator="equal">
      <formula>"Tax"</formula>
    </cfRule>
  </conditionalFormatting>
  <conditionalFormatting sqref="F661:F662">
    <cfRule type="cellIs" dxfId="4196" priority="6591" operator="equal">
      <formula>"Cost of Sales"</formula>
    </cfRule>
    <cfRule type="cellIs" dxfId="4195" priority="6592" operator="equal">
      <formula>"Payroll"</formula>
    </cfRule>
    <cfRule type="cellIs" dxfId="4194" priority="6593" operator="equal">
      <formula>"Investment"</formula>
    </cfRule>
    <cfRule type="cellIs" dxfId="4193" priority="6594" operator="equal">
      <formula>"Sunk"</formula>
    </cfRule>
    <cfRule type="cellIs" dxfId="4192" priority="6595" operator="equal">
      <formula>"OpEx"</formula>
    </cfRule>
    <cfRule type="cellIs" dxfId="4191" priority="6596" operator="equal">
      <formula>"CapEx"</formula>
    </cfRule>
    <cfRule type="cellIs" dxfId="4190" priority="6597" operator="equal">
      <formula>"Income"</formula>
    </cfRule>
  </conditionalFormatting>
  <conditionalFormatting sqref="F662">
    <cfRule type="dataBar" priority="6598">
      <dataBar>
        <cfvo type="min"/>
        <cfvo type="max"/>
        <color rgb="FF638EC6"/>
      </dataBar>
    </cfRule>
    <cfRule type="colorScale" priority="6599">
      <colorScale>
        <cfvo type="min"/>
        <cfvo type="percentile" val="50"/>
        <cfvo type="max"/>
        <color rgb="FFF8696B"/>
        <color rgb="FFFFEB84"/>
        <color rgb="FF63BE7B"/>
      </colorScale>
    </cfRule>
    <cfRule type="cellIs" dxfId="4189" priority="6600" operator="equal">
      <formula>"Tax"</formula>
    </cfRule>
  </conditionalFormatting>
  <conditionalFormatting sqref="F663 F658">
    <cfRule type="dataBar" priority="6676">
      <dataBar>
        <cfvo type="min"/>
        <cfvo type="max"/>
        <color rgb="FF638EC6"/>
      </dataBar>
    </cfRule>
    <cfRule type="colorScale" priority="6677">
      <colorScale>
        <cfvo type="min"/>
        <cfvo type="percentile" val="50"/>
        <cfvo type="max"/>
        <color rgb="FFF8696B"/>
        <color rgb="FFFFEB84"/>
        <color rgb="FF63BE7B"/>
      </colorScale>
    </cfRule>
  </conditionalFormatting>
  <conditionalFormatting sqref="F664">
    <cfRule type="dataBar" priority="6568">
      <dataBar>
        <cfvo type="min"/>
        <cfvo type="max"/>
        <color rgb="FF638EC6"/>
      </dataBar>
    </cfRule>
    <cfRule type="colorScale" priority="6569">
      <colorScale>
        <cfvo type="min"/>
        <cfvo type="percentile" val="50"/>
        <cfvo type="max"/>
        <color rgb="FFF8696B"/>
        <color rgb="FFFFEB84"/>
        <color rgb="FF63BE7B"/>
      </colorScale>
    </cfRule>
    <cfRule type="cellIs" dxfId="4188" priority="6570" operator="equal">
      <formula>"Tax"</formula>
    </cfRule>
    <cfRule type="cellIs" dxfId="4187" priority="6571" operator="equal">
      <formula>"Cost of Sales"</formula>
    </cfRule>
    <cfRule type="cellIs" dxfId="4186" priority="6572" operator="equal">
      <formula>"Payroll"</formula>
    </cfRule>
    <cfRule type="cellIs" dxfId="4185" priority="6573" operator="equal">
      <formula>"Investment"</formula>
    </cfRule>
    <cfRule type="cellIs" dxfId="4184" priority="6574" operator="equal">
      <formula>"Sunk"</formula>
    </cfRule>
    <cfRule type="cellIs" dxfId="4183" priority="6575" operator="equal">
      <formula>"OpEx"</formula>
    </cfRule>
    <cfRule type="cellIs" dxfId="4182" priority="6576" operator="equal">
      <formula>"CapEx"</formula>
    </cfRule>
    <cfRule type="cellIs" dxfId="4181" priority="6577" operator="equal">
      <formula>"Income"</formula>
    </cfRule>
  </conditionalFormatting>
  <conditionalFormatting sqref="F665">
    <cfRule type="dataBar" priority="6544">
      <dataBar>
        <cfvo type="min"/>
        <cfvo type="max"/>
        <color rgb="FF638EC6"/>
      </dataBar>
    </cfRule>
    <cfRule type="colorScale" priority="6545">
      <colorScale>
        <cfvo type="min"/>
        <cfvo type="percentile" val="50"/>
        <cfvo type="max"/>
        <color rgb="FFF8696B"/>
        <color rgb="FFFFEB84"/>
        <color rgb="FF63BE7B"/>
      </colorScale>
    </cfRule>
    <cfRule type="cellIs" dxfId="4180" priority="6546" operator="equal">
      <formula>"Tax"</formula>
    </cfRule>
    <cfRule type="cellIs" dxfId="4179" priority="6547" operator="equal">
      <formula>"Income"</formula>
    </cfRule>
    <cfRule type="cellIs" dxfId="4178" priority="6548" operator="equal">
      <formula>"Cost of Sales"</formula>
    </cfRule>
    <cfRule type="cellIs" dxfId="4177" priority="6549" operator="equal">
      <formula>"Payroll"</formula>
    </cfRule>
    <cfRule type="cellIs" dxfId="4176" priority="6550" operator="equal">
      <formula>"Investment"</formula>
    </cfRule>
    <cfRule type="cellIs" dxfId="4175" priority="6551" operator="equal">
      <formula>"Sunk"</formula>
    </cfRule>
    <cfRule type="cellIs" dxfId="4174" priority="6552" operator="equal">
      <formula>"OpEx"</formula>
    </cfRule>
    <cfRule type="cellIs" dxfId="4173" priority="6553" operator="equal">
      <formula>"CapEx"</formula>
    </cfRule>
    <cfRule type="dataBar" priority="6554">
      <dataBar>
        <cfvo type="min"/>
        <cfvo type="max"/>
        <color rgb="FF638EC6"/>
      </dataBar>
    </cfRule>
    <cfRule type="colorScale" priority="6555">
      <colorScale>
        <cfvo type="min"/>
        <cfvo type="percentile" val="50"/>
        <cfvo type="max"/>
        <color rgb="FFF8696B"/>
        <color rgb="FFFFEB84"/>
        <color rgb="FF63BE7B"/>
      </colorScale>
    </cfRule>
    <cfRule type="cellIs" dxfId="4172" priority="6556" operator="equal">
      <formula>"Tax"</formula>
    </cfRule>
  </conditionalFormatting>
  <conditionalFormatting sqref="F665:F666">
    <cfRule type="cellIs" dxfId="4171" priority="6509" operator="equal">
      <formula>"Income"</formula>
    </cfRule>
    <cfRule type="cellIs" dxfId="4170" priority="6513" operator="equal">
      <formula>"Cost of Sales"</formula>
    </cfRule>
    <cfRule type="cellIs" dxfId="4169" priority="6514" operator="equal">
      <formula>"Payroll"</formula>
    </cfRule>
    <cfRule type="cellIs" dxfId="4168" priority="6515" operator="equal">
      <formula>"Investment"</formula>
    </cfRule>
    <cfRule type="cellIs" dxfId="4167" priority="6516" operator="equal">
      <formula>"Sunk"</formula>
    </cfRule>
    <cfRule type="cellIs" dxfId="4166" priority="6517" operator="equal">
      <formula>"OpEx"</formula>
    </cfRule>
    <cfRule type="cellIs" dxfId="4165" priority="6518" operator="equal">
      <formula>"CapEx"</formula>
    </cfRule>
  </conditionalFormatting>
  <conditionalFormatting sqref="F666">
    <cfRule type="dataBar" priority="6496">
      <dataBar>
        <cfvo type="min"/>
        <cfvo type="max"/>
        <color rgb="FF638EC6"/>
      </dataBar>
    </cfRule>
    <cfRule type="colorScale" priority="6497">
      <colorScale>
        <cfvo type="min"/>
        <cfvo type="percentile" val="50"/>
        <cfvo type="max"/>
        <color rgb="FFF8696B"/>
        <color rgb="FFFFEB84"/>
        <color rgb="FF63BE7B"/>
      </colorScale>
    </cfRule>
    <cfRule type="cellIs" dxfId="4164" priority="6498" operator="equal">
      <formula>"Tax"</formula>
    </cfRule>
    <cfRule type="cellIs" dxfId="4163" priority="6499" operator="equal">
      <formula>"Income"</formula>
    </cfRule>
    <cfRule type="cellIs" dxfId="4162" priority="6500" operator="equal">
      <formula>"Cost of Sales"</formula>
    </cfRule>
    <cfRule type="cellIs" dxfId="4161" priority="6501" operator="equal">
      <formula>"Payroll"</formula>
    </cfRule>
    <cfRule type="cellIs" dxfId="4160" priority="6502" operator="equal">
      <formula>"Investment"</formula>
    </cfRule>
    <cfRule type="cellIs" dxfId="4159" priority="6503" operator="equal">
      <formula>"Sunk"</formula>
    </cfRule>
    <cfRule type="cellIs" dxfId="4158" priority="6504" operator="equal">
      <formula>"OpEx"</formula>
    </cfRule>
    <cfRule type="cellIs" dxfId="4157" priority="6505" operator="equal">
      <formula>"CapEx"</formula>
    </cfRule>
    <cfRule type="dataBar" priority="6506">
      <dataBar>
        <cfvo type="min"/>
        <cfvo type="max"/>
        <color rgb="FF638EC6"/>
      </dataBar>
    </cfRule>
    <cfRule type="colorScale" priority="6507">
      <colorScale>
        <cfvo type="min"/>
        <cfvo type="percentile" val="50"/>
        <cfvo type="max"/>
        <color rgb="FFF8696B"/>
        <color rgb="FFFFEB84"/>
        <color rgb="FF63BE7B"/>
      </colorScale>
    </cfRule>
    <cfRule type="cellIs" dxfId="4156" priority="6508" operator="equal">
      <formula>"Tax"</formula>
    </cfRule>
    <cfRule type="dataBar" priority="6510">
      <dataBar>
        <cfvo type="min"/>
        <cfvo type="max"/>
        <color rgb="FF638EC6"/>
      </dataBar>
    </cfRule>
    <cfRule type="colorScale" priority="6511">
      <colorScale>
        <cfvo type="min"/>
        <cfvo type="percentile" val="50"/>
        <cfvo type="max"/>
        <color rgb="FFF8696B"/>
        <color rgb="FFFFEB84"/>
        <color rgb="FF63BE7B"/>
      </colorScale>
    </cfRule>
    <cfRule type="cellIs" dxfId="4155" priority="6512" operator="equal">
      <formula>"Tax"</formula>
    </cfRule>
  </conditionalFormatting>
  <conditionalFormatting sqref="F666:F670">
    <cfRule type="cellIs" dxfId="4154" priority="6403" operator="equal">
      <formula>"Income"</formula>
    </cfRule>
    <cfRule type="cellIs" dxfId="4153" priority="6404" operator="equal">
      <formula>"Cost of Sales"</formula>
    </cfRule>
    <cfRule type="cellIs" dxfId="4152" priority="6405" operator="equal">
      <formula>"Payroll"</formula>
    </cfRule>
    <cfRule type="cellIs" dxfId="4151" priority="6406" operator="equal">
      <formula>"Investment"</formula>
    </cfRule>
    <cfRule type="cellIs" dxfId="4150" priority="6407" operator="equal">
      <formula>"Sunk"</formula>
    </cfRule>
    <cfRule type="cellIs" dxfId="4149" priority="6408" operator="equal">
      <formula>"OpEx"</formula>
    </cfRule>
    <cfRule type="cellIs" dxfId="4148" priority="6409" operator="equal">
      <formula>"CapEx"</formula>
    </cfRule>
  </conditionalFormatting>
  <conditionalFormatting sqref="F667">
    <cfRule type="dataBar" priority="6482">
      <dataBar>
        <cfvo type="min"/>
        <cfvo type="max"/>
        <color rgb="FF638EC6"/>
      </dataBar>
    </cfRule>
    <cfRule type="colorScale" priority="6483">
      <colorScale>
        <cfvo type="min"/>
        <cfvo type="percentile" val="50"/>
        <cfvo type="max"/>
        <color rgb="FFF8696B"/>
        <color rgb="FFFFEB84"/>
        <color rgb="FF63BE7B"/>
      </colorScale>
    </cfRule>
    <cfRule type="cellIs" dxfId="4147" priority="6484" operator="equal">
      <formula>"Tax"</formula>
    </cfRule>
  </conditionalFormatting>
  <conditionalFormatting sqref="F668">
    <cfRule type="dataBar" priority="6460">
      <dataBar>
        <cfvo type="min"/>
        <cfvo type="max"/>
        <color rgb="FF638EC6"/>
      </dataBar>
    </cfRule>
    <cfRule type="colorScale" priority="6461">
      <colorScale>
        <cfvo type="min"/>
        <cfvo type="percentile" val="50"/>
        <cfvo type="max"/>
        <color rgb="FFF8696B"/>
        <color rgb="FFFFEB84"/>
        <color rgb="FF63BE7B"/>
      </colorScale>
    </cfRule>
    <cfRule type="cellIs" dxfId="4146" priority="6462" operator="equal">
      <formula>"Tax"</formula>
    </cfRule>
  </conditionalFormatting>
  <conditionalFormatting sqref="F669">
    <cfRule type="dataBar" priority="6438">
      <dataBar>
        <cfvo type="min"/>
        <cfvo type="max"/>
        <color rgb="FF638EC6"/>
      </dataBar>
    </cfRule>
    <cfRule type="colorScale" priority="6439">
      <colorScale>
        <cfvo type="min"/>
        <cfvo type="percentile" val="50"/>
        <cfvo type="max"/>
        <color rgb="FFF8696B"/>
        <color rgb="FFFFEB84"/>
        <color rgb="FF63BE7B"/>
      </colorScale>
    </cfRule>
    <cfRule type="cellIs" dxfId="4145" priority="6440" operator="equal">
      <formula>"Tax"</formula>
    </cfRule>
  </conditionalFormatting>
  <conditionalFormatting sqref="F670">
    <cfRule type="dataBar" priority="6400">
      <dataBar>
        <cfvo type="min"/>
        <cfvo type="max"/>
        <color rgb="FF638EC6"/>
      </dataBar>
    </cfRule>
    <cfRule type="colorScale" priority="6401">
      <colorScale>
        <cfvo type="min"/>
        <cfvo type="percentile" val="50"/>
        <cfvo type="max"/>
        <color rgb="FFF8696B"/>
        <color rgb="FFFFEB84"/>
        <color rgb="FF63BE7B"/>
      </colorScale>
    </cfRule>
    <cfRule type="cellIs" dxfId="4144" priority="6402" operator="equal">
      <formula>"Tax"</formula>
    </cfRule>
  </conditionalFormatting>
  <conditionalFormatting sqref="F671">
    <cfRule type="dataBar" priority="6391">
      <dataBar>
        <cfvo type="min"/>
        <cfvo type="max"/>
        <color rgb="FF638EC6"/>
      </dataBar>
    </cfRule>
    <cfRule type="colorScale" priority="6392">
      <colorScale>
        <cfvo type="min"/>
        <cfvo type="percentile" val="50"/>
        <cfvo type="max"/>
        <color rgb="FFF8696B"/>
        <color rgb="FFFFEB84"/>
        <color rgb="FF63BE7B"/>
      </colorScale>
    </cfRule>
  </conditionalFormatting>
  <conditionalFormatting sqref="F671:F672">
    <cfRule type="cellIs" dxfId="4143" priority="6393" operator="equal">
      <formula>"Cost of Sales"</formula>
    </cfRule>
    <cfRule type="cellIs" dxfId="4142" priority="6394" operator="equal">
      <formula>"Payroll"</formula>
    </cfRule>
    <cfRule type="cellIs" dxfId="4141" priority="6395" operator="equal">
      <formula>"Investment"</formula>
    </cfRule>
    <cfRule type="cellIs" dxfId="4140" priority="6396" operator="equal">
      <formula>"Sunk"</formula>
    </cfRule>
    <cfRule type="cellIs" dxfId="4139" priority="6397" operator="equal">
      <formula>"OpEx"</formula>
    </cfRule>
    <cfRule type="cellIs" dxfId="4138" priority="6398" operator="equal">
      <formula>"CapEx"</formula>
    </cfRule>
    <cfRule type="cellIs" dxfId="4137" priority="6399" operator="equal">
      <formula>"Income"</formula>
    </cfRule>
  </conditionalFormatting>
  <conditionalFormatting sqref="F671:F673">
    <cfRule type="cellIs" dxfId="4136" priority="6373" operator="equal">
      <formula>"Tax"</formula>
    </cfRule>
  </conditionalFormatting>
  <conditionalFormatting sqref="F672">
    <cfRule type="dataBar" priority="193306">
      <dataBar>
        <cfvo type="min"/>
        <cfvo type="max"/>
        <color rgb="FF638EC6"/>
      </dataBar>
    </cfRule>
    <cfRule type="colorScale" priority="193307">
      <colorScale>
        <cfvo type="min"/>
        <cfvo type="percentile" val="50"/>
        <cfvo type="max"/>
        <color rgb="FFF8696B"/>
        <color rgb="FFFFEB84"/>
        <color rgb="FF63BE7B"/>
      </colorScale>
    </cfRule>
  </conditionalFormatting>
  <conditionalFormatting sqref="F673">
    <cfRule type="dataBar" priority="6371">
      <dataBar>
        <cfvo type="min"/>
        <cfvo type="max"/>
        <color rgb="FF638EC6"/>
      </dataBar>
    </cfRule>
    <cfRule type="colorScale" priority="6372">
      <colorScale>
        <cfvo type="min"/>
        <cfvo type="percentile" val="50"/>
        <cfvo type="max"/>
        <color rgb="FFF8696B"/>
        <color rgb="FFFFEB84"/>
        <color rgb="FF63BE7B"/>
      </colorScale>
    </cfRule>
    <cfRule type="cellIs" dxfId="4135" priority="6374" operator="equal">
      <formula>"Cost of Sales"</formula>
    </cfRule>
    <cfRule type="cellIs" dxfId="4134" priority="6375" operator="equal">
      <formula>"Payroll"</formula>
    </cfRule>
    <cfRule type="cellIs" dxfId="4133" priority="6376" operator="equal">
      <formula>"Investment"</formula>
    </cfRule>
    <cfRule type="cellIs" dxfId="4132" priority="6377" operator="equal">
      <formula>"Sunk"</formula>
    </cfRule>
    <cfRule type="cellIs" dxfId="4131" priority="6378" operator="equal">
      <formula>"OpEx"</formula>
    </cfRule>
    <cfRule type="cellIs" dxfId="4130" priority="6379" operator="equal">
      <formula>"CapEx"</formula>
    </cfRule>
    <cfRule type="cellIs" dxfId="4129" priority="6380" operator="equal">
      <formula>"Income"</formula>
    </cfRule>
  </conditionalFormatting>
  <conditionalFormatting sqref="F674">
    <cfRule type="dataBar" priority="6361">
      <dataBar>
        <cfvo type="min"/>
        <cfvo type="max"/>
        <color rgb="FF638EC6"/>
      </dataBar>
    </cfRule>
    <cfRule type="colorScale" priority="6362">
      <colorScale>
        <cfvo type="min"/>
        <cfvo type="percentile" val="50"/>
        <cfvo type="max"/>
        <color rgb="FFF8696B"/>
        <color rgb="FFFFEB84"/>
        <color rgb="FF63BE7B"/>
      </colorScale>
    </cfRule>
    <cfRule type="cellIs" dxfId="4128" priority="6363" operator="equal">
      <formula>"Tax"</formula>
    </cfRule>
    <cfRule type="cellIs" dxfId="4127" priority="6364" operator="equal">
      <formula>"Income"</formula>
    </cfRule>
    <cfRule type="cellIs" dxfId="4126" priority="6365" operator="equal">
      <formula>"Cost of Sales"</formula>
    </cfRule>
    <cfRule type="cellIs" dxfId="4125" priority="6366" operator="equal">
      <formula>"Payroll"</formula>
    </cfRule>
    <cfRule type="cellIs" dxfId="4124" priority="6367" operator="equal">
      <formula>"Investment"</formula>
    </cfRule>
    <cfRule type="cellIs" dxfId="4123" priority="6368" operator="equal">
      <formula>"Sunk"</formula>
    </cfRule>
    <cfRule type="cellIs" dxfId="4122" priority="6369" operator="equal">
      <formula>"OpEx"</formula>
    </cfRule>
    <cfRule type="cellIs" dxfId="4121" priority="6370" operator="equal">
      <formula>"CapEx"</formula>
    </cfRule>
  </conditionalFormatting>
  <conditionalFormatting sqref="F675">
    <cfRule type="dataBar" priority="6358">
      <dataBar>
        <cfvo type="min"/>
        <cfvo type="max"/>
        <color rgb="FF638EC6"/>
      </dataBar>
    </cfRule>
    <cfRule type="colorScale" priority="6359">
      <colorScale>
        <cfvo type="min"/>
        <cfvo type="percentile" val="50"/>
        <cfvo type="max"/>
        <color rgb="FFF8696B"/>
        <color rgb="FFFFEB84"/>
        <color rgb="FF63BE7B"/>
      </colorScale>
    </cfRule>
    <cfRule type="cellIs" dxfId="4120" priority="6360" operator="equal">
      <formula>"Tax"</formula>
    </cfRule>
  </conditionalFormatting>
  <conditionalFormatting sqref="F675:F676 F687">
    <cfRule type="cellIs" dxfId="4119" priority="6320" operator="equal">
      <formula>"Income"</formula>
    </cfRule>
    <cfRule type="cellIs" dxfId="4118" priority="6321" operator="equal">
      <formula>"Cost of Sales"</formula>
    </cfRule>
    <cfRule type="cellIs" dxfId="4117" priority="6322" operator="equal">
      <formula>"Payroll"</formula>
    </cfRule>
    <cfRule type="cellIs" dxfId="4116" priority="6323" operator="equal">
      <formula>"Investment"</formula>
    </cfRule>
    <cfRule type="cellIs" dxfId="4115" priority="6324" operator="equal">
      <formula>"Sunk"</formula>
    </cfRule>
    <cfRule type="cellIs" dxfId="4114" priority="6325" operator="equal">
      <formula>"OpEx"</formula>
    </cfRule>
    <cfRule type="cellIs" dxfId="4113" priority="6326" operator="equal">
      <formula>"CapEx"</formula>
    </cfRule>
  </conditionalFormatting>
  <conditionalFormatting sqref="F676 F687">
    <cfRule type="cellIs" dxfId="4112" priority="6319" operator="equal">
      <formula>"Tax"</formula>
    </cfRule>
  </conditionalFormatting>
  <conditionalFormatting sqref="F677">
    <cfRule type="dataBar" priority="6300">
      <dataBar>
        <cfvo type="min"/>
        <cfvo type="max"/>
        <color rgb="FF638EC6"/>
      </dataBar>
    </cfRule>
    <cfRule type="colorScale" priority="6301">
      <colorScale>
        <cfvo type="min"/>
        <cfvo type="percentile" val="50"/>
        <cfvo type="max"/>
        <color rgb="FFF8696B"/>
        <color rgb="FFFFEB84"/>
        <color rgb="FF63BE7B"/>
      </colorScale>
    </cfRule>
    <cfRule type="cellIs" dxfId="4111" priority="6302" operator="equal">
      <formula>"Cost of Sales"</formula>
    </cfRule>
    <cfRule type="cellIs" dxfId="4110" priority="6303" operator="equal">
      <formula>"Payroll"</formula>
    </cfRule>
    <cfRule type="cellIs" dxfId="4109" priority="6304" operator="equal">
      <formula>"Investment"</formula>
    </cfRule>
    <cfRule type="cellIs" dxfId="4108" priority="6305" operator="equal">
      <formula>"Sunk"</formula>
    </cfRule>
    <cfRule type="cellIs" dxfId="4107" priority="6306" operator="equal">
      <formula>"OpEx"</formula>
    </cfRule>
    <cfRule type="cellIs" dxfId="4106" priority="6307" operator="equal">
      <formula>"CapEx"</formula>
    </cfRule>
    <cfRule type="cellIs" dxfId="4105" priority="6308" operator="equal">
      <formula>"Income"</formula>
    </cfRule>
  </conditionalFormatting>
  <conditionalFormatting sqref="F677:F678">
    <cfRule type="cellIs" dxfId="4104" priority="6280" operator="equal">
      <formula>"Tax"</formula>
    </cfRule>
  </conditionalFormatting>
  <conditionalFormatting sqref="F678">
    <cfRule type="dataBar" priority="6275">
      <dataBar>
        <cfvo type="min"/>
        <cfvo type="max"/>
        <color rgb="FF638EC6"/>
      </dataBar>
    </cfRule>
    <cfRule type="colorScale" priority="6276">
      <colorScale>
        <cfvo type="min"/>
        <cfvo type="percentile" val="50"/>
        <cfvo type="max"/>
        <color rgb="FFF8696B"/>
        <color rgb="FFFFEB84"/>
        <color rgb="FF63BE7B"/>
      </colorScale>
    </cfRule>
    <cfRule type="cellIs" dxfId="4103" priority="6277" operator="equal">
      <formula>"Tax"</formula>
    </cfRule>
    <cfRule type="dataBar" priority="6278">
      <dataBar>
        <cfvo type="min"/>
        <cfvo type="max"/>
        <color rgb="FF638EC6"/>
      </dataBar>
    </cfRule>
    <cfRule type="colorScale" priority="6279">
      <colorScale>
        <cfvo type="min"/>
        <cfvo type="percentile" val="50"/>
        <cfvo type="max"/>
        <color rgb="FFF8696B"/>
        <color rgb="FFFFEB84"/>
        <color rgb="FF63BE7B"/>
      </colorScale>
    </cfRule>
    <cfRule type="cellIs" dxfId="4102" priority="6281" operator="equal">
      <formula>"Income"</formula>
    </cfRule>
    <cfRule type="cellIs" dxfId="4101" priority="6282" operator="equal">
      <formula>"Cost of Sales"</formula>
    </cfRule>
    <cfRule type="cellIs" dxfId="4100" priority="6283" operator="equal">
      <formula>"Payroll"</formula>
    </cfRule>
    <cfRule type="cellIs" dxfId="4099" priority="6284" operator="equal">
      <formula>"Investment"</formula>
    </cfRule>
    <cfRule type="cellIs" dxfId="4098" priority="6285" operator="equal">
      <formula>"Sunk"</formula>
    </cfRule>
    <cfRule type="cellIs" dxfId="4097" priority="6286" operator="equal">
      <formula>"OpEx"</formula>
    </cfRule>
    <cfRule type="cellIs" dxfId="4096" priority="6287" operator="equal">
      <formula>"CapEx"</formula>
    </cfRule>
  </conditionalFormatting>
  <conditionalFormatting sqref="F678:F679">
    <cfRule type="cellIs" dxfId="4095" priority="6268" operator="equal">
      <formula>"Cost of Sales"</formula>
    </cfRule>
    <cfRule type="cellIs" dxfId="4094" priority="6269" operator="equal">
      <formula>"Payroll"</formula>
    </cfRule>
    <cfRule type="cellIs" dxfId="4093" priority="6270" operator="equal">
      <formula>"Investment"</formula>
    </cfRule>
    <cfRule type="cellIs" dxfId="4092" priority="6271" operator="equal">
      <formula>"Sunk"</formula>
    </cfRule>
    <cfRule type="cellIs" dxfId="4091" priority="6272" operator="equal">
      <formula>"OpEx"</formula>
    </cfRule>
    <cfRule type="cellIs" dxfId="4090" priority="6273" operator="equal">
      <formula>"CapEx"</formula>
    </cfRule>
    <cfRule type="cellIs" dxfId="4089" priority="6274" operator="equal">
      <formula>"Income"</formula>
    </cfRule>
  </conditionalFormatting>
  <conditionalFormatting sqref="F679">
    <cfRule type="dataBar" priority="6262">
      <dataBar>
        <cfvo type="min"/>
        <cfvo type="max"/>
        <color rgb="FF638EC6"/>
      </dataBar>
    </cfRule>
    <cfRule type="colorScale" priority="6263">
      <colorScale>
        <cfvo type="min"/>
        <cfvo type="percentile" val="50"/>
        <cfvo type="max"/>
        <color rgb="FFF8696B"/>
        <color rgb="FFFFEB84"/>
        <color rgb="FF63BE7B"/>
      </colorScale>
    </cfRule>
    <cfRule type="cellIs" dxfId="4088" priority="6264" operator="equal">
      <formula>"Tax"</formula>
    </cfRule>
    <cfRule type="dataBar" priority="6265">
      <dataBar>
        <cfvo type="min"/>
        <cfvo type="max"/>
        <color rgb="FF638EC6"/>
      </dataBar>
    </cfRule>
    <cfRule type="colorScale" priority="6266">
      <colorScale>
        <cfvo type="min"/>
        <cfvo type="percentile" val="50"/>
        <cfvo type="max"/>
        <color rgb="FFF8696B"/>
        <color rgb="FFFFEB84"/>
        <color rgb="FF63BE7B"/>
      </colorScale>
    </cfRule>
    <cfRule type="cellIs" dxfId="4087" priority="6267" operator="equal">
      <formula>"Tax"</formula>
    </cfRule>
  </conditionalFormatting>
  <conditionalFormatting sqref="F679:F680">
    <cfRule type="cellIs" dxfId="4086" priority="6255" operator="equal">
      <formula>"Cost of Sales"</formula>
    </cfRule>
    <cfRule type="cellIs" dxfId="4085" priority="6256" operator="equal">
      <formula>"Payroll"</formula>
    </cfRule>
    <cfRule type="cellIs" dxfId="4084" priority="6257" operator="equal">
      <formula>"Investment"</formula>
    </cfRule>
    <cfRule type="cellIs" dxfId="4083" priority="6258" operator="equal">
      <formula>"Sunk"</formula>
    </cfRule>
    <cfRule type="cellIs" dxfId="4082" priority="6259" operator="equal">
      <formula>"OpEx"</formula>
    </cfRule>
    <cfRule type="cellIs" dxfId="4081" priority="6260" operator="equal">
      <formula>"CapEx"</formula>
    </cfRule>
    <cfRule type="cellIs" dxfId="4080" priority="6261" operator="equal">
      <formula>"Income"</formula>
    </cfRule>
  </conditionalFormatting>
  <conditionalFormatting sqref="F680">
    <cfRule type="dataBar" priority="6249">
      <dataBar>
        <cfvo type="min"/>
        <cfvo type="max"/>
        <color rgb="FF638EC6"/>
      </dataBar>
    </cfRule>
    <cfRule type="colorScale" priority="6250">
      <colorScale>
        <cfvo type="min"/>
        <cfvo type="percentile" val="50"/>
        <cfvo type="max"/>
        <color rgb="FFF8696B"/>
        <color rgb="FFFFEB84"/>
        <color rgb="FF63BE7B"/>
      </colorScale>
    </cfRule>
    <cfRule type="cellIs" dxfId="4079" priority="6251" operator="equal">
      <formula>"Tax"</formula>
    </cfRule>
    <cfRule type="dataBar" priority="6252">
      <dataBar>
        <cfvo type="min"/>
        <cfvo type="max"/>
        <color rgb="FF638EC6"/>
      </dataBar>
    </cfRule>
    <cfRule type="colorScale" priority="6253">
      <colorScale>
        <cfvo type="min"/>
        <cfvo type="percentile" val="50"/>
        <cfvo type="max"/>
        <color rgb="FFF8696B"/>
        <color rgb="FFFFEB84"/>
        <color rgb="FF63BE7B"/>
      </colorScale>
    </cfRule>
    <cfRule type="cellIs" dxfId="4078" priority="6254" operator="equal">
      <formula>"Tax"</formula>
    </cfRule>
  </conditionalFormatting>
  <conditionalFormatting sqref="F680:F684">
    <cfRule type="cellIs" dxfId="4077" priority="6232" operator="equal">
      <formula>"Income"</formula>
    </cfRule>
    <cfRule type="cellIs" dxfId="4076" priority="6233" operator="equal">
      <formula>"Cost of Sales"</formula>
    </cfRule>
    <cfRule type="cellIs" dxfId="4075" priority="6234" operator="equal">
      <formula>"Payroll"</formula>
    </cfRule>
    <cfRule type="cellIs" dxfId="4074" priority="6235" operator="equal">
      <formula>"Investment"</formula>
    </cfRule>
    <cfRule type="cellIs" dxfId="4073" priority="6236" operator="equal">
      <formula>"Sunk"</formula>
    </cfRule>
    <cfRule type="cellIs" dxfId="4072" priority="6237" operator="equal">
      <formula>"OpEx"</formula>
    </cfRule>
    <cfRule type="cellIs" dxfId="4071" priority="6238" operator="equal">
      <formula>"CapEx"</formula>
    </cfRule>
  </conditionalFormatting>
  <conditionalFormatting sqref="F681">
    <cfRule type="dataBar" priority="6246">
      <dataBar>
        <cfvo type="min"/>
        <cfvo type="max"/>
        <color rgb="FF638EC6"/>
      </dataBar>
    </cfRule>
    <cfRule type="colorScale" priority="6247">
      <colorScale>
        <cfvo type="min"/>
        <cfvo type="percentile" val="50"/>
        <cfvo type="max"/>
        <color rgb="FFF8696B"/>
        <color rgb="FFFFEB84"/>
        <color rgb="FF63BE7B"/>
      </colorScale>
    </cfRule>
    <cfRule type="cellIs" dxfId="4070" priority="6248" operator="equal">
      <formula>"Tax"</formula>
    </cfRule>
  </conditionalFormatting>
  <conditionalFormatting sqref="F682:F683">
    <cfRule type="dataBar" priority="6243">
      <dataBar>
        <cfvo type="min"/>
        <cfvo type="max"/>
        <color rgb="FF638EC6"/>
      </dataBar>
    </cfRule>
    <cfRule type="colorScale" priority="6244">
      <colorScale>
        <cfvo type="min"/>
        <cfvo type="percentile" val="50"/>
        <cfvo type="max"/>
        <color rgb="FFF8696B"/>
        <color rgb="FFFFEB84"/>
        <color rgb="FF63BE7B"/>
      </colorScale>
    </cfRule>
    <cfRule type="cellIs" dxfId="4069" priority="6245" operator="equal">
      <formula>"Tax"</formula>
    </cfRule>
  </conditionalFormatting>
  <conditionalFormatting sqref="F684">
    <cfRule type="dataBar" priority="6229">
      <dataBar>
        <cfvo type="min"/>
        <cfvo type="max"/>
        <color rgb="FF638EC6"/>
      </dataBar>
    </cfRule>
    <cfRule type="colorScale" priority="6230">
      <colorScale>
        <cfvo type="min"/>
        <cfvo type="percentile" val="50"/>
        <cfvo type="max"/>
        <color rgb="FFF8696B"/>
        <color rgb="FFFFEB84"/>
        <color rgb="FF63BE7B"/>
      </colorScale>
    </cfRule>
    <cfRule type="cellIs" dxfId="4068" priority="6231" operator="equal">
      <formula>"Tax"</formula>
    </cfRule>
  </conditionalFormatting>
  <conditionalFormatting sqref="F685">
    <cfRule type="dataBar" priority="6168">
      <dataBar>
        <cfvo type="min"/>
        <cfvo type="max"/>
        <color rgb="FF638EC6"/>
      </dataBar>
    </cfRule>
    <cfRule type="colorScale" priority="6169">
      <colorScale>
        <cfvo type="min"/>
        <cfvo type="percentile" val="50"/>
        <cfvo type="max"/>
        <color rgb="FFF8696B"/>
        <color rgb="FFFFEB84"/>
        <color rgb="FF63BE7B"/>
      </colorScale>
    </cfRule>
    <cfRule type="cellIs" dxfId="4067" priority="6170" operator="equal">
      <formula>"Tax"</formula>
    </cfRule>
    <cfRule type="cellIs" dxfId="4066" priority="6171" operator="equal">
      <formula>"Income"</formula>
    </cfRule>
    <cfRule type="cellIs" dxfId="4065" priority="6172" operator="equal">
      <formula>"Cost of Sales"</formula>
    </cfRule>
    <cfRule type="cellIs" dxfId="4064" priority="6173" operator="equal">
      <formula>"Payroll"</formula>
    </cfRule>
    <cfRule type="cellIs" dxfId="4063" priority="6174" operator="equal">
      <formula>"Investment"</formula>
    </cfRule>
    <cfRule type="cellIs" dxfId="4062" priority="6175" operator="equal">
      <formula>"Sunk"</formula>
    </cfRule>
    <cfRule type="cellIs" dxfId="4061" priority="6176" operator="equal">
      <formula>"OpEx"</formula>
    </cfRule>
    <cfRule type="cellIs" dxfId="4060" priority="6177" operator="equal">
      <formula>"CapEx"</formula>
    </cfRule>
    <cfRule type="dataBar" priority="6178">
      <dataBar>
        <cfvo type="min"/>
        <cfvo type="max"/>
        <color rgb="FF638EC6"/>
      </dataBar>
    </cfRule>
    <cfRule type="colorScale" priority="6179">
      <colorScale>
        <cfvo type="min"/>
        <cfvo type="percentile" val="50"/>
        <cfvo type="max"/>
        <color rgb="FFF8696B"/>
        <color rgb="FFFFEB84"/>
        <color rgb="FF63BE7B"/>
      </colorScale>
    </cfRule>
    <cfRule type="cellIs" dxfId="4059" priority="6180" operator="equal">
      <formula>"Tax"</formula>
    </cfRule>
    <cfRule type="cellIs" dxfId="4058" priority="6181" operator="equal">
      <formula>"Income"</formula>
    </cfRule>
    <cfRule type="dataBar" priority="6182">
      <dataBar>
        <cfvo type="min"/>
        <cfvo type="max"/>
        <color rgb="FF638EC6"/>
      </dataBar>
    </cfRule>
    <cfRule type="colorScale" priority="6183">
      <colorScale>
        <cfvo type="min"/>
        <cfvo type="percentile" val="50"/>
        <cfvo type="max"/>
        <color rgb="FFF8696B"/>
        <color rgb="FFFFEB84"/>
        <color rgb="FF63BE7B"/>
      </colorScale>
    </cfRule>
    <cfRule type="cellIs" dxfId="4057" priority="6184" operator="equal">
      <formula>"Tax"</formula>
    </cfRule>
    <cfRule type="cellIs" dxfId="4056" priority="6185" operator="equal">
      <formula>"Cost of Sales"</formula>
    </cfRule>
    <cfRule type="cellIs" dxfId="4055" priority="6186" operator="equal">
      <formula>"Payroll"</formula>
    </cfRule>
    <cfRule type="cellIs" dxfId="4054" priority="6187" operator="equal">
      <formula>"Investment"</formula>
    </cfRule>
    <cfRule type="cellIs" dxfId="4053" priority="6188" operator="equal">
      <formula>"Sunk"</formula>
    </cfRule>
    <cfRule type="cellIs" dxfId="4052" priority="6189" operator="equal">
      <formula>"OpEx"</formula>
    </cfRule>
    <cfRule type="cellIs" dxfId="4051" priority="6190" operator="equal">
      <formula>"CapEx"</formula>
    </cfRule>
  </conditionalFormatting>
  <conditionalFormatting sqref="F685:F686">
    <cfRule type="cellIs" dxfId="4050" priority="6149" operator="equal">
      <formula>"Income"</formula>
    </cfRule>
    <cfRule type="cellIs" dxfId="4049" priority="6150" operator="equal">
      <formula>"Cost of Sales"</formula>
    </cfRule>
    <cfRule type="cellIs" dxfId="4048" priority="6151" operator="equal">
      <formula>"Payroll"</formula>
    </cfRule>
    <cfRule type="cellIs" dxfId="4047" priority="6152" operator="equal">
      <formula>"Investment"</formula>
    </cfRule>
    <cfRule type="cellIs" dxfId="4046" priority="6153" operator="equal">
      <formula>"Sunk"</formula>
    </cfRule>
    <cfRule type="cellIs" dxfId="4045" priority="6154" operator="equal">
      <formula>"OpEx"</formula>
    </cfRule>
    <cfRule type="cellIs" dxfId="4044" priority="6155" operator="equal">
      <formula>"CapEx"</formula>
    </cfRule>
  </conditionalFormatting>
  <conditionalFormatting sqref="F686">
    <cfRule type="dataBar" priority="6146">
      <dataBar>
        <cfvo type="min"/>
        <cfvo type="max"/>
        <color rgb="FF638EC6"/>
      </dataBar>
    </cfRule>
    <cfRule type="colorScale" priority="6147">
      <colorScale>
        <cfvo type="min"/>
        <cfvo type="percentile" val="50"/>
        <cfvo type="max"/>
        <color rgb="FFF8696B"/>
        <color rgb="FFFFEB84"/>
        <color rgb="FF63BE7B"/>
      </colorScale>
    </cfRule>
    <cfRule type="cellIs" dxfId="4043" priority="6148" operator="equal">
      <formula>"Tax"</formula>
    </cfRule>
  </conditionalFormatting>
  <conditionalFormatting sqref="F687 F676">
    <cfRule type="dataBar" priority="6317">
      <dataBar>
        <cfvo type="min"/>
        <cfvo type="max"/>
        <color rgb="FF638EC6"/>
      </dataBar>
    </cfRule>
    <cfRule type="colorScale" priority="6318">
      <colorScale>
        <cfvo type="min"/>
        <cfvo type="percentile" val="50"/>
        <cfvo type="max"/>
        <color rgb="FFF8696B"/>
        <color rgb="FFFFEB84"/>
        <color rgb="FF63BE7B"/>
      </colorScale>
    </cfRule>
  </conditionalFormatting>
  <conditionalFormatting sqref="F688">
    <cfRule type="dataBar" priority="6127">
      <dataBar>
        <cfvo type="min"/>
        <cfvo type="max"/>
        <color rgb="FF638EC6"/>
      </dataBar>
    </cfRule>
    <cfRule type="colorScale" priority="6128">
      <colorScale>
        <cfvo type="min"/>
        <cfvo type="percentile" val="50"/>
        <cfvo type="max"/>
        <color rgb="FFF8696B"/>
        <color rgb="FFFFEB84"/>
        <color rgb="FF63BE7B"/>
      </colorScale>
    </cfRule>
    <cfRule type="cellIs" dxfId="4042" priority="6129" operator="equal">
      <formula>"Tax"</formula>
    </cfRule>
    <cfRule type="dataBar" priority="6130">
      <dataBar>
        <cfvo type="min"/>
        <cfvo type="max"/>
        <color rgb="FF638EC6"/>
      </dataBar>
    </cfRule>
    <cfRule type="colorScale" priority="6131">
      <colorScale>
        <cfvo type="min"/>
        <cfvo type="percentile" val="50"/>
        <cfvo type="max"/>
        <color rgb="FFF8696B"/>
        <color rgb="FFFFEB84"/>
        <color rgb="FF63BE7B"/>
      </colorScale>
    </cfRule>
    <cfRule type="cellIs" dxfId="4041" priority="6132" operator="equal">
      <formula>"Tax"</formula>
    </cfRule>
    <cfRule type="cellIs" dxfId="4040" priority="6133" operator="equal">
      <formula>"Cost of Sales"</formula>
    </cfRule>
    <cfRule type="cellIs" dxfId="4039" priority="6134" operator="equal">
      <formula>"Payroll"</formula>
    </cfRule>
    <cfRule type="cellIs" dxfId="4038" priority="6135" operator="equal">
      <formula>"Investment"</formula>
    </cfRule>
    <cfRule type="cellIs" dxfId="4037" priority="6136" operator="equal">
      <formula>"Sunk"</formula>
    </cfRule>
    <cfRule type="cellIs" dxfId="4036" priority="6137" operator="equal">
      <formula>"OpEx"</formula>
    </cfRule>
    <cfRule type="cellIs" dxfId="4035" priority="6138" operator="equal">
      <formula>"CapEx"</formula>
    </cfRule>
    <cfRule type="cellIs" dxfId="4034" priority="6139" operator="equal">
      <formula>"Income"</formula>
    </cfRule>
  </conditionalFormatting>
  <conditionalFormatting sqref="F688:F690">
    <cfRule type="cellIs" dxfId="4033" priority="6057" operator="equal">
      <formula>"Cost of Sales"</formula>
    </cfRule>
    <cfRule type="cellIs" dxfId="4032" priority="6058" operator="equal">
      <formula>"Payroll"</formula>
    </cfRule>
    <cfRule type="cellIs" dxfId="4031" priority="6059" operator="equal">
      <formula>"Investment"</formula>
    </cfRule>
    <cfRule type="cellIs" dxfId="4030" priority="6060" operator="equal">
      <formula>"Sunk"</formula>
    </cfRule>
    <cfRule type="cellIs" dxfId="4029" priority="6061" operator="equal">
      <formula>"OpEx"</formula>
    </cfRule>
    <cfRule type="cellIs" dxfId="4028" priority="6062" operator="equal">
      <formula>"CapEx"</formula>
    </cfRule>
  </conditionalFormatting>
  <conditionalFormatting sqref="F688:F691">
    <cfRule type="cellIs" dxfId="4027" priority="6056" operator="equal">
      <formula>"Income"</formula>
    </cfRule>
  </conditionalFormatting>
  <conditionalFormatting sqref="F689 F700:F702">
    <cfRule type="cellIs" dxfId="4026" priority="6087" operator="equal">
      <formula>"Tax"</formula>
    </cfRule>
  </conditionalFormatting>
  <conditionalFormatting sqref="F690">
    <cfRule type="dataBar" priority="6054">
      <dataBar>
        <cfvo type="min"/>
        <cfvo type="max"/>
        <color rgb="FF638EC6"/>
      </dataBar>
    </cfRule>
    <cfRule type="colorScale" priority="6055">
      <colorScale>
        <cfvo type="min"/>
        <cfvo type="percentile" val="50"/>
        <cfvo type="max"/>
        <color rgb="FFF8696B"/>
        <color rgb="FFFFEB84"/>
        <color rgb="FF63BE7B"/>
      </colorScale>
    </cfRule>
  </conditionalFormatting>
  <conditionalFormatting sqref="F690:F691">
    <cfRule type="cellIs" dxfId="4025" priority="6053" operator="equal">
      <formula>"Tax"</formula>
    </cfRule>
  </conditionalFormatting>
  <conditionalFormatting sqref="F691">
    <cfRule type="dataBar" priority="6051">
      <dataBar>
        <cfvo type="min"/>
        <cfvo type="max"/>
        <color rgb="FF638EC6"/>
      </dataBar>
    </cfRule>
    <cfRule type="colorScale" priority="6052">
      <colorScale>
        <cfvo type="min"/>
        <cfvo type="percentile" val="50"/>
        <cfvo type="max"/>
        <color rgb="FFF8696B"/>
        <color rgb="FFFFEB84"/>
        <color rgb="FF63BE7B"/>
      </colorScale>
    </cfRule>
  </conditionalFormatting>
  <conditionalFormatting sqref="F691:F693">
    <cfRule type="cellIs" dxfId="4024" priority="6028" operator="equal">
      <formula>"Cost of Sales"</formula>
    </cfRule>
    <cfRule type="cellIs" dxfId="4023" priority="6029" operator="equal">
      <formula>"Payroll"</formula>
    </cfRule>
    <cfRule type="cellIs" dxfId="4022" priority="6030" operator="equal">
      <formula>"Investment"</formula>
    </cfRule>
    <cfRule type="cellIs" dxfId="4021" priority="6031" operator="equal">
      <formula>"Sunk"</formula>
    </cfRule>
    <cfRule type="cellIs" dxfId="4020" priority="6032" operator="equal">
      <formula>"OpEx"</formula>
    </cfRule>
    <cfRule type="cellIs" dxfId="4019" priority="6033" operator="equal">
      <formula>"CapEx"</formula>
    </cfRule>
  </conditionalFormatting>
  <conditionalFormatting sqref="F692">
    <cfRule type="dataBar" priority="6047">
      <dataBar>
        <cfvo type="min"/>
        <cfvo type="max"/>
        <color rgb="FF638EC6"/>
      </dataBar>
    </cfRule>
    <cfRule type="colorScale" priority="6048">
      <colorScale>
        <cfvo type="min"/>
        <cfvo type="percentile" val="50"/>
        <cfvo type="max"/>
        <color rgb="FFF8696B"/>
        <color rgb="FFFFEB84"/>
        <color rgb="FF63BE7B"/>
      </colorScale>
    </cfRule>
    <cfRule type="cellIs" dxfId="4018" priority="6049" operator="equal">
      <formula>"Tax"</formula>
    </cfRule>
  </conditionalFormatting>
  <conditionalFormatting sqref="F692:F693">
    <cfRule type="cellIs" dxfId="4017" priority="6027" operator="equal">
      <formula>"Income"</formula>
    </cfRule>
  </conditionalFormatting>
  <conditionalFormatting sqref="F693">
    <cfRule type="dataBar" priority="6024">
      <dataBar>
        <cfvo type="min"/>
        <cfvo type="max"/>
        <color rgb="FF638EC6"/>
      </dataBar>
    </cfRule>
    <cfRule type="colorScale" priority="6025">
      <colorScale>
        <cfvo type="min"/>
        <cfvo type="percentile" val="50"/>
        <cfvo type="max"/>
        <color rgb="FFF8696B"/>
        <color rgb="FFFFEB84"/>
        <color rgb="FF63BE7B"/>
      </colorScale>
    </cfRule>
    <cfRule type="cellIs" dxfId="4016" priority="6026" operator="equal">
      <formula>"Tax"</formula>
    </cfRule>
  </conditionalFormatting>
  <conditionalFormatting sqref="F694">
    <cfRule type="dataBar" priority="6014">
      <dataBar>
        <cfvo type="min"/>
        <cfvo type="max"/>
        <color rgb="FF638EC6"/>
      </dataBar>
    </cfRule>
    <cfRule type="colorScale" priority="6015">
      <colorScale>
        <cfvo type="min"/>
        <cfvo type="percentile" val="50"/>
        <cfvo type="max"/>
        <color rgb="FFF8696B"/>
        <color rgb="FFFFEB84"/>
        <color rgb="FF63BE7B"/>
      </colorScale>
    </cfRule>
    <cfRule type="cellIs" dxfId="4015" priority="6016" operator="equal">
      <formula>"Tax"</formula>
    </cfRule>
    <cfRule type="cellIs" dxfId="4014" priority="6017" operator="equal">
      <formula>"Income"</formula>
    </cfRule>
    <cfRule type="cellIs" dxfId="4013" priority="6018" operator="equal">
      <formula>"Cost of Sales"</formula>
    </cfRule>
    <cfRule type="cellIs" dxfId="4012" priority="6019" operator="equal">
      <formula>"Payroll"</formula>
    </cfRule>
    <cfRule type="cellIs" dxfId="4011" priority="6020" operator="equal">
      <formula>"Investment"</formula>
    </cfRule>
    <cfRule type="cellIs" dxfId="4010" priority="6021" operator="equal">
      <formula>"Sunk"</formula>
    </cfRule>
    <cfRule type="cellIs" dxfId="4009" priority="6022" operator="equal">
      <formula>"OpEx"</formula>
    </cfRule>
    <cfRule type="cellIs" dxfId="4008" priority="6023" operator="equal">
      <formula>"CapEx"</formula>
    </cfRule>
  </conditionalFormatting>
  <conditionalFormatting sqref="F695">
    <cfRule type="dataBar" priority="6005">
      <dataBar>
        <cfvo type="min"/>
        <cfvo type="max"/>
        <color rgb="FF638EC6"/>
      </dataBar>
    </cfRule>
    <cfRule type="colorScale" priority="6006">
      <colorScale>
        <cfvo type="min"/>
        <cfvo type="percentile" val="50"/>
        <cfvo type="max"/>
        <color rgb="FFF8696B"/>
        <color rgb="FFFFEB84"/>
        <color rgb="FF63BE7B"/>
      </colorScale>
    </cfRule>
    <cfRule type="cellIs" dxfId="4007" priority="6007" operator="equal">
      <formula>"Income"</formula>
    </cfRule>
    <cfRule type="cellIs" dxfId="4006" priority="6008" operator="equal">
      <formula>"Cost of Sales"</formula>
    </cfRule>
    <cfRule type="cellIs" dxfId="4005" priority="6009" operator="equal">
      <formula>"Payroll"</formula>
    </cfRule>
    <cfRule type="cellIs" dxfId="4004" priority="6010" operator="equal">
      <formula>"Investment"</formula>
    </cfRule>
    <cfRule type="cellIs" dxfId="4003" priority="6011" operator="equal">
      <formula>"Sunk"</formula>
    </cfRule>
    <cfRule type="cellIs" dxfId="4002" priority="6012" operator="equal">
      <formula>"OpEx"</formula>
    </cfRule>
    <cfRule type="cellIs" dxfId="4001" priority="6013" operator="equal">
      <formula>"CapEx"</formula>
    </cfRule>
  </conditionalFormatting>
  <conditionalFormatting sqref="F695:F697">
    <cfRule type="cellIs" dxfId="4000" priority="5989" operator="equal">
      <formula>"Tax"</formula>
    </cfRule>
  </conditionalFormatting>
  <conditionalFormatting sqref="F696">
    <cfRule type="dataBar" priority="6034">
      <dataBar>
        <cfvo type="min"/>
        <cfvo type="max"/>
        <color rgb="FF638EC6"/>
      </dataBar>
    </cfRule>
    <cfRule type="colorScale" priority="6035">
      <colorScale>
        <cfvo type="min"/>
        <cfvo type="percentile" val="50"/>
        <cfvo type="max"/>
        <color rgb="FFF8696B"/>
        <color rgb="FFFFEB84"/>
        <color rgb="FF63BE7B"/>
      </colorScale>
    </cfRule>
    <cfRule type="cellIs" dxfId="3999" priority="6036" operator="equal">
      <formula>"Cost of Sales"</formula>
    </cfRule>
    <cfRule type="cellIs" dxfId="3998" priority="6037" operator="equal">
      <formula>"Payroll"</formula>
    </cfRule>
    <cfRule type="cellIs" dxfId="3997" priority="6038" operator="equal">
      <formula>"Investment"</formula>
    </cfRule>
    <cfRule type="cellIs" dxfId="3996" priority="6039" operator="equal">
      <formula>"Sunk"</formula>
    </cfRule>
    <cfRule type="cellIs" dxfId="3995" priority="6040" operator="equal">
      <formula>"OpEx"</formula>
    </cfRule>
    <cfRule type="cellIs" dxfId="3994" priority="6041" operator="equal">
      <formula>"CapEx"</formula>
    </cfRule>
    <cfRule type="cellIs" dxfId="3993" priority="6042" operator="equal">
      <formula>"Income"</formula>
    </cfRule>
  </conditionalFormatting>
  <conditionalFormatting sqref="F697">
    <cfRule type="dataBar" priority="5984">
      <dataBar>
        <cfvo type="min"/>
        <cfvo type="max"/>
        <color rgb="FF638EC6"/>
      </dataBar>
    </cfRule>
    <cfRule type="colorScale" priority="5985">
      <colorScale>
        <cfvo type="min"/>
        <cfvo type="percentile" val="50"/>
        <cfvo type="max"/>
        <color rgb="FFF8696B"/>
        <color rgb="FFFFEB84"/>
        <color rgb="FF63BE7B"/>
      </colorScale>
    </cfRule>
    <cfRule type="cellIs" dxfId="3992" priority="5986" operator="equal">
      <formula>"Tax"</formula>
    </cfRule>
    <cfRule type="dataBar" priority="5987">
      <dataBar>
        <cfvo type="min"/>
        <cfvo type="max"/>
        <color rgb="FF638EC6"/>
      </dataBar>
    </cfRule>
    <cfRule type="colorScale" priority="5988">
      <colorScale>
        <cfvo type="min"/>
        <cfvo type="percentile" val="50"/>
        <cfvo type="max"/>
        <color rgb="FFF8696B"/>
        <color rgb="FFFFEB84"/>
        <color rgb="FF63BE7B"/>
      </colorScale>
    </cfRule>
    <cfRule type="cellIs" dxfId="3991" priority="5990" operator="equal">
      <formula>"Income"</formula>
    </cfRule>
    <cfRule type="cellIs" dxfId="3990" priority="5991" operator="equal">
      <formula>"Cost of Sales"</formula>
    </cfRule>
    <cfRule type="cellIs" dxfId="3989" priority="5992" operator="equal">
      <formula>"Payroll"</formula>
    </cfRule>
    <cfRule type="cellIs" dxfId="3988" priority="5993" operator="equal">
      <formula>"Investment"</formula>
    </cfRule>
    <cfRule type="cellIs" dxfId="3987" priority="5994" operator="equal">
      <formula>"Sunk"</formula>
    </cfRule>
    <cfRule type="cellIs" dxfId="3986" priority="5995" operator="equal">
      <formula>"OpEx"</formula>
    </cfRule>
    <cfRule type="cellIs" dxfId="3985" priority="5996" operator="equal">
      <formula>"CapEx"</formula>
    </cfRule>
  </conditionalFormatting>
  <conditionalFormatting sqref="F697:F698">
    <cfRule type="cellIs" dxfId="3984" priority="5977" operator="equal">
      <formula>"Income"</formula>
    </cfRule>
    <cfRule type="cellIs" dxfId="3983" priority="5978" operator="equal">
      <formula>"Cost of Sales"</formula>
    </cfRule>
    <cfRule type="cellIs" dxfId="3982" priority="5979" operator="equal">
      <formula>"Payroll"</formula>
    </cfRule>
    <cfRule type="cellIs" dxfId="3981" priority="5980" operator="equal">
      <formula>"Investment"</formula>
    </cfRule>
    <cfRule type="cellIs" dxfId="3980" priority="5981" operator="equal">
      <formula>"Sunk"</formula>
    </cfRule>
    <cfRule type="cellIs" dxfId="3979" priority="5982" operator="equal">
      <formula>"OpEx"</formula>
    </cfRule>
    <cfRule type="cellIs" dxfId="3978" priority="5983" operator="equal">
      <formula>"CapEx"</formula>
    </cfRule>
  </conditionalFormatting>
  <conditionalFormatting sqref="F698">
    <cfRule type="dataBar" priority="5974">
      <dataBar>
        <cfvo type="min"/>
        <cfvo type="max"/>
        <color rgb="FF638EC6"/>
      </dataBar>
    </cfRule>
    <cfRule type="colorScale" priority="5975">
      <colorScale>
        <cfvo type="min"/>
        <cfvo type="percentile" val="50"/>
        <cfvo type="max"/>
        <color rgb="FFF8696B"/>
        <color rgb="FFFFEB84"/>
        <color rgb="FF63BE7B"/>
      </colorScale>
    </cfRule>
    <cfRule type="cellIs" dxfId="3977" priority="5976" operator="equal">
      <formula>"Tax"</formula>
    </cfRule>
  </conditionalFormatting>
  <conditionalFormatting sqref="F699">
    <cfRule type="dataBar" priority="5956">
      <dataBar>
        <cfvo type="min"/>
        <cfvo type="max"/>
        <color rgb="FF638EC6"/>
      </dataBar>
    </cfRule>
    <cfRule type="colorScale" priority="5957">
      <colorScale>
        <cfvo type="min"/>
        <cfvo type="percentile" val="50"/>
        <cfvo type="max"/>
        <color rgb="FFF8696B"/>
        <color rgb="FFFFEB84"/>
        <color rgb="FF63BE7B"/>
      </colorScale>
    </cfRule>
    <cfRule type="cellIs" dxfId="3976" priority="5958" operator="equal">
      <formula>"Tax"</formula>
    </cfRule>
  </conditionalFormatting>
  <conditionalFormatting sqref="F699:F702">
    <cfRule type="cellIs" dxfId="3975" priority="5959" operator="equal">
      <formula>"Cost of Sales"</formula>
    </cfRule>
    <cfRule type="cellIs" dxfId="3974" priority="5960" operator="equal">
      <formula>"Payroll"</formula>
    </cfRule>
    <cfRule type="cellIs" dxfId="3973" priority="5961" operator="equal">
      <formula>"Investment"</formula>
    </cfRule>
    <cfRule type="cellIs" dxfId="3972" priority="5962" operator="equal">
      <formula>"Sunk"</formula>
    </cfRule>
    <cfRule type="cellIs" dxfId="3971" priority="5963" operator="equal">
      <formula>"OpEx"</formula>
    </cfRule>
    <cfRule type="cellIs" dxfId="3970" priority="5964" operator="equal">
      <formula>"CapEx"</formula>
    </cfRule>
    <cfRule type="cellIs" dxfId="3969" priority="5965" operator="equal">
      <formula>"Income"</formula>
    </cfRule>
  </conditionalFormatting>
  <conditionalFormatting sqref="F700:F702 F689">
    <cfRule type="dataBar" priority="6085">
      <dataBar>
        <cfvo type="min"/>
        <cfvo type="max"/>
        <color rgb="FF638EC6"/>
      </dataBar>
    </cfRule>
    <cfRule type="colorScale" priority="6086">
      <colorScale>
        <cfvo type="min"/>
        <cfvo type="percentile" val="50"/>
        <cfvo type="max"/>
        <color rgb="FFF8696B"/>
        <color rgb="FFFFEB84"/>
        <color rgb="FF63BE7B"/>
      </colorScale>
    </cfRule>
  </conditionalFormatting>
  <conditionalFormatting sqref="F703">
    <cfRule type="dataBar" priority="5909">
      <dataBar>
        <cfvo type="min"/>
        <cfvo type="max"/>
        <color rgb="FF638EC6"/>
      </dataBar>
    </cfRule>
    <cfRule type="colorScale" priority="5910">
      <colorScale>
        <cfvo type="min"/>
        <cfvo type="percentile" val="50"/>
        <cfvo type="max"/>
        <color rgb="FFF8696B"/>
        <color rgb="FFFFEB84"/>
        <color rgb="FF63BE7B"/>
      </colorScale>
    </cfRule>
    <cfRule type="cellIs" dxfId="3968" priority="5916" operator="equal">
      <formula>"Tax"</formula>
    </cfRule>
  </conditionalFormatting>
  <conditionalFormatting sqref="F703:F705">
    <cfRule type="cellIs" dxfId="3967" priority="5837" operator="equal">
      <formula>"Cost of Sales"</formula>
    </cfRule>
    <cfRule type="cellIs" dxfId="3966" priority="5838" operator="equal">
      <formula>"Payroll"</formula>
    </cfRule>
    <cfRule type="cellIs" dxfId="3965" priority="5839" operator="equal">
      <formula>"Investment"</formula>
    </cfRule>
    <cfRule type="cellIs" dxfId="3964" priority="5840" operator="equal">
      <formula>"Sunk"</formula>
    </cfRule>
    <cfRule type="cellIs" dxfId="3963" priority="5841" operator="equal">
      <formula>"OpEx"</formula>
    </cfRule>
    <cfRule type="cellIs" dxfId="3962" priority="5842" operator="equal">
      <formula>"CapEx"</formula>
    </cfRule>
    <cfRule type="cellIs" dxfId="3961" priority="5843" operator="equal">
      <formula>"Income"</formula>
    </cfRule>
  </conditionalFormatting>
  <conditionalFormatting sqref="F704">
    <cfRule type="dataBar" priority="5893">
      <dataBar>
        <cfvo type="min"/>
        <cfvo type="max"/>
        <color rgb="FF638EC6"/>
      </dataBar>
    </cfRule>
    <cfRule type="colorScale" priority="5894">
      <colorScale>
        <cfvo type="min"/>
        <cfvo type="percentile" val="50"/>
        <cfvo type="max"/>
        <color rgb="FFF8696B"/>
        <color rgb="FFFFEB84"/>
        <color rgb="FF63BE7B"/>
      </colorScale>
    </cfRule>
    <cfRule type="cellIs" dxfId="3960" priority="5899" operator="equal">
      <formula>"Tax"</formula>
    </cfRule>
  </conditionalFormatting>
  <conditionalFormatting sqref="F705">
    <cfRule type="dataBar" priority="5835">
      <dataBar>
        <cfvo type="min"/>
        <cfvo type="max"/>
        <color rgb="FF638EC6"/>
      </dataBar>
    </cfRule>
    <cfRule type="colorScale" priority="5836">
      <colorScale>
        <cfvo type="min"/>
        <cfvo type="percentile" val="50"/>
        <cfvo type="max"/>
        <color rgb="FFF8696B"/>
        <color rgb="FFFFEB84"/>
        <color rgb="FF63BE7B"/>
      </colorScale>
    </cfRule>
    <cfRule type="cellIs" dxfId="3959" priority="5844" operator="equal">
      <formula>"Tax"</formula>
    </cfRule>
  </conditionalFormatting>
  <conditionalFormatting sqref="F706">
    <cfRule type="dataBar" priority="5812">
      <dataBar>
        <cfvo type="min"/>
        <cfvo type="max"/>
        <color rgb="FF638EC6"/>
      </dataBar>
    </cfRule>
    <cfRule type="colorScale" priority="5813">
      <colorScale>
        <cfvo type="min"/>
        <cfvo type="percentile" val="50"/>
        <cfvo type="max"/>
        <color rgb="FFF8696B"/>
        <color rgb="FFFFEB84"/>
        <color rgb="FF63BE7B"/>
      </colorScale>
    </cfRule>
    <cfRule type="cellIs" dxfId="3958" priority="5814" operator="equal">
      <formula>"Tax"</formula>
    </cfRule>
    <cfRule type="cellIs" dxfId="3957" priority="5815" operator="equal">
      <formula>"Income"</formula>
    </cfRule>
    <cfRule type="cellIs" dxfId="3956" priority="5816" operator="equal">
      <formula>"Cost of Sales"</formula>
    </cfRule>
    <cfRule type="cellIs" dxfId="3955" priority="5817" operator="equal">
      <formula>"Payroll"</formula>
    </cfRule>
    <cfRule type="cellIs" dxfId="3954" priority="5818" operator="equal">
      <formula>"Investment"</formula>
    </cfRule>
    <cfRule type="cellIs" dxfId="3953" priority="5819" operator="equal">
      <formula>"Sunk"</formula>
    </cfRule>
    <cfRule type="cellIs" dxfId="3952" priority="5820" operator="equal">
      <formula>"OpEx"</formula>
    </cfRule>
    <cfRule type="cellIs" dxfId="3951" priority="5821" operator="equal">
      <formula>"CapEx"</formula>
    </cfRule>
  </conditionalFormatting>
  <conditionalFormatting sqref="F707">
    <cfRule type="dataBar" priority="5796">
      <dataBar>
        <cfvo type="min"/>
        <cfvo type="max"/>
        <color rgb="FF638EC6"/>
      </dataBar>
    </cfRule>
    <cfRule type="colorScale" priority="5797">
      <colorScale>
        <cfvo type="min"/>
        <cfvo type="percentile" val="50"/>
        <cfvo type="max"/>
        <color rgb="FFF8696B"/>
        <color rgb="FFFFEB84"/>
        <color rgb="FF63BE7B"/>
      </colorScale>
    </cfRule>
    <cfRule type="cellIs" dxfId="3950" priority="5798" operator="equal">
      <formula>"Tax"</formula>
    </cfRule>
    <cfRule type="cellIs" dxfId="3949" priority="5799" operator="equal">
      <formula>"Income"</formula>
    </cfRule>
    <cfRule type="cellIs" dxfId="3948" priority="5800" operator="equal">
      <formula>"Cost of Sales"</formula>
    </cfRule>
    <cfRule type="cellIs" dxfId="3947" priority="5801" operator="equal">
      <formula>"Payroll"</formula>
    </cfRule>
    <cfRule type="cellIs" dxfId="3946" priority="5802" operator="equal">
      <formula>"Investment"</formula>
    </cfRule>
    <cfRule type="cellIs" dxfId="3945" priority="5803" operator="equal">
      <formula>"Sunk"</formula>
    </cfRule>
    <cfRule type="cellIs" dxfId="3944" priority="5804" operator="equal">
      <formula>"OpEx"</formula>
    </cfRule>
    <cfRule type="cellIs" dxfId="3943" priority="5805" operator="equal">
      <formula>"CapEx"</formula>
    </cfRule>
  </conditionalFormatting>
  <conditionalFormatting sqref="F708">
    <cfRule type="dataBar" priority="5779">
      <dataBar>
        <cfvo type="min"/>
        <cfvo type="max"/>
        <color rgb="FF638EC6"/>
      </dataBar>
    </cfRule>
    <cfRule type="colorScale" priority="5780">
      <colorScale>
        <cfvo type="min"/>
        <cfvo type="percentile" val="50"/>
        <cfvo type="max"/>
        <color rgb="FFF8696B"/>
        <color rgb="FFFFEB84"/>
        <color rgb="FF63BE7B"/>
      </colorScale>
    </cfRule>
    <cfRule type="cellIs" dxfId="3942" priority="5781" operator="equal">
      <formula>"Tax"</formula>
    </cfRule>
    <cfRule type="cellIs" dxfId="3941" priority="5782" operator="equal">
      <formula>"Cost of Sales"</formula>
    </cfRule>
    <cfRule type="cellIs" dxfId="3940" priority="5783" operator="equal">
      <formula>"Payroll"</formula>
    </cfRule>
    <cfRule type="cellIs" dxfId="3939" priority="5784" operator="equal">
      <formula>"Investment"</formula>
    </cfRule>
    <cfRule type="cellIs" dxfId="3938" priority="5785" operator="equal">
      <formula>"Sunk"</formula>
    </cfRule>
    <cfRule type="cellIs" dxfId="3937" priority="5786" operator="equal">
      <formula>"OpEx"</formula>
    </cfRule>
    <cfRule type="cellIs" dxfId="3936" priority="5787" operator="equal">
      <formula>"CapEx"</formula>
    </cfRule>
    <cfRule type="cellIs" dxfId="3935" priority="5788" operator="equal">
      <formula>"Income"</formula>
    </cfRule>
  </conditionalFormatting>
  <conditionalFormatting sqref="F709">
    <cfRule type="dataBar" priority="5755">
      <dataBar>
        <cfvo type="min"/>
        <cfvo type="max"/>
        <color rgb="FF638EC6"/>
      </dataBar>
    </cfRule>
    <cfRule type="colorScale" priority="5756">
      <colorScale>
        <cfvo type="min"/>
        <cfvo type="percentile" val="50"/>
        <cfvo type="max"/>
        <color rgb="FFF8696B"/>
        <color rgb="FFFFEB84"/>
        <color rgb="FF63BE7B"/>
      </colorScale>
    </cfRule>
    <cfRule type="cellIs" dxfId="3934" priority="5757" operator="equal">
      <formula>"Tax"</formula>
    </cfRule>
    <cfRule type="cellIs" dxfId="3933" priority="5758" operator="equal">
      <formula>"Income"</formula>
    </cfRule>
    <cfRule type="cellIs" dxfId="3932" priority="5759" operator="equal">
      <formula>"Cost of Sales"</formula>
    </cfRule>
    <cfRule type="cellIs" dxfId="3931" priority="5760" operator="equal">
      <formula>"Payroll"</formula>
    </cfRule>
    <cfRule type="cellIs" dxfId="3930" priority="5761" operator="equal">
      <formula>"Investment"</formula>
    </cfRule>
    <cfRule type="cellIs" dxfId="3929" priority="5762" operator="equal">
      <formula>"Sunk"</formula>
    </cfRule>
    <cfRule type="cellIs" dxfId="3928" priority="5763" operator="equal">
      <formula>"OpEx"</formula>
    </cfRule>
    <cfRule type="cellIs" dxfId="3927" priority="5764" operator="equal">
      <formula>"CapEx"</formula>
    </cfRule>
    <cfRule type="dataBar" priority="5765">
      <dataBar>
        <cfvo type="min"/>
        <cfvo type="max"/>
        <color rgb="FF638EC6"/>
      </dataBar>
    </cfRule>
    <cfRule type="colorScale" priority="5766">
      <colorScale>
        <cfvo type="min"/>
        <cfvo type="percentile" val="50"/>
        <cfvo type="max"/>
        <color rgb="FFF8696B"/>
        <color rgb="FFFFEB84"/>
        <color rgb="FF63BE7B"/>
      </colorScale>
    </cfRule>
    <cfRule type="cellIs" dxfId="3926" priority="5767" operator="equal">
      <formula>"Tax"</formula>
    </cfRule>
  </conditionalFormatting>
  <conditionalFormatting sqref="F709:F711">
    <cfRule type="cellIs" dxfId="3925" priority="5709" operator="equal">
      <formula>"Cost of Sales"</formula>
    </cfRule>
    <cfRule type="cellIs" dxfId="3924" priority="5710" operator="equal">
      <formula>"Payroll"</formula>
    </cfRule>
    <cfRule type="cellIs" dxfId="3923" priority="5711" operator="equal">
      <formula>"Investment"</formula>
    </cfRule>
    <cfRule type="cellIs" dxfId="3922" priority="5712" operator="equal">
      <formula>"Sunk"</formula>
    </cfRule>
    <cfRule type="cellIs" dxfId="3921" priority="5713" operator="equal">
      <formula>"OpEx"</formula>
    </cfRule>
    <cfRule type="cellIs" dxfId="3920" priority="5714" operator="equal">
      <formula>"CapEx"</formula>
    </cfRule>
    <cfRule type="cellIs" dxfId="3919" priority="5715" operator="equal">
      <formula>"Income"</formula>
    </cfRule>
  </conditionalFormatting>
  <conditionalFormatting sqref="F710">
    <cfRule type="dataBar" priority="5730">
      <dataBar>
        <cfvo type="min"/>
        <cfvo type="max"/>
        <color rgb="FF638EC6"/>
      </dataBar>
    </cfRule>
    <cfRule type="colorScale" priority="5731">
      <colorScale>
        <cfvo type="min"/>
        <cfvo type="percentile" val="50"/>
        <cfvo type="max"/>
        <color rgb="FFF8696B"/>
        <color rgb="FFFFEB84"/>
        <color rgb="FF63BE7B"/>
      </colorScale>
    </cfRule>
    <cfRule type="cellIs" dxfId="3918" priority="5732" operator="equal">
      <formula>"Tax"</formula>
    </cfRule>
  </conditionalFormatting>
  <conditionalFormatting sqref="F711">
    <cfRule type="dataBar" priority="5707">
      <dataBar>
        <cfvo type="min"/>
        <cfvo type="max"/>
        <color rgb="FF638EC6"/>
      </dataBar>
    </cfRule>
    <cfRule type="colorScale" priority="5708">
      <colorScale>
        <cfvo type="min"/>
        <cfvo type="percentile" val="50"/>
        <cfvo type="max"/>
        <color rgb="FFF8696B"/>
        <color rgb="FFFFEB84"/>
        <color rgb="FF63BE7B"/>
      </colorScale>
    </cfRule>
  </conditionalFormatting>
  <conditionalFormatting sqref="F711:F712">
    <cfRule type="cellIs" dxfId="3917" priority="5705" operator="equal">
      <formula>"Tax"</formula>
    </cfRule>
  </conditionalFormatting>
  <conditionalFormatting sqref="F712">
    <cfRule type="dataBar" priority="5703">
      <dataBar>
        <cfvo type="min"/>
        <cfvo type="max"/>
        <color rgb="FF638EC6"/>
      </dataBar>
    </cfRule>
    <cfRule type="colorScale" priority="5704">
      <colorScale>
        <cfvo type="min"/>
        <cfvo type="percentile" val="50"/>
        <cfvo type="max"/>
        <color rgb="FFF8696B"/>
        <color rgb="FFFFEB84"/>
        <color rgb="FF63BE7B"/>
      </colorScale>
    </cfRule>
  </conditionalFormatting>
  <conditionalFormatting sqref="F712:F714 F722:F723">
    <cfRule type="cellIs" dxfId="3916" priority="5676" operator="equal">
      <formula>"Cost of Sales"</formula>
    </cfRule>
    <cfRule type="cellIs" dxfId="3915" priority="5677" operator="equal">
      <formula>"Payroll"</formula>
    </cfRule>
    <cfRule type="cellIs" dxfId="3914" priority="5678" operator="equal">
      <formula>"Investment"</formula>
    </cfRule>
    <cfRule type="cellIs" dxfId="3913" priority="5679" operator="equal">
      <formula>"Sunk"</formula>
    </cfRule>
    <cfRule type="cellIs" dxfId="3912" priority="5680" operator="equal">
      <formula>"OpEx"</formula>
    </cfRule>
    <cfRule type="cellIs" dxfId="3911" priority="5681" operator="equal">
      <formula>"CapEx"</formula>
    </cfRule>
    <cfRule type="cellIs" dxfId="3910" priority="5682" operator="equal">
      <formula>"Income"</formula>
    </cfRule>
  </conditionalFormatting>
  <conditionalFormatting sqref="F713">
    <cfRule type="dataBar" priority="5693">
      <dataBar>
        <cfvo type="min"/>
        <cfvo type="max"/>
        <color rgb="FF638EC6"/>
      </dataBar>
    </cfRule>
    <cfRule type="colorScale" priority="5694">
      <colorScale>
        <cfvo type="min"/>
        <cfvo type="percentile" val="50"/>
        <cfvo type="max"/>
        <color rgb="FFF8696B"/>
        <color rgb="FFFFEB84"/>
        <color rgb="FF63BE7B"/>
      </colorScale>
    </cfRule>
    <cfRule type="cellIs" dxfId="3909" priority="5695" operator="equal">
      <formula>"Tax"</formula>
    </cfRule>
  </conditionalFormatting>
  <conditionalFormatting sqref="F713:F714 F722:F723">
    <cfRule type="dataBar" priority="5690">
      <dataBar>
        <cfvo type="min"/>
        <cfvo type="max"/>
        <color rgb="FF638EC6"/>
      </dataBar>
    </cfRule>
    <cfRule type="colorScale" priority="5691">
      <colorScale>
        <cfvo type="min"/>
        <cfvo type="percentile" val="50"/>
        <cfvo type="max"/>
        <color rgb="FFF8696B"/>
        <color rgb="FFFFEB84"/>
        <color rgb="FF63BE7B"/>
      </colorScale>
    </cfRule>
    <cfRule type="cellIs" dxfId="3908" priority="5692" operator="equal">
      <formula>"Tax"</formula>
    </cfRule>
  </conditionalFormatting>
  <conditionalFormatting sqref="F714 F722:F723">
    <cfRule type="cellIs" dxfId="3907" priority="5675" operator="equal">
      <formula>"Tax"</formula>
    </cfRule>
  </conditionalFormatting>
  <conditionalFormatting sqref="F715">
    <cfRule type="dataBar" priority="5648">
      <dataBar>
        <cfvo type="min"/>
        <cfvo type="max"/>
        <color rgb="FF638EC6"/>
      </dataBar>
    </cfRule>
    <cfRule type="colorScale" priority="5649">
      <colorScale>
        <cfvo type="min"/>
        <cfvo type="percentile" val="50"/>
        <cfvo type="max"/>
        <color rgb="FFF8696B"/>
        <color rgb="FFFFEB84"/>
        <color rgb="FF63BE7B"/>
      </colorScale>
    </cfRule>
    <cfRule type="cellIs" dxfId="3906" priority="5650" operator="equal">
      <formula>"Tax"</formula>
    </cfRule>
    <cfRule type="cellIs" dxfId="3905" priority="5657" operator="equal">
      <formula>"Income"</formula>
    </cfRule>
  </conditionalFormatting>
  <conditionalFormatting sqref="F715:F716">
    <cfRule type="cellIs" dxfId="3904" priority="5651" operator="equal">
      <formula>"Cost of Sales"</formula>
    </cfRule>
    <cfRule type="cellIs" dxfId="3903" priority="5652" operator="equal">
      <formula>"Payroll"</formula>
    </cfRule>
    <cfRule type="cellIs" dxfId="3902" priority="5653" operator="equal">
      <formula>"Investment"</formula>
    </cfRule>
    <cfRule type="cellIs" dxfId="3901" priority="5654" operator="equal">
      <formula>"Sunk"</formula>
    </cfRule>
    <cfRule type="cellIs" dxfId="3900" priority="5655" operator="equal">
      <formula>"OpEx"</formula>
    </cfRule>
    <cfRule type="cellIs" dxfId="3899" priority="5656" operator="equal">
      <formula>"CapEx"</formula>
    </cfRule>
  </conditionalFormatting>
  <conditionalFormatting sqref="F716">
    <cfRule type="dataBar" priority="5644">
      <dataBar>
        <cfvo type="min"/>
        <cfvo type="max"/>
        <color rgb="FF638EC6"/>
      </dataBar>
    </cfRule>
    <cfRule type="colorScale" priority="5645">
      <colorScale>
        <cfvo type="min"/>
        <cfvo type="percentile" val="50"/>
        <cfvo type="max"/>
        <color rgb="FFF8696B"/>
        <color rgb="FFFFEB84"/>
        <color rgb="FF63BE7B"/>
      </colorScale>
    </cfRule>
    <cfRule type="cellIs" dxfId="3898" priority="5646" operator="equal">
      <formula>"Tax"</formula>
    </cfRule>
    <cfRule type="cellIs" dxfId="3897" priority="5647" operator="equal">
      <formula>"Income"</formula>
    </cfRule>
  </conditionalFormatting>
  <conditionalFormatting sqref="F717">
    <cfRule type="dataBar" priority="5641">
      <dataBar>
        <cfvo type="min"/>
        <cfvo type="max"/>
        <color rgb="FF638EC6"/>
      </dataBar>
    </cfRule>
    <cfRule type="colorScale" priority="5642">
      <colorScale>
        <cfvo type="min"/>
        <cfvo type="percentile" val="50"/>
        <cfvo type="max"/>
        <color rgb="FFF8696B"/>
        <color rgb="FFFFEB84"/>
        <color rgb="FF63BE7B"/>
      </colorScale>
    </cfRule>
    <cfRule type="cellIs" dxfId="3896" priority="5643" operator="equal">
      <formula>"Tax"</formula>
    </cfRule>
  </conditionalFormatting>
  <conditionalFormatting sqref="F717:F718">
    <cfRule type="cellIs" dxfId="3895" priority="5634" operator="equal">
      <formula>"Income"</formula>
    </cfRule>
    <cfRule type="cellIs" dxfId="3894" priority="5635" operator="equal">
      <formula>"Cost of Sales"</formula>
    </cfRule>
    <cfRule type="cellIs" dxfId="3893" priority="5636" operator="equal">
      <formula>"Payroll"</formula>
    </cfRule>
    <cfRule type="cellIs" dxfId="3892" priority="5637" operator="equal">
      <formula>"Investment"</formula>
    </cfRule>
    <cfRule type="cellIs" dxfId="3891" priority="5638" operator="equal">
      <formula>"Sunk"</formula>
    </cfRule>
    <cfRule type="cellIs" dxfId="3890" priority="5639" operator="equal">
      <formula>"OpEx"</formula>
    </cfRule>
    <cfRule type="cellIs" dxfId="3889" priority="5640" operator="equal">
      <formula>"CapEx"</formula>
    </cfRule>
  </conditionalFormatting>
  <conditionalFormatting sqref="F718">
    <cfRule type="dataBar" priority="5631">
      <dataBar>
        <cfvo type="min"/>
        <cfvo type="max"/>
        <color rgb="FF638EC6"/>
      </dataBar>
    </cfRule>
    <cfRule type="colorScale" priority="5632">
      <colorScale>
        <cfvo type="min"/>
        <cfvo type="percentile" val="50"/>
        <cfvo type="max"/>
        <color rgb="FFF8696B"/>
        <color rgb="FFFFEB84"/>
        <color rgb="FF63BE7B"/>
      </colorScale>
    </cfRule>
    <cfRule type="cellIs" dxfId="3888" priority="5633" operator="equal">
      <formula>"Tax"</formula>
    </cfRule>
  </conditionalFormatting>
  <conditionalFormatting sqref="F719">
    <cfRule type="dataBar" priority="5601">
      <dataBar>
        <cfvo type="min"/>
        <cfvo type="max"/>
        <color rgb="FF638EC6"/>
      </dataBar>
    </cfRule>
    <cfRule type="colorScale" priority="5602">
      <colorScale>
        <cfvo type="min"/>
        <cfvo type="percentile" val="50"/>
        <cfvo type="max"/>
        <color rgb="FFF8696B"/>
        <color rgb="FFFFEB84"/>
        <color rgb="FF63BE7B"/>
      </colorScale>
    </cfRule>
    <cfRule type="cellIs" dxfId="3887" priority="5603" operator="equal">
      <formula>"Tax"</formula>
    </cfRule>
  </conditionalFormatting>
  <conditionalFormatting sqref="F719:F720">
    <cfRule type="cellIs" dxfId="3886" priority="5559" operator="equal">
      <formula>"Income"</formula>
    </cfRule>
    <cfRule type="cellIs" dxfId="3885" priority="5560" operator="equal">
      <formula>"Cost of Sales"</formula>
    </cfRule>
    <cfRule type="cellIs" dxfId="3884" priority="5561" operator="equal">
      <formula>"Payroll"</formula>
    </cfRule>
    <cfRule type="cellIs" dxfId="3883" priority="5562" operator="equal">
      <formula>"Investment"</formula>
    </cfRule>
    <cfRule type="cellIs" dxfId="3882" priority="5563" operator="equal">
      <formula>"Sunk"</formula>
    </cfRule>
    <cfRule type="cellIs" dxfId="3881" priority="5564" operator="equal">
      <formula>"OpEx"</formula>
    </cfRule>
    <cfRule type="cellIs" dxfId="3880" priority="5565" operator="equal">
      <formula>"CapEx"</formula>
    </cfRule>
  </conditionalFormatting>
  <conditionalFormatting sqref="F720">
    <cfRule type="cellIs" dxfId="3879" priority="5546" operator="equal">
      <formula>"Cost of Sales"</formula>
    </cfRule>
    <cfRule type="cellIs" dxfId="3878" priority="5547" operator="equal">
      <formula>"Payroll"</formula>
    </cfRule>
    <cfRule type="cellIs" dxfId="3877" priority="5548" operator="equal">
      <formula>"Investment"</formula>
    </cfRule>
    <cfRule type="cellIs" dxfId="3876" priority="5549" operator="equal">
      <formula>"Sunk"</formula>
    </cfRule>
    <cfRule type="cellIs" dxfId="3875" priority="5550" operator="equal">
      <formula>"OpEx"</formula>
    </cfRule>
    <cfRule type="cellIs" dxfId="3874" priority="5551" operator="equal">
      <formula>"CapEx"</formula>
    </cfRule>
    <cfRule type="cellIs" dxfId="3873" priority="5552" operator="equal">
      <formula>"Income"</formula>
    </cfRule>
    <cfRule type="dataBar" priority="5553">
      <dataBar>
        <cfvo type="min"/>
        <cfvo type="max"/>
        <color rgb="FF638EC6"/>
      </dataBar>
    </cfRule>
    <cfRule type="colorScale" priority="5554">
      <colorScale>
        <cfvo type="min"/>
        <cfvo type="percentile" val="50"/>
        <cfvo type="max"/>
        <color rgb="FFF8696B"/>
        <color rgb="FFFFEB84"/>
        <color rgb="FF63BE7B"/>
      </colorScale>
    </cfRule>
    <cfRule type="cellIs" dxfId="3872" priority="5555" operator="equal">
      <formula>"Tax"</formula>
    </cfRule>
    <cfRule type="dataBar" priority="5556">
      <dataBar>
        <cfvo type="min"/>
        <cfvo type="max"/>
        <color rgb="FF638EC6"/>
      </dataBar>
    </cfRule>
    <cfRule type="colorScale" priority="5557">
      <colorScale>
        <cfvo type="min"/>
        <cfvo type="percentile" val="50"/>
        <cfvo type="max"/>
        <color rgb="FFF8696B"/>
        <color rgb="FFFFEB84"/>
        <color rgb="FF63BE7B"/>
      </colorScale>
    </cfRule>
  </conditionalFormatting>
  <conditionalFormatting sqref="F720:F721">
    <cfRule type="cellIs" dxfId="3871" priority="5558" operator="equal">
      <formula>"Tax"</formula>
    </cfRule>
  </conditionalFormatting>
  <conditionalFormatting sqref="F721">
    <cfRule type="dataBar" priority="5574">
      <dataBar>
        <cfvo type="min"/>
        <cfvo type="max"/>
        <color rgb="FF638EC6"/>
      </dataBar>
    </cfRule>
    <cfRule type="colorScale" priority="5575">
      <colorScale>
        <cfvo type="min"/>
        <cfvo type="percentile" val="50"/>
        <cfvo type="max"/>
        <color rgb="FFF8696B"/>
        <color rgb="FFFFEB84"/>
        <color rgb="FF63BE7B"/>
      </colorScale>
    </cfRule>
    <cfRule type="cellIs" dxfId="3870" priority="5576" operator="equal">
      <formula>"Income"</formula>
    </cfRule>
    <cfRule type="cellIs" dxfId="3869" priority="5577" operator="equal">
      <formula>"Cost of Sales"</formula>
    </cfRule>
    <cfRule type="cellIs" dxfId="3868" priority="5578" operator="equal">
      <formula>"Payroll"</formula>
    </cfRule>
    <cfRule type="cellIs" dxfId="3867" priority="5579" operator="equal">
      <formula>"Investment"</formula>
    </cfRule>
    <cfRule type="cellIs" dxfId="3866" priority="5580" operator="equal">
      <formula>"Sunk"</formula>
    </cfRule>
    <cfRule type="cellIs" dxfId="3865" priority="5581" operator="equal">
      <formula>"OpEx"</formula>
    </cfRule>
    <cfRule type="cellIs" dxfId="3864" priority="5582" operator="equal">
      <formula>"CapEx"</formula>
    </cfRule>
  </conditionalFormatting>
  <conditionalFormatting sqref="F722:F723 F714">
    <cfRule type="dataBar" priority="5673">
      <dataBar>
        <cfvo type="min"/>
        <cfvo type="max"/>
        <color rgb="FF638EC6"/>
      </dataBar>
    </cfRule>
    <cfRule type="colorScale" priority="5674">
      <colorScale>
        <cfvo type="min"/>
        <cfvo type="percentile" val="50"/>
        <cfvo type="max"/>
        <color rgb="FFF8696B"/>
        <color rgb="FFFFEB84"/>
        <color rgb="FF63BE7B"/>
      </colorScale>
    </cfRule>
  </conditionalFormatting>
  <conditionalFormatting sqref="F724">
    <cfRule type="cellIs" dxfId="3863" priority="5525" operator="equal">
      <formula>"Investment"</formula>
    </cfRule>
    <cfRule type="dataBar" priority="5525">
      <dataBar>
        <cfvo type="min"/>
        <cfvo type="max"/>
        <color rgb="FF638EC6"/>
      </dataBar>
    </cfRule>
    <cfRule type="colorScale" priority="5525">
      <colorScale>
        <cfvo type="min"/>
        <cfvo type="percentile" val="50"/>
        <cfvo type="max"/>
        <color rgb="FFF8696B"/>
        <color rgb="FFFFEB84"/>
        <color rgb="FF63BE7B"/>
      </colorScale>
    </cfRule>
    <cfRule type="cellIs" dxfId="3862" priority="5525" operator="equal">
      <formula>"CapEx"</formula>
    </cfRule>
    <cfRule type="cellIs" dxfId="3861" priority="5525" operator="equal">
      <formula>"OpEx"</formula>
    </cfRule>
    <cfRule type="cellIs" dxfId="3860" priority="5525" operator="equal">
      <formula>"Sunk"</formula>
    </cfRule>
    <cfRule type="cellIs" dxfId="3859" priority="5534" operator="equal">
      <formula>"Tax"</formula>
    </cfRule>
  </conditionalFormatting>
  <conditionalFormatting sqref="F724:F725">
    <cfRule type="cellIs" dxfId="3858" priority="5496" operator="equal">
      <formula>"Income"</formula>
    </cfRule>
    <cfRule type="cellIs" dxfId="3857" priority="5497" operator="equal">
      <formula>"Cost of Sales"</formula>
    </cfRule>
    <cfRule type="cellIs" dxfId="3856" priority="5498" operator="equal">
      <formula>"Payroll"</formula>
    </cfRule>
  </conditionalFormatting>
  <conditionalFormatting sqref="F725">
    <cfRule type="dataBar" priority="5494">
      <dataBar>
        <cfvo type="min"/>
        <cfvo type="max"/>
        <color rgb="FF638EC6"/>
      </dataBar>
    </cfRule>
    <cfRule type="colorScale" priority="5495">
      <colorScale>
        <cfvo type="min"/>
        <cfvo type="percentile" val="50"/>
        <cfvo type="max"/>
        <color rgb="FFF8696B"/>
        <color rgb="FFFFEB84"/>
        <color rgb="FF63BE7B"/>
      </colorScale>
    </cfRule>
    <cfRule type="cellIs" dxfId="3855" priority="5499" operator="equal">
      <formula>"Investment"</formula>
    </cfRule>
    <cfRule type="cellIs" dxfId="3854" priority="5500" operator="equal">
      <formula>"Sunk"</formula>
    </cfRule>
    <cfRule type="cellIs" dxfId="3853" priority="5501" operator="equal">
      <formula>"OpEx"</formula>
    </cfRule>
    <cfRule type="cellIs" dxfId="3852" priority="5502" operator="equal">
      <formula>"CapEx"</formula>
    </cfRule>
  </conditionalFormatting>
  <conditionalFormatting sqref="F725:F726">
    <cfRule type="cellIs" dxfId="3851" priority="5480" operator="equal">
      <formula>"Tax"</formula>
    </cfRule>
  </conditionalFormatting>
  <conditionalFormatting sqref="F726">
    <cfRule type="dataBar" priority="5478">
      <dataBar>
        <cfvo type="min"/>
        <cfvo type="max"/>
        <color rgb="FF638EC6"/>
      </dataBar>
    </cfRule>
    <cfRule type="colorScale" priority="5479">
      <colorScale>
        <cfvo type="min"/>
        <cfvo type="percentile" val="50"/>
        <cfvo type="max"/>
        <color rgb="FFF8696B"/>
        <color rgb="FFFFEB84"/>
        <color rgb="FF63BE7B"/>
      </colorScale>
    </cfRule>
    <cfRule type="cellIs" dxfId="3850" priority="5481" operator="equal">
      <formula>"Income"</formula>
    </cfRule>
    <cfRule type="cellIs" dxfId="3849" priority="5482" operator="equal">
      <formula>"Cost of Sales"</formula>
    </cfRule>
    <cfRule type="cellIs" dxfId="3848" priority="5483" operator="equal">
      <formula>"Payroll"</formula>
    </cfRule>
    <cfRule type="cellIs" dxfId="3847" priority="5484" operator="equal">
      <formula>"Investment"</formula>
    </cfRule>
    <cfRule type="cellIs" dxfId="3846" priority="5485" operator="equal">
      <formula>"Sunk"</formula>
    </cfRule>
    <cfRule type="cellIs" dxfId="3845" priority="5486" operator="equal">
      <formula>"OpEx"</formula>
    </cfRule>
    <cfRule type="cellIs" dxfId="3844" priority="5487" operator="equal">
      <formula>"CapEx"</formula>
    </cfRule>
  </conditionalFormatting>
  <conditionalFormatting sqref="F727">
    <cfRule type="dataBar" priority="5451">
      <dataBar>
        <cfvo type="min"/>
        <cfvo type="max"/>
        <color rgb="FF638EC6"/>
      </dataBar>
    </cfRule>
    <cfRule type="colorScale" priority="5452">
      <colorScale>
        <cfvo type="min"/>
        <cfvo type="percentile" val="50"/>
        <cfvo type="max"/>
        <color rgb="FFF8696B"/>
        <color rgb="FFFFEB84"/>
        <color rgb="FF63BE7B"/>
      </colorScale>
    </cfRule>
    <cfRule type="cellIs" dxfId="3843" priority="5453" operator="equal">
      <formula>"Tax"</formula>
    </cfRule>
    <cfRule type="cellIs" dxfId="3842" priority="5454" operator="equal">
      <formula>"Income"</formula>
    </cfRule>
    <cfRule type="cellIs" dxfId="3841" priority="5455" operator="equal">
      <formula>"Cost of Sales"</formula>
    </cfRule>
    <cfRule type="cellIs" dxfId="3840" priority="5456" operator="equal">
      <formula>"Payroll"</formula>
    </cfRule>
    <cfRule type="cellIs" dxfId="3839" priority="5457" operator="equal">
      <formula>"Investment"</formula>
    </cfRule>
    <cfRule type="cellIs" dxfId="3838" priority="5458" operator="equal">
      <formula>"Sunk"</formula>
    </cfRule>
    <cfRule type="cellIs" dxfId="3837" priority="5459" operator="equal">
      <formula>"OpEx"</formula>
    </cfRule>
    <cfRule type="cellIs" dxfId="3836" priority="5460" operator="equal">
      <formula>"CapEx"</formula>
    </cfRule>
    <cfRule type="dataBar" priority="5461">
      <dataBar>
        <cfvo type="min"/>
        <cfvo type="max"/>
        <color rgb="FF638EC6"/>
      </dataBar>
    </cfRule>
    <cfRule type="colorScale" priority="5462">
      <colorScale>
        <cfvo type="min"/>
        <cfvo type="percentile" val="50"/>
        <cfvo type="max"/>
        <color rgb="FFF8696B"/>
        <color rgb="FFFFEB84"/>
        <color rgb="FF63BE7B"/>
      </colorScale>
    </cfRule>
    <cfRule type="cellIs" dxfId="3835" priority="5463" operator="equal">
      <formula>"Tax"</formula>
    </cfRule>
  </conditionalFormatting>
  <conditionalFormatting sqref="F727:F728">
    <cfRule type="cellIs" dxfId="3834" priority="5426" operator="equal">
      <formula>"Cost of Sales"</formula>
    </cfRule>
    <cfRule type="cellIs" dxfId="3833" priority="5427" operator="equal">
      <formula>"Payroll"</formula>
    </cfRule>
    <cfRule type="cellIs" dxfId="3832" priority="5428" operator="equal">
      <formula>"Investment"</formula>
    </cfRule>
    <cfRule type="cellIs" dxfId="3831" priority="5429" operator="equal">
      <formula>"Sunk"</formula>
    </cfRule>
    <cfRule type="cellIs" dxfId="3830" priority="5430" operator="equal">
      <formula>"OpEx"</formula>
    </cfRule>
    <cfRule type="cellIs" dxfId="3829" priority="5431" operator="equal">
      <formula>"CapEx"</formula>
    </cfRule>
    <cfRule type="cellIs" dxfId="3828" priority="5432" operator="equal">
      <formula>"Income"</formula>
    </cfRule>
  </conditionalFormatting>
  <conditionalFormatting sqref="F728">
    <cfRule type="dataBar" priority="5424">
      <dataBar>
        <cfvo type="min"/>
        <cfvo type="max"/>
        <color rgb="FF638EC6"/>
      </dataBar>
    </cfRule>
    <cfRule type="colorScale" priority="5425">
      <colorScale>
        <cfvo type="min"/>
        <cfvo type="percentile" val="50"/>
        <cfvo type="max"/>
        <color rgb="FFF8696B"/>
        <color rgb="FFFFEB84"/>
        <color rgb="FF63BE7B"/>
      </colorScale>
    </cfRule>
  </conditionalFormatting>
  <conditionalFormatting sqref="F728:F729">
    <cfRule type="cellIs" dxfId="3827" priority="5402" operator="equal">
      <formula>"Tax"</formula>
    </cfRule>
  </conditionalFormatting>
  <conditionalFormatting sqref="F729">
    <cfRule type="dataBar" priority="5397">
      <dataBar>
        <cfvo type="min"/>
        <cfvo type="max"/>
        <color rgb="FF638EC6"/>
      </dataBar>
    </cfRule>
    <cfRule type="colorScale" priority="5398">
      <colorScale>
        <cfvo type="min"/>
        <cfvo type="percentile" val="50"/>
        <cfvo type="max"/>
        <color rgb="FFF8696B"/>
        <color rgb="FFFFEB84"/>
        <color rgb="FF63BE7B"/>
      </colorScale>
    </cfRule>
    <cfRule type="cellIs" dxfId="3826" priority="5399" operator="equal">
      <formula>"Tax"</formula>
    </cfRule>
    <cfRule type="dataBar" priority="5400">
      <dataBar>
        <cfvo type="min"/>
        <cfvo type="max"/>
        <color rgb="FF638EC6"/>
      </dataBar>
    </cfRule>
    <cfRule type="colorScale" priority="5401">
      <colorScale>
        <cfvo type="min"/>
        <cfvo type="percentile" val="50"/>
        <cfvo type="max"/>
        <color rgb="FFF8696B"/>
        <color rgb="FFFFEB84"/>
        <color rgb="FF63BE7B"/>
      </colorScale>
    </cfRule>
    <cfRule type="cellIs" dxfId="3825" priority="5403" operator="equal">
      <formula>"Income"</formula>
    </cfRule>
    <cfRule type="cellIs" dxfId="3824" priority="5404" operator="equal">
      <formula>"Cost of Sales"</formula>
    </cfRule>
    <cfRule type="cellIs" dxfId="3823" priority="5405" operator="equal">
      <formula>"Payroll"</formula>
    </cfRule>
    <cfRule type="cellIs" dxfId="3822" priority="5406" operator="equal">
      <formula>"Investment"</formula>
    </cfRule>
    <cfRule type="cellIs" dxfId="3821" priority="5407" operator="equal">
      <formula>"Sunk"</formula>
    </cfRule>
    <cfRule type="cellIs" dxfId="3820" priority="5408" operator="equal">
      <formula>"OpEx"</formula>
    </cfRule>
    <cfRule type="cellIs" dxfId="3819" priority="5409" operator="equal">
      <formula>"CapEx"</formula>
    </cfRule>
  </conditionalFormatting>
  <conditionalFormatting sqref="F729:F730">
    <cfRule type="cellIs" dxfId="3818" priority="5361" operator="equal">
      <formula>"Cost of Sales"</formula>
    </cfRule>
    <cfRule type="cellIs" dxfId="3817" priority="5362" operator="equal">
      <formula>"Payroll"</formula>
    </cfRule>
    <cfRule type="cellIs" dxfId="3816" priority="5363" operator="equal">
      <formula>"Investment"</formula>
    </cfRule>
    <cfRule type="cellIs" dxfId="3815" priority="5364" operator="equal">
      <formula>"Sunk"</formula>
    </cfRule>
    <cfRule type="cellIs" dxfId="3814" priority="5365" operator="equal">
      <formula>"OpEx"</formula>
    </cfRule>
    <cfRule type="cellIs" dxfId="3813" priority="5366" operator="equal">
      <formula>"CapEx"</formula>
    </cfRule>
    <cfRule type="cellIs" dxfId="3812" priority="5367" operator="equal">
      <formula>"Income"</formula>
    </cfRule>
  </conditionalFormatting>
  <conditionalFormatting sqref="F730">
    <cfRule type="dataBar" priority="5358">
      <dataBar>
        <cfvo type="min"/>
        <cfvo type="max"/>
        <color rgb="FF638EC6"/>
      </dataBar>
    </cfRule>
    <cfRule type="colorScale" priority="5359">
      <colorScale>
        <cfvo type="min"/>
        <cfvo type="percentile" val="50"/>
        <cfvo type="max"/>
        <color rgb="FFF8696B"/>
        <color rgb="FFFFEB84"/>
        <color rgb="FF63BE7B"/>
      </colorScale>
    </cfRule>
    <cfRule type="cellIs" dxfId="3811" priority="5360" operator="equal">
      <formula>"Tax"</formula>
    </cfRule>
  </conditionalFormatting>
  <conditionalFormatting sqref="F731">
    <cfRule type="dataBar" priority="5348">
      <dataBar>
        <cfvo type="min"/>
        <cfvo type="max"/>
        <color rgb="FF638EC6"/>
      </dataBar>
    </cfRule>
    <cfRule type="colorScale" priority="5349">
      <colorScale>
        <cfvo type="min"/>
        <cfvo type="percentile" val="50"/>
        <cfvo type="max"/>
        <color rgb="FFF8696B"/>
        <color rgb="FFFFEB84"/>
        <color rgb="FF63BE7B"/>
      </colorScale>
    </cfRule>
    <cfRule type="cellIs" dxfId="3810" priority="5350" operator="equal">
      <formula>"Income"</formula>
    </cfRule>
    <cfRule type="cellIs" dxfId="3809" priority="5351" operator="equal">
      <formula>"Cost of Sales"</formula>
    </cfRule>
    <cfRule type="cellIs" dxfId="3808" priority="5352" operator="equal">
      <formula>"Payroll"</formula>
    </cfRule>
    <cfRule type="cellIs" dxfId="3807" priority="5353" operator="equal">
      <formula>"Investment"</formula>
    </cfRule>
    <cfRule type="cellIs" dxfId="3806" priority="5354" operator="equal">
      <formula>"Sunk"</formula>
    </cfRule>
    <cfRule type="cellIs" dxfId="3805" priority="5355" operator="equal">
      <formula>"OpEx"</formula>
    </cfRule>
    <cfRule type="cellIs" dxfId="3804" priority="5356" operator="equal">
      <formula>"CapEx"</formula>
    </cfRule>
  </conditionalFormatting>
  <conditionalFormatting sqref="F731:F732">
    <cfRule type="cellIs" dxfId="3803" priority="5347" operator="equal">
      <formula>"Tax"</formula>
    </cfRule>
  </conditionalFormatting>
  <conditionalFormatting sqref="F732">
    <cfRule type="dataBar" priority="5308">
      <dataBar>
        <cfvo type="min"/>
        <cfvo type="max"/>
        <color rgb="FF638EC6"/>
      </dataBar>
    </cfRule>
    <cfRule type="colorScale" priority="5309">
      <colorScale>
        <cfvo type="min"/>
        <cfvo type="percentile" val="50"/>
        <cfvo type="max"/>
        <color rgb="FFF8696B"/>
        <color rgb="FFFFEB84"/>
        <color rgb="FF63BE7B"/>
      </colorScale>
    </cfRule>
  </conditionalFormatting>
  <conditionalFormatting sqref="F732:F735">
    <cfRule type="cellIs" dxfId="3802" priority="5310" operator="equal">
      <formula>"Cost of Sales"</formula>
    </cfRule>
    <cfRule type="cellIs" dxfId="3801" priority="5311" operator="equal">
      <formula>"Payroll"</formula>
    </cfRule>
    <cfRule type="cellIs" dxfId="3800" priority="5312" operator="equal">
      <formula>"Investment"</formula>
    </cfRule>
    <cfRule type="cellIs" dxfId="3799" priority="5313" operator="equal">
      <formula>"Sunk"</formula>
    </cfRule>
    <cfRule type="cellIs" dxfId="3798" priority="5314" operator="equal">
      <formula>"OpEx"</formula>
    </cfRule>
    <cfRule type="cellIs" dxfId="3797" priority="5315" operator="equal">
      <formula>"CapEx"</formula>
    </cfRule>
    <cfRule type="cellIs" dxfId="3796" priority="5316" operator="equal">
      <formula>"Income"</formula>
    </cfRule>
  </conditionalFormatting>
  <conditionalFormatting sqref="F733">
    <cfRule type="dataBar" priority="5295">
      <dataBar>
        <cfvo type="min"/>
        <cfvo type="max"/>
        <color rgb="FF638EC6"/>
      </dataBar>
    </cfRule>
    <cfRule type="colorScale" priority="5296">
      <colorScale>
        <cfvo type="min"/>
        <cfvo type="percentile" val="50"/>
        <cfvo type="max"/>
        <color rgb="FFF8696B"/>
        <color rgb="FFFFEB84"/>
        <color rgb="FF63BE7B"/>
      </colorScale>
    </cfRule>
    <cfRule type="cellIs" dxfId="3795" priority="5297" operator="equal">
      <formula>"Tax"</formula>
    </cfRule>
  </conditionalFormatting>
  <conditionalFormatting sqref="F734">
    <cfRule type="dataBar" priority="5292">
      <dataBar>
        <cfvo type="min"/>
        <cfvo type="max"/>
        <color rgb="FF638EC6"/>
      </dataBar>
    </cfRule>
    <cfRule type="colorScale" priority="5293">
      <colorScale>
        <cfvo type="min"/>
        <cfvo type="percentile" val="50"/>
        <cfvo type="max"/>
        <color rgb="FFF8696B"/>
        <color rgb="FFFFEB84"/>
        <color rgb="FF63BE7B"/>
      </colorScale>
    </cfRule>
    <cfRule type="cellIs" dxfId="3794" priority="5294" operator="equal">
      <formula>"Tax"</formula>
    </cfRule>
  </conditionalFormatting>
  <conditionalFormatting sqref="F735">
    <cfRule type="dataBar" priority="5286">
      <dataBar>
        <cfvo type="min"/>
        <cfvo type="max"/>
        <color rgb="FF638EC6"/>
      </dataBar>
    </cfRule>
    <cfRule type="colorScale" priority="5287">
      <colorScale>
        <cfvo type="min"/>
        <cfvo type="percentile" val="50"/>
        <cfvo type="max"/>
        <color rgb="FFF8696B"/>
        <color rgb="FFFFEB84"/>
        <color rgb="FF63BE7B"/>
      </colorScale>
    </cfRule>
    <cfRule type="cellIs" dxfId="3793" priority="5288" operator="equal">
      <formula>"Tax"</formula>
    </cfRule>
    <cfRule type="dataBar" priority="5289">
      <dataBar>
        <cfvo type="min"/>
        <cfvo type="max"/>
        <color rgb="FF638EC6"/>
      </dataBar>
    </cfRule>
    <cfRule type="colorScale" priority="5290">
      <colorScale>
        <cfvo type="min"/>
        <cfvo type="percentile" val="50"/>
        <cfvo type="max"/>
        <color rgb="FFF8696B"/>
        <color rgb="FFFFEB84"/>
        <color rgb="FF63BE7B"/>
      </colorScale>
    </cfRule>
    <cfRule type="cellIs" dxfId="3792" priority="5291" operator="equal">
      <formula>"Tax"</formula>
    </cfRule>
  </conditionalFormatting>
  <conditionalFormatting sqref="F735:F736 F780:F782">
    <cfRule type="cellIs" dxfId="3791" priority="5279" operator="equal">
      <formula>"Income"</formula>
    </cfRule>
    <cfRule type="cellIs" dxfId="3790" priority="5280" operator="equal">
      <formula>"Cost of Sales"</formula>
    </cfRule>
    <cfRule type="cellIs" dxfId="3789" priority="5281" operator="equal">
      <formula>"Payroll"</formula>
    </cfRule>
    <cfRule type="cellIs" dxfId="3788" priority="5282" operator="equal">
      <formula>"Investment"</formula>
    </cfRule>
    <cfRule type="cellIs" dxfId="3787" priority="5283" operator="equal">
      <formula>"Sunk"</formula>
    </cfRule>
    <cfRule type="cellIs" dxfId="3786" priority="5284" operator="equal">
      <formula>"OpEx"</formula>
    </cfRule>
    <cfRule type="cellIs" dxfId="3785" priority="5285" operator="equal">
      <formula>"CapEx"</formula>
    </cfRule>
  </conditionalFormatting>
  <conditionalFormatting sqref="F736 F782">
    <cfRule type="cellIs" dxfId="3784" priority="5278" operator="equal">
      <formula>"Tax"</formula>
    </cfRule>
  </conditionalFormatting>
  <conditionalFormatting sqref="F737">
    <cfRule type="dataBar" priority="5231">
      <dataBar>
        <cfvo type="min"/>
        <cfvo type="max"/>
        <color rgb="FF638EC6"/>
      </dataBar>
    </cfRule>
    <cfRule type="colorScale" priority="5232">
      <colorScale>
        <cfvo type="min"/>
        <cfvo type="percentile" val="50"/>
        <cfvo type="max"/>
        <color rgb="FFF8696B"/>
        <color rgb="FFFFEB84"/>
        <color rgb="FF63BE7B"/>
      </colorScale>
    </cfRule>
    <cfRule type="cellIs" dxfId="3783" priority="5233" operator="equal">
      <formula>"Tax"</formula>
    </cfRule>
    <cfRule type="cellIs" dxfId="3782" priority="5234" operator="equal">
      <formula>"Income"</formula>
    </cfRule>
    <cfRule type="cellIs" dxfId="3781" priority="5235" operator="equal">
      <formula>"Cost of Sales"</formula>
    </cfRule>
    <cfRule type="cellIs" dxfId="3780" priority="5236" operator="equal">
      <formula>"Payroll"</formula>
    </cfRule>
    <cfRule type="cellIs" dxfId="3779" priority="5237" operator="equal">
      <formula>"Investment"</formula>
    </cfRule>
    <cfRule type="cellIs" dxfId="3778" priority="5238" operator="equal">
      <formula>"Sunk"</formula>
    </cfRule>
    <cfRule type="cellIs" dxfId="3777" priority="5239" operator="equal">
      <formula>"OpEx"</formula>
    </cfRule>
    <cfRule type="cellIs" dxfId="3776" priority="5240" operator="equal">
      <formula>"CapEx"</formula>
    </cfRule>
    <cfRule type="dataBar" priority="5241">
      <dataBar>
        <cfvo type="min"/>
        <cfvo type="max"/>
        <color rgb="FF638EC6"/>
      </dataBar>
    </cfRule>
    <cfRule type="colorScale" priority="5242">
      <colorScale>
        <cfvo type="min"/>
        <cfvo type="percentile" val="50"/>
        <cfvo type="max"/>
        <color rgb="FFF8696B"/>
        <color rgb="FFFFEB84"/>
        <color rgb="FF63BE7B"/>
      </colorScale>
    </cfRule>
    <cfRule type="cellIs" dxfId="3775" priority="5243" operator="equal">
      <formula>"Tax"</formula>
    </cfRule>
    <cfRule type="cellIs" dxfId="3774" priority="5244" operator="equal">
      <formula>"Income"</formula>
    </cfRule>
    <cfRule type="dataBar" priority="5245">
      <dataBar>
        <cfvo type="min"/>
        <cfvo type="max"/>
        <color rgb="FF638EC6"/>
      </dataBar>
    </cfRule>
    <cfRule type="colorScale" priority="5246">
      <colorScale>
        <cfvo type="min"/>
        <cfvo type="percentile" val="50"/>
        <cfvo type="max"/>
        <color rgb="FFF8696B"/>
        <color rgb="FFFFEB84"/>
        <color rgb="FF63BE7B"/>
      </colorScale>
    </cfRule>
    <cfRule type="cellIs" dxfId="3773" priority="5247" operator="equal">
      <formula>"Tax"</formula>
    </cfRule>
    <cfRule type="cellIs" dxfId="3772" priority="5248" operator="equal">
      <formula>"Cost of Sales"</formula>
    </cfRule>
    <cfRule type="cellIs" dxfId="3771" priority="5249" operator="equal">
      <formula>"Payroll"</formula>
    </cfRule>
    <cfRule type="cellIs" dxfId="3770" priority="5250" operator="equal">
      <formula>"Investment"</formula>
    </cfRule>
    <cfRule type="cellIs" dxfId="3769" priority="5251" operator="equal">
      <formula>"Sunk"</formula>
    </cfRule>
    <cfRule type="cellIs" dxfId="3768" priority="5252" operator="equal">
      <formula>"OpEx"</formula>
    </cfRule>
    <cfRule type="cellIs" dxfId="3767" priority="5253" operator="equal">
      <formula>"CapEx"</formula>
    </cfRule>
  </conditionalFormatting>
  <conditionalFormatting sqref="F737:F738">
    <cfRule type="cellIs" dxfId="3766" priority="5203" operator="equal">
      <formula>"Income"</formula>
    </cfRule>
    <cfRule type="cellIs" dxfId="3765" priority="5207" operator="equal">
      <formula>"Cost of Sales"</formula>
    </cfRule>
    <cfRule type="cellIs" dxfId="3764" priority="5208" operator="equal">
      <formula>"Payroll"</formula>
    </cfRule>
    <cfRule type="cellIs" dxfId="3763" priority="5209" operator="equal">
      <formula>"Investment"</formula>
    </cfRule>
    <cfRule type="cellIs" dxfId="3762" priority="5210" operator="equal">
      <formula>"Sunk"</formula>
    </cfRule>
    <cfRule type="cellIs" dxfId="3761" priority="5211" operator="equal">
      <formula>"OpEx"</formula>
    </cfRule>
    <cfRule type="cellIs" dxfId="3760" priority="5212" operator="equal">
      <formula>"CapEx"</formula>
    </cfRule>
  </conditionalFormatting>
  <conditionalFormatting sqref="F738">
    <cfRule type="dataBar" priority="5190">
      <dataBar>
        <cfvo type="min"/>
        <cfvo type="max"/>
        <color rgb="FF638EC6"/>
      </dataBar>
    </cfRule>
    <cfRule type="colorScale" priority="5191">
      <colorScale>
        <cfvo type="min"/>
        <cfvo type="percentile" val="50"/>
        <cfvo type="max"/>
        <color rgb="FFF8696B"/>
        <color rgb="FFFFEB84"/>
        <color rgb="FF63BE7B"/>
      </colorScale>
    </cfRule>
    <cfRule type="cellIs" dxfId="3759" priority="5192" operator="equal">
      <formula>"Tax"</formula>
    </cfRule>
    <cfRule type="cellIs" dxfId="3758" priority="5193" operator="equal">
      <formula>"Income"</formula>
    </cfRule>
    <cfRule type="cellIs" dxfId="3757" priority="5194" operator="equal">
      <formula>"Cost of Sales"</formula>
    </cfRule>
    <cfRule type="cellIs" dxfId="3756" priority="5195" operator="equal">
      <formula>"Payroll"</formula>
    </cfRule>
    <cfRule type="cellIs" dxfId="3755" priority="5196" operator="equal">
      <formula>"Investment"</formula>
    </cfRule>
    <cfRule type="cellIs" dxfId="3754" priority="5197" operator="equal">
      <formula>"Sunk"</formula>
    </cfRule>
    <cfRule type="cellIs" dxfId="3753" priority="5198" operator="equal">
      <formula>"OpEx"</formula>
    </cfRule>
    <cfRule type="cellIs" dxfId="3752" priority="5199" operator="equal">
      <formula>"CapEx"</formula>
    </cfRule>
    <cfRule type="dataBar" priority="5200">
      <dataBar>
        <cfvo type="min"/>
        <cfvo type="max"/>
        <color rgb="FF638EC6"/>
      </dataBar>
    </cfRule>
    <cfRule type="colorScale" priority="5201">
      <colorScale>
        <cfvo type="min"/>
        <cfvo type="percentile" val="50"/>
        <cfvo type="max"/>
        <color rgb="FFF8696B"/>
        <color rgb="FFFFEB84"/>
        <color rgb="FF63BE7B"/>
      </colorScale>
    </cfRule>
    <cfRule type="cellIs" dxfId="3751" priority="5202" operator="equal">
      <formula>"Tax"</formula>
    </cfRule>
    <cfRule type="dataBar" priority="5204">
      <dataBar>
        <cfvo type="min"/>
        <cfvo type="max"/>
        <color rgb="FF638EC6"/>
      </dataBar>
    </cfRule>
    <cfRule type="colorScale" priority="5205">
      <colorScale>
        <cfvo type="min"/>
        <cfvo type="percentile" val="50"/>
        <cfvo type="max"/>
        <color rgb="FFF8696B"/>
        <color rgb="FFFFEB84"/>
        <color rgb="FF63BE7B"/>
      </colorScale>
    </cfRule>
    <cfRule type="cellIs" dxfId="3750" priority="5206" operator="equal">
      <formula>"Tax"</formula>
    </cfRule>
  </conditionalFormatting>
  <conditionalFormatting sqref="F738:F739">
    <cfRule type="cellIs" dxfId="3749" priority="5163" operator="equal">
      <formula>"Cost of Sales"</formula>
    </cfRule>
    <cfRule type="cellIs" dxfId="3748" priority="5164" operator="equal">
      <formula>"Payroll"</formula>
    </cfRule>
    <cfRule type="cellIs" dxfId="3747" priority="5165" operator="equal">
      <formula>"Investment"</formula>
    </cfRule>
    <cfRule type="cellIs" dxfId="3746" priority="5166" operator="equal">
      <formula>"Sunk"</formula>
    </cfRule>
    <cfRule type="cellIs" dxfId="3745" priority="5167" operator="equal">
      <formula>"OpEx"</formula>
    </cfRule>
    <cfRule type="cellIs" dxfId="3744" priority="5168" operator="equal">
      <formula>"CapEx"</formula>
    </cfRule>
  </conditionalFormatting>
  <conditionalFormatting sqref="F738:F740">
    <cfRule type="cellIs" dxfId="3743" priority="5162" operator="equal">
      <formula>"Income"</formula>
    </cfRule>
  </conditionalFormatting>
  <conditionalFormatting sqref="F739">
    <cfRule type="dataBar" priority="5159">
      <dataBar>
        <cfvo type="min"/>
        <cfvo type="max"/>
        <color rgb="FF638EC6"/>
      </dataBar>
    </cfRule>
    <cfRule type="colorScale" priority="5160">
      <colorScale>
        <cfvo type="min"/>
        <cfvo type="percentile" val="50"/>
        <cfvo type="max"/>
        <color rgb="FFF8696B"/>
        <color rgb="FFFFEB84"/>
        <color rgb="FF63BE7B"/>
      </colorScale>
    </cfRule>
    <cfRule type="cellIs" dxfId="3742" priority="5161" operator="equal">
      <formula>"Tax"</formula>
    </cfRule>
    <cfRule type="dataBar" priority="5177">
      <dataBar>
        <cfvo type="min"/>
        <cfvo type="max"/>
        <color rgb="FF638EC6"/>
      </dataBar>
    </cfRule>
    <cfRule type="colorScale" priority="5178">
      <colorScale>
        <cfvo type="min"/>
        <cfvo type="percentile" val="50"/>
        <cfvo type="max"/>
        <color rgb="FFF8696B"/>
        <color rgb="FFFFEB84"/>
        <color rgb="FF63BE7B"/>
      </colorScale>
    </cfRule>
  </conditionalFormatting>
  <conditionalFormatting sqref="F740">
    <cfRule type="dataBar" priority="5156">
      <dataBar>
        <cfvo type="min"/>
        <cfvo type="max"/>
        <color rgb="FF638EC6"/>
      </dataBar>
    </cfRule>
    <cfRule type="colorScale" priority="5157">
      <colorScale>
        <cfvo type="min"/>
        <cfvo type="percentile" val="50"/>
        <cfvo type="max"/>
        <color rgb="FFF8696B"/>
        <color rgb="FFFFEB84"/>
        <color rgb="FF63BE7B"/>
      </colorScale>
    </cfRule>
    <cfRule type="cellIs" dxfId="3741" priority="5158" operator="equal">
      <formula>"Tax"</formula>
    </cfRule>
  </conditionalFormatting>
  <conditionalFormatting sqref="F740:F741">
    <cfRule type="cellIs" dxfId="3740" priority="5105" operator="equal">
      <formula>"Cost of Sales"</formula>
    </cfRule>
    <cfRule type="cellIs" dxfId="3739" priority="5106" operator="equal">
      <formula>"Payroll"</formula>
    </cfRule>
    <cfRule type="cellIs" dxfId="3738" priority="5107" operator="equal">
      <formula>"Investment"</formula>
    </cfRule>
    <cfRule type="cellIs" dxfId="3737" priority="5108" operator="equal">
      <formula>"Sunk"</formula>
    </cfRule>
    <cfRule type="cellIs" dxfId="3736" priority="5109" operator="equal">
      <formula>"OpEx"</formula>
    </cfRule>
    <cfRule type="cellIs" dxfId="3735" priority="5110" operator="equal">
      <formula>"CapEx"</formula>
    </cfRule>
  </conditionalFormatting>
  <conditionalFormatting sqref="F741">
    <cfRule type="dataBar" priority="5101">
      <dataBar>
        <cfvo type="min"/>
        <cfvo type="max"/>
        <color rgb="FF638EC6"/>
      </dataBar>
    </cfRule>
    <cfRule type="colorScale" priority="5102">
      <colorScale>
        <cfvo type="min"/>
        <cfvo type="percentile" val="50"/>
        <cfvo type="max"/>
        <color rgb="FFF8696B"/>
        <color rgb="FFFFEB84"/>
        <color rgb="FF63BE7B"/>
      </colorScale>
    </cfRule>
    <cfRule type="cellIs" dxfId="3734" priority="5103" operator="equal">
      <formula>"Tax"</formula>
    </cfRule>
    <cfRule type="cellIs" dxfId="3733" priority="5104" operator="equal">
      <formula>"Income"</formula>
    </cfRule>
    <cfRule type="dataBar" priority="5111">
      <dataBar>
        <cfvo type="min"/>
        <cfvo type="max"/>
        <color rgb="FF638EC6"/>
      </dataBar>
    </cfRule>
    <cfRule type="colorScale" priority="5112">
      <colorScale>
        <cfvo type="min"/>
        <cfvo type="percentile" val="50"/>
        <cfvo type="max"/>
        <color rgb="FFF8696B"/>
        <color rgb="FFFFEB84"/>
        <color rgb="FF63BE7B"/>
      </colorScale>
    </cfRule>
    <cfRule type="cellIs" dxfId="3732" priority="5113" operator="equal">
      <formula>"Tax"</formula>
    </cfRule>
  </conditionalFormatting>
  <conditionalFormatting sqref="F741:F742">
    <cfRule type="cellIs" dxfId="3731" priority="5072" operator="equal">
      <formula>"Cost of Sales"</formula>
    </cfRule>
    <cfRule type="cellIs" dxfId="3730" priority="5073" operator="equal">
      <formula>"Payroll"</formula>
    </cfRule>
    <cfRule type="cellIs" dxfId="3729" priority="5074" operator="equal">
      <formula>"Investment"</formula>
    </cfRule>
    <cfRule type="cellIs" dxfId="3728" priority="5075" operator="equal">
      <formula>"Sunk"</formula>
    </cfRule>
    <cfRule type="cellIs" dxfId="3727" priority="5076" operator="equal">
      <formula>"OpEx"</formula>
    </cfRule>
    <cfRule type="cellIs" dxfId="3726" priority="5077" operator="equal">
      <formula>"CapEx"</formula>
    </cfRule>
    <cfRule type="cellIs" dxfId="3725" priority="5078" operator="equal">
      <formula>"Income"</formula>
    </cfRule>
  </conditionalFormatting>
  <conditionalFormatting sqref="F742">
    <cfRule type="dataBar" priority="5079">
      <dataBar>
        <cfvo type="min"/>
        <cfvo type="max"/>
        <color rgb="FF638EC6"/>
      </dataBar>
    </cfRule>
    <cfRule type="colorScale" priority="5080">
      <colorScale>
        <cfvo type="min"/>
        <cfvo type="percentile" val="50"/>
        <cfvo type="max"/>
        <color rgb="FFF8696B"/>
        <color rgb="FFFFEB84"/>
        <color rgb="FF63BE7B"/>
      </colorScale>
    </cfRule>
    <cfRule type="cellIs" dxfId="3724" priority="5081" operator="equal">
      <formula>"Tax"</formula>
    </cfRule>
  </conditionalFormatting>
  <conditionalFormatting sqref="F743">
    <cfRule type="dataBar" priority="5126">
      <dataBar>
        <cfvo type="min"/>
        <cfvo type="max"/>
        <color rgb="FF638EC6"/>
      </dataBar>
    </cfRule>
    <cfRule type="colorScale" priority="5127">
      <colorScale>
        <cfvo type="min"/>
        <cfvo type="percentile" val="50"/>
        <cfvo type="max"/>
        <color rgb="FFF8696B"/>
        <color rgb="FFFFEB84"/>
        <color rgb="FF63BE7B"/>
      </colorScale>
    </cfRule>
    <cfRule type="cellIs" dxfId="3723" priority="5128" operator="equal">
      <formula>"Tax"</formula>
    </cfRule>
    <cfRule type="cellIs" dxfId="3722" priority="5129" operator="equal">
      <formula>"Cost of Sales"</formula>
    </cfRule>
    <cfRule type="cellIs" dxfId="3721" priority="5130" operator="equal">
      <formula>"Payroll"</formula>
    </cfRule>
    <cfRule type="cellIs" dxfId="3720" priority="5131" operator="equal">
      <formula>"Investment"</formula>
    </cfRule>
    <cfRule type="cellIs" dxfId="3719" priority="5132" operator="equal">
      <formula>"Sunk"</formula>
    </cfRule>
    <cfRule type="cellIs" dxfId="3718" priority="5133" operator="equal">
      <formula>"OpEx"</formula>
    </cfRule>
    <cfRule type="cellIs" dxfId="3717" priority="5134" operator="equal">
      <formula>"CapEx"</formula>
    </cfRule>
    <cfRule type="cellIs" dxfId="3716" priority="5135" operator="equal">
      <formula>"Income"</formula>
    </cfRule>
  </conditionalFormatting>
  <conditionalFormatting sqref="F744">
    <cfRule type="dataBar" priority="4977">
      <dataBar>
        <cfvo type="min"/>
        <cfvo type="max"/>
        <color rgb="FF638EC6"/>
      </dataBar>
    </cfRule>
    <cfRule type="colorScale" priority="4978">
      <colorScale>
        <cfvo type="min"/>
        <cfvo type="percentile" val="50"/>
        <cfvo type="max"/>
        <color rgb="FFF8696B"/>
        <color rgb="FFFFEB84"/>
        <color rgb="FF63BE7B"/>
      </colorScale>
    </cfRule>
    <cfRule type="cellIs" dxfId="3715" priority="4979" operator="equal">
      <formula>"Tax"</formula>
    </cfRule>
    <cfRule type="cellIs" dxfId="3714" priority="4980" operator="equal">
      <formula>"Income"</formula>
    </cfRule>
    <cfRule type="cellIs" dxfId="3713" priority="4981" operator="equal">
      <formula>"Cost of Sales"</formula>
    </cfRule>
    <cfRule type="cellIs" dxfId="3712" priority="4982" operator="equal">
      <formula>"Payroll"</formula>
    </cfRule>
    <cfRule type="cellIs" dxfId="3711" priority="4983" operator="equal">
      <formula>"Investment"</formula>
    </cfRule>
    <cfRule type="cellIs" dxfId="3710" priority="4984" operator="equal">
      <formula>"Sunk"</formula>
    </cfRule>
    <cfRule type="cellIs" dxfId="3709" priority="4985" operator="equal">
      <formula>"OpEx"</formula>
    </cfRule>
    <cfRule type="cellIs" dxfId="3708" priority="4986" operator="equal">
      <formula>"CapEx"</formula>
    </cfRule>
    <cfRule type="dataBar" priority="4987">
      <dataBar>
        <cfvo type="min"/>
        <cfvo type="max"/>
        <color rgb="FF638EC6"/>
      </dataBar>
    </cfRule>
    <cfRule type="colorScale" priority="4988">
      <colorScale>
        <cfvo type="min"/>
        <cfvo type="percentile" val="50"/>
        <cfvo type="max"/>
        <color rgb="FFF8696B"/>
        <color rgb="FFFFEB84"/>
        <color rgb="FF63BE7B"/>
      </colorScale>
    </cfRule>
    <cfRule type="cellIs" dxfId="3707" priority="4989" operator="equal">
      <formula>"Tax"</formula>
    </cfRule>
    <cfRule type="cellIs" dxfId="3706" priority="4990" operator="equal">
      <formula>"Income"</formula>
    </cfRule>
    <cfRule type="dataBar" priority="4991">
      <dataBar>
        <cfvo type="min"/>
        <cfvo type="max"/>
        <color rgb="FF638EC6"/>
      </dataBar>
    </cfRule>
    <cfRule type="colorScale" priority="4992">
      <colorScale>
        <cfvo type="min"/>
        <cfvo type="percentile" val="50"/>
        <cfvo type="max"/>
        <color rgb="FFF8696B"/>
        <color rgb="FFFFEB84"/>
        <color rgb="FF63BE7B"/>
      </colorScale>
    </cfRule>
    <cfRule type="cellIs" dxfId="3705" priority="4993" operator="equal">
      <formula>"Tax"</formula>
    </cfRule>
    <cfRule type="cellIs" dxfId="3704" priority="4994" operator="equal">
      <formula>"Cost of Sales"</formula>
    </cfRule>
    <cfRule type="cellIs" dxfId="3703" priority="4995" operator="equal">
      <formula>"Payroll"</formula>
    </cfRule>
    <cfRule type="cellIs" dxfId="3702" priority="4996" operator="equal">
      <formula>"Investment"</formula>
    </cfRule>
    <cfRule type="cellIs" dxfId="3701" priority="4997" operator="equal">
      <formula>"Sunk"</formula>
    </cfRule>
    <cfRule type="cellIs" dxfId="3700" priority="4998" operator="equal">
      <formula>"OpEx"</formula>
    </cfRule>
    <cfRule type="cellIs" dxfId="3699" priority="4999" operator="equal">
      <formula>"CapEx"</formula>
    </cfRule>
  </conditionalFormatting>
  <conditionalFormatting sqref="F744:F747">
    <cfRule type="cellIs" dxfId="3698" priority="4939" operator="equal">
      <formula>"Cost of Sales"</formula>
    </cfRule>
    <cfRule type="cellIs" dxfId="3697" priority="4940" operator="equal">
      <formula>"Payroll"</formula>
    </cfRule>
    <cfRule type="cellIs" dxfId="3696" priority="4941" operator="equal">
      <formula>"Investment"</formula>
    </cfRule>
    <cfRule type="cellIs" dxfId="3695" priority="4942" operator="equal">
      <formula>"Sunk"</formula>
    </cfRule>
    <cfRule type="cellIs" dxfId="3694" priority="4943" operator="equal">
      <formula>"OpEx"</formula>
    </cfRule>
    <cfRule type="cellIs" dxfId="3693" priority="4944" operator="equal">
      <formula>"CapEx"</formula>
    </cfRule>
  </conditionalFormatting>
  <conditionalFormatting sqref="F744:F748 F760:F761">
    <cfRule type="cellIs" dxfId="3692" priority="4911" operator="equal">
      <formula>"Income"</formula>
    </cfRule>
  </conditionalFormatting>
  <conditionalFormatting sqref="F745">
    <cfRule type="dataBar" priority="4958">
      <dataBar>
        <cfvo type="min"/>
        <cfvo type="max"/>
        <color rgb="FF638EC6"/>
      </dataBar>
    </cfRule>
    <cfRule type="colorScale" priority="4959">
      <colorScale>
        <cfvo type="min"/>
        <cfvo type="percentile" val="50"/>
        <cfvo type="max"/>
        <color rgb="FFF8696B"/>
        <color rgb="FFFFEB84"/>
        <color rgb="FF63BE7B"/>
      </colorScale>
    </cfRule>
    <cfRule type="cellIs" dxfId="3691" priority="4965" operator="equal">
      <formula>"Tax"</formula>
    </cfRule>
  </conditionalFormatting>
  <conditionalFormatting sqref="F746">
    <cfRule type="dataBar" priority="4945">
      <dataBar>
        <cfvo type="min"/>
        <cfvo type="max"/>
        <color rgb="FF638EC6"/>
      </dataBar>
    </cfRule>
    <cfRule type="colorScale" priority="4946">
      <colorScale>
        <cfvo type="min"/>
        <cfvo type="percentile" val="50"/>
        <cfvo type="max"/>
        <color rgb="FFF8696B"/>
        <color rgb="FFFFEB84"/>
        <color rgb="FF63BE7B"/>
      </colorScale>
    </cfRule>
    <cfRule type="cellIs" dxfId="3690" priority="4947" operator="equal">
      <formula>"Tax"</formula>
    </cfRule>
  </conditionalFormatting>
  <conditionalFormatting sqref="F747">
    <cfRule type="dataBar" priority="4936">
      <dataBar>
        <cfvo type="min"/>
        <cfvo type="max"/>
        <color rgb="FF638EC6"/>
      </dataBar>
    </cfRule>
    <cfRule type="colorScale" priority="4937">
      <colorScale>
        <cfvo type="min"/>
        <cfvo type="percentile" val="50"/>
        <cfvo type="max"/>
        <color rgb="FFF8696B"/>
        <color rgb="FFFFEB84"/>
        <color rgb="FF63BE7B"/>
      </colorScale>
    </cfRule>
    <cfRule type="cellIs" dxfId="3689" priority="4938" operator="equal">
      <formula>"Tax"</formula>
    </cfRule>
  </conditionalFormatting>
  <conditionalFormatting sqref="F748 F760:F761">
    <cfRule type="cellIs" dxfId="3688" priority="4907" operator="equal">
      <formula>"Tax"</formula>
    </cfRule>
    <cfRule type="cellIs" dxfId="3687" priority="4910" operator="equal">
      <formula>"Tax"</formula>
    </cfRule>
    <cfRule type="cellIs" dxfId="3686" priority="4912" operator="equal">
      <formula>"Cost of Sales"</formula>
    </cfRule>
    <cfRule type="cellIs" dxfId="3685" priority="4913" operator="equal">
      <formula>"Payroll"</formula>
    </cfRule>
    <cfRule type="cellIs" dxfId="3684" priority="4914" operator="equal">
      <formula>"Investment"</formula>
    </cfRule>
    <cfRule type="cellIs" dxfId="3683" priority="4915" operator="equal">
      <formula>"Sunk"</formula>
    </cfRule>
    <cfRule type="cellIs" dxfId="3682" priority="4916" operator="equal">
      <formula>"OpEx"</formula>
    </cfRule>
    <cfRule type="cellIs" dxfId="3681" priority="4917" operator="equal">
      <formula>"CapEx"</formula>
    </cfRule>
  </conditionalFormatting>
  <conditionalFormatting sqref="F748:F751">
    <cfRule type="cellIs" dxfId="3680" priority="4824" operator="equal">
      <formula>"Income"</formula>
    </cfRule>
    <cfRule type="cellIs" dxfId="3679" priority="4828" operator="equal">
      <formula>"Cost of Sales"</formula>
    </cfRule>
    <cfRule type="cellIs" dxfId="3678" priority="4829" operator="equal">
      <formula>"Payroll"</formula>
    </cfRule>
    <cfRule type="cellIs" dxfId="3677" priority="4830" operator="equal">
      <formula>"Investment"</formula>
    </cfRule>
    <cfRule type="cellIs" dxfId="3676" priority="4831" operator="equal">
      <formula>"Sunk"</formula>
    </cfRule>
    <cfRule type="cellIs" dxfId="3675" priority="4832" operator="equal">
      <formula>"OpEx"</formula>
    </cfRule>
    <cfRule type="cellIs" dxfId="3674" priority="4833" operator="equal">
      <formula>"CapEx"</formula>
    </cfRule>
  </conditionalFormatting>
  <conditionalFormatting sqref="F749:F750">
    <cfRule type="dataBar" priority="4862">
      <dataBar>
        <cfvo type="min"/>
        <cfvo type="max"/>
        <color rgb="FF638EC6"/>
      </dataBar>
    </cfRule>
    <cfRule type="colorScale" priority="4863">
      <colorScale>
        <cfvo type="min"/>
        <cfvo type="percentile" val="50"/>
        <cfvo type="max"/>
        <color rgb="FFF8696B"/>
        <color rgb="FFFFEB84"/>
        <color rgb="FF63BE7B"/>
      </colorScale>
    </cfRule>
    <cfRule type="cellIs" dxfId="3673" priority="4864" operator="equal">
      <formula>"Tax"</formula>
    </cfRule>
  </conditionalFormatting>
  <conditionalFormatting sqref="F751">
    <cfRule type="dataBar" priority="4811">
      <dataBar>
        <cfvo type="min"/>
        <cfvo type="max"/>
        <color rgb="FF638EC6"/>
      </dataBar>
    </cfRule>
    <cfRule type="colorScale" priority="4812">
      <colorScale>
        <cfvo type="min"/>
        <cfvo type="percentile" val="50"/>
        <cfvo type="max"/>
        <color rgb="FFF8696B"/>
        <color rgb="FFFFEB84"/>
        <color rgb="FF63BE7B"/>
      </colorScale>
    </cfRule>
    <cfRule type="cellIs" dxfId="3672" priority="4813" operator="equal">
      <formula>"Tax"</formula>
    </cfRule>
    <cfRule type="cellIs" dxfId="3671" priority="4814" operator="equal">
      <formula>"Income"</formula>
    </cfRule>
    <cfRule type="cellIs" dxfId="3670" priority="4815" operator="equal">
      <formula>"Cost of Sales"</formula>
    </cfRule>
    <cfRule type="cellIs" dxfId="3669" priority="4816" operator="equal">
      <formula>"Payroll"</formula>
    </cfRule>
    <cfRule type="cellIs" dxfId="3668" priority="4817" operator="equal">
      <formula>"Investment"</formula>
    </cfRule>
    <cfRule type="cellIs" dxfId="3667" priority="4818" operator="equal">
      <formula>"Sunk"</formula>
    </cfRule>
    <cfRule type="cellIs" dxfId="3666" priority="4819" operator="equal">
      <formula>"OpEx"</formula>
    </cfRule>
    <cfRule type="cellIs" dxfId="3665" priority="4820" operator="equal">
      <formula>"CapEx"</formula>
    </cfRule>
    <cfRule type="dataBar" priority="4821">
      <dataBar>
        <cfvo type="min"/>
        <cfvo type="max"/>
        <color rgb="FF638EC6"/>
      </dataBar>
    </cfRule>
    <cfRule type="colorScale" priority="4822">
      <colorScale>
        <cfvo type="min"/>
        <cfvo type="percentile" val="50"/>
        <cfvo type="max"/>
        <color rgb="FFF8696B"/>
        <color rgb="FFFFEB84"/>
        <color rgb="FF63BE7B"/>
      </colorScale>
    </cfRule>
    <cfRule type="cellIs" dxfId="3664" priority="4823" operator="equal">
      <formula>"Tax"</formula>
    </cfRule>
    <cfRule type="dataBar" priority="4825">
      <dataBar>
        <cfvo type="min"/>
        <cfvo type="max"/>
        <color rgb="FF638EC6"/>
      </dataBar>
    </cfRule>
    <cfRule type="colorScale" priority="4826">
      <colorScale>
        <cfvo type="min"/>
        <cfvo type="percentile" val="50"/>
        <cfvo type="max"/>
        <color rgb="FFF8696B"/>
        <color rgb="FFFFEB84"/>
        <color rgb="FF63BE7B"/>
      </colorScale>
    </cfRule>
    <cfRule type="cellIs" dxfId="3663" priority="4827" operator="equal">
      <formula>"Tax"</formula>
    </cfRule>
  </conditionalFormatting>
  <conditionalFormatting sqref="F751:F752">
    <cfRule type="cellIs" dxfId="3662" priority="4792" operator="equal">
      <formula>"Income"</formula>
    </cfRule>
    <cfRule type="cellIs" dxfId="3661" priority="4793" operator="equal">
      <formula>"Cost of Sales"</formula>
    </cfRule>
    <cfRule type="cellIs" dxfId="3660" priority="4794" operator="equal">
      <formula>"Payroll"</formula>
    </cfRule>
    <cfRule type="cellIs" dxfId="3659" priority="4795" operator="equal">
      <formula>"Investment"</formula>
    </cfRule>
    <cfRule type="cellIs" dxfId="3658" priority="4796" operator="equal">
      <formula>"Sunk"</formula>
    </cfRule>
    <cfRule type="cellIs" dxfId="3657" priority="4797" operator="equal">
      <formula>"OpEx"</formula>
    </cfRule>
    <cfRule type="cellIs" dxfId="3656" priority="4798" operator="equal">
      <formula>"CapEx"</formula>
    </cfRule>
  </conditionalFormatting>
  <conditionalFormatting sqref="F752">
    <cfRule type="dataBar" priority="4789">
      <dataBar>
        <cfvo type="min"/>
        <cfvo type="max"/>
        <color rgb="FF638EC6"/>
      </dataBar>
    </cfRule>
    <cfRule type="colorScale" priority="4790">
      <colorScale>
        <cfvo type="min"/>
        <cfvo type="percentile" val="50"/>
        <cfvo type="max"/>
        <color rgb="FFF8696B"/>
        <color rgb="FFFFEB84"/>
        <color rgb="FF63BE7B"/>
      </colorScale>
    </cfRule>
    <cfRule type="cellIs" dxfId="3655" priority="4791" operator="equal">
      <formula>"Tax"</formula>
    </cfRule>
  </conditionalFormatting>
  <conditionalFormatting sqref="F753">
    <cfRule type="dataBar" priority="4872">
      <dataBar>
        <cfvo type="min"/>
        <cfvo type="max"/>
        <color rgb="FF638EC6"/>
      </dataBar>
    </cfRule>
    <cfRule type="colorScale" priority="4873">
      <colorScale>
        <cfvo type="min"/>
        <cfvo type="percentile" val="50"/>
        <cfvo type="max"/>
        <color rgb="FFF8696B"/>
        <color rgb="FFFFEB84"/>
        <color rgb="FF63BE7B"/>
      </colorScale>
    </cfRule>
    <cfRule type="cellIs" dxfId="3654" priority="4874" operator="equal">
      <formula>"Tax"</formula>
    </cfRule>
    <cfRule type="cellIs" dxfId="3653" priority="4875" operator="equal">
      <formula>"Income"</formula>
    </cfRule>
    <cfRule type="cellIs" dxfId="3652" priority="4876" operator="equal">
      <formula>"Cost of Sales"</formula>
    </cfRule>
    <cfRule type="cellIs" dxfId="3651" priority="4877" operator="equal">
      <formula>"Payroll"</formula>
    </cfRule>
    <cfRule type="cellIs" dxfId="3650" priority="4878" operator="equal">
      <formula>"Investment"</formula>
    </cfRule>
    <cfRule type="cellIs" dxfId="3649" priority="4879" operator="equal">
      <formula>"Sunk"</formula>
    </cfRule>
    <cfRule type="cellIs" dxfId="3648" priority="4880" operator="equal">
      <formula>"OpEx"</formula>
    </cfRule>
    <cfRule type="cellIs" dxfId="3647" priority="4881" operator="equal">
      <formula>"CapEx"</formula>
    </cfRule>
  </conditionalFormatting>
  <conditionalFormatting sqref="F754">
    <cfRule type="dataBar" priority="4770">
      <dataBar>
        <cfvo type="min"/>
        <cfvo type="max"/>
        <color rgb="FF638EC6"/>
      </dataBar>
    </cfRule>
    <cfRule type="colorScale" priority="4771">
      <colorScale>
        <cfvo type="min"/>
        <cfvo type="percentile" val="50"/>
        <cfvo type="max"/>
        <color rgb="FFF8696B"/>
        <color rgb="FFFFEB84"/>
        <color rgb="FF63BE7B"/>
      </colorScale>
    </cfRule>
    <cfRule type="cellIs" dxfId="3646" priority="4772" operator="equal">
      <formula>"Tax"</formula>
    </cfRule>
    <cfRule type="dataBar" priority="4773">
      <dataBar>
        <cfvo type="min"/>
        <cfvo type="max"/>
        <color rgb="FF638EC6"/>
      </dataBar>
    </cfRule>
    <cfRule type="colorScale" priority="4774">
      <colorScale>
        <cfvo type="min"/>
        <cfvo type="percentile" val="50"/>
        <cfvo type="max"/>
        <color rgb="FFF8696B"/>
        <color rgb="FFFFEB84"/>
        <color rgb="FF63BE7B"/>
      </colorScale>
    </cfRule>
    <cfRule type="cellIs" dxfId="3645" priority="4775" operator="equal">
      <formula>"Tax"</formula>
    </cfRule>
    <cfRule type="cellIs" dxfId="3644" priority="4776" operator="equal">
      <formula>"Cost of Sales"</formula>
    </cfRule>
    <cfRule type="cellIs" dxfId="3643" priority="4777" operator="equal">
      <formula>"Payroll"</formula>
    </cfRule>
    <cfRule type="cellIs" dxfId="3642" priority="4778" operator="equal">
      <formula>"Investment"</formula>
    </cfRule>
    <cfRule type="cellIs" dxfId="3641" priority="4779" operator="equal">
      <formula>"Sunk"</formula>
    </cfRule>
    <cfRule type="cellIs" dxfId="3640" priority="4780" operator="equal">
      <formula>"OpEx"</formula>
    </cfRule>
    <cfRule type="cellIs" dxfId="3639" priority="4781" operator="equal">
      <formula>"CapEx"</formula>
    </cfRule>
    <cfRule type="cellIs" dxfId="3638" priority="4782" operator="equal">
      <formula>"Income"</formula>
    </cfRule>
  </conditionalFormatting>
  <conditionalFormatting sqref="F754:F756">
    <cfRule type="cellIs" dxfId="3637" priority="4723" operator="equal">
      <formula>"Income"</formula>
    </cfRule>
    <cfRule type="cellIs" dxfId="3636" priority="4724" operator="equal">
      <formula>"Cost of Sales"</formula>
    </cfRule>
    <cfRule type="cellIs" dxfId="3635" priority="4725" operator="equal">
      <formula>"Payroll"</formula>
    </cfRule>
    <cfRule type="cellIs" dxfId="3634" priority="4726" operator="equal">
      <formula>"Investment"</formula>
    </cfRule>
    <cfRule type="cellIs" dxfId="3633" priority="4727" operator="equal">
      <formula>"Sunk"</formula>
    </cfRule>
    <cfRule type="cellIs" dxfId="3632" priority="4728" operator="equal">
      <formula>"OpEx"</formula>
    </cfRule>
    <cfRule type="cellIs" dxfId="3631" priority="4729" operator="equal">
      <formula>"CapEx"</formula>
    </cfRule>
  </conditionalFormatting>
  <conditionalFormatting sqref="F755">
    <cfRule type="dataBar" priority="4749">
      <dataBar>
        <cfvo type="min"/>
        <cfvo type="max"/>
        <color rgb="FF638EC6"/>
      </dataBar>
    </cfRule>
    <cfRule type="colorScale" priority="4750">
      <colorScale>
        <cfvo type="min"/>
        <cfvo type="percentile" val="50"/>
        <cfvo type="max"/>
        <color rgb="FFF8696B"/>
        <color rgb="FFFFEB84"/>
        <color rgb="FF63BE7B"/>
      </colorScale>
    </cfRule>
    <cfRule type="cellIs" dxfId="3630" priority="4751" operator="equal">
      <formula>"Tax"</formula>
    </cfRule>
  </conditionalFormatting>
  <conditionalFormatting sqref="F756">
    <cfRule type="dataBar" priority="4720">
      <dataBar>
        <cfvo type="min"/>
        <cfvo type="max"/>
        <color rgb="FF638EC6"/>
      </dataBar>
    </cfRule>
    <cfRule type="colorScale" priority="4721">
      <colorScale>
        <cfvo type="min"/>
        <cfvo type="percentile" val="50"/>
        <cfvo type="max"/>
        <color rgb="FFF8696B"/>
        <color rgb="FFFFEB84"/>
        <color rgb="FF63BE7B"/>
      </colorScale>
    </cfRule>
    <cfRule type="cellIs" dxfId="3629" priority="4722" operator="equal">
      <formula>"Tax"</formula>
    </cfRule>
  </conditionalFormatting>
  <conditionalFormatting sqref="F757">
    <cfRule type="dataBar" priority="4703">
      <dataBar>
        <cfvo type="min"/>
        <cfvo type="max"/>
        <color rgb="FF638EC6"/>
      </dataBar>
    </cfRule>
    <cfRule type="colorScale" priority="4704">
      <colorScale>
        <cfvo type="min"/>
        <cfvo type="percentile" val="50"/>
        <cfvo type="max"/>
        <color rgb="FFF8696B"/>
        <color rgb="FFFFEB84"/>
        <color rgb="FF63BE7B"/>
      </colorScale>
    </cfRule>
    <cfRule type="cellIs" dxfId="3628" priority="4705" operator="equal">
      <formula>"Tax"</formula>
    </cfRule>
    <cfRule type="cellIs" dxfId="3627" priority="4706" operator="equal">
      <formula>"Cost of Sales"</formula>
    </cfRule>
    <cfRule type="cellIs" dxfId="3626" priority="4707" operator="equal">
      <formula>"Payroll"</formula>
    </cfRule>
    <cfRule type="cellIs" dxfId="3625" priority="4708" operator="equal">
      <formula>"Investment"</formula>
    </cfRule>
    <cfRule type="cellIs" dxfId="3624" priority="4709" operator="equal">
      <formula>"Sunk"</formula>
    </cfRule>
    <cfRule type="cellIs" dxfId="3623" priority="4710" operator="equal">
      <formula>"OpEx"</formula>
    </cfRule>
    <cfRule type="cellIs" dxfId="3622" priority="4711" operator="equal">
      <formula>"CapEx"</formula>
    </cfRule>
    <cfRule type="cellIs" dxfId="3621" priority="4712" operator="equal">
      <formula>"Income"</formula>
    </cfRule>
  </conditionalFormatting>
  <conditionalFormatting sqref="F758">
    <cfRule type="dataBar" priority="4689">
      <dataBar>
        <cfvo type="min"/>
        <cfvo type="max"/>
        <color rgb="FF638EC6"/>
      </dataBar>
    </cfRule>
    <cfRule type="colorScale" priority="4690">
      <colorScale>
        <cfvo type="min"/>
        <cfvo type="percentile" val="50"/>
        <cfvo type="max"/>
        <color rgb="FFF8696B"/>
        <color rgb="FFFFEB84"/>
        <color rgb="FF63BE7B"/>
      </colorScale>
    </cfRule>
    <cfRule type="cellIs" dxfId="3620" priority="4691" operator="equal">
      <formula>"Tax"</formula>
    </cfRule>
  </conditionalFormatting>
  <conditionalFormatting sqref="F758:F761">
    <cfRule type="cellIs" dxfId="3619" priority="4681" operator="equal">
      <formula>"Cost of Sales"</formula>
    </cfRule>
    <cfRule type="cellIs" dxfId="3618" priority="4682" operator="equal">
      <formula>"Payroll"</formula>
    </cfRule>
    <cfRule type="cellIs" dxfId="3617" priority="4683" operator="equal">
      <formula>"Investment"</formula>
    </cfRule>
    <cfRule type="cellIs" dxfId="3616" priority="4684" operator="equal">
      <formula>"Sunk"</formula>
    </cfRule>
    <cfRule type="cellIs" dxfId="3615" priority="4685" operator="equal">
      <formula>"OpEx"</formula>
    </cfRule>
    <cfRule type="cellIs" dxfId="3614" priority="4686" operator="equal">
      <formula>"CapEx"</formula>
    </cfRule>
    <cfRule type="cellIs" dxfId="3613" priority="4687" operator="equal">
      <formula>"Income"</formula>
    </cfRule>
  </conditionalFormatting>
  <conditionalFormatting sqref="F759">
    <cfRule type="dataBar" priority="4678">
      <dataBar>
        <cfvo type="min"/>
        <cfvo type="max"/>
        <color rgb="FF638EC6"/>
      </dataBar>
    </cfRule>
    <cfRule type="colorScale" priority="4679">
      <colorScale>
        <cfvo type="min"/>
        <cfvo type="percentile" val="50"/>
        <cfvo type="max"/>
        <color rgb="FFF8696B"/>
        <color rgb="FFFFEB84"/>
        <color rgb="FF63BE7B"/>
      </colorScale>
    </cfRule>
    <cfRule type="cellIs" dxfId="3612" priority="4680" operator="equal">
      <formula>"Tax"</formula>
    </cfRule>
  </conditionalFormatting>
  <conditionalFormatting sqref="F760:F761 F748">
    <cfRule type="dataBar" priority="4905">
      <dataBar>
        <cfvo type="min"/>
        <cfvo type="max"/>
        <color rgb="FF638EC6"/>
      </dataBar>
    </cfRule>
    <cfRule type="colorScale" priority="4906">
      <colorScale>
        <cfvo type="min"/>
        <cfvo type="percentile" val="50"/>
        <cfvo type="max"/>
        <color rgb="FFF8696B"/>
        <color rgb="FFFFEB84"/>
        <color rgb="FF63BE7B"/>
      </colorScale>
    </cfRule>
    <cfRule type="dataBar" priority="4908">
      <dataBar>
        <cfvo type="min"/>
        <cfvo type="max"/>
        <color rgb="FF638EC6"/>
      </dataBar>
    </cfRule>
    <cfRule type="colorScale" priority="4909">
      <colorScale>
        <cfvo type="min"/>
        <cfvo type="percentile" val="50"/>
        <cfvo type="max"/>
        <color rgb="FFF8696B"/>
        <color rgb="FFFFEB84"/>
        <color rgb="FF63BE7B"/>
      </colorScale>
    </cfRule>
  </conditionalFormatting>
  <conditionalFormatting sqref="F762:F763">
    <cfRule type="dataBar" priority="4630">
      <dataBar>
        <cfvo type="min"/>
        <cfvo type="max"/>
        <color rgb="FF638EC6"/>
      </dataBar>
    </cfRule>
    <cfRule type="colorScale" priority="4631">
      <colorScale>
        <cfvo type="min"/>
        <cfvo type="percentile" val="50"/>
        <cfvo type="max"/>
        <color rgb="FFF8696B"/>
        <color rgb="FFFFEB84"/>
        <color rgb="FF63BE7B"/>
      </colorScale>
    </cfRule>
    <cfRule type="cellIs" dxfId="3611" priority="4632" operator="equal">
      <formula>"Tax"</formula>
    </cfRule>
    <cfRule type="cellIs" dxfId="3610" priority="4633" operator="equal">
      <formula>"Cost of Sales"</formula>
    </cfRule>
    <cfRule type="cellIs" dxfId="3609" priority="4634" operator="equal">
      <formula>"Payroll"</formula>
    </cfRule>
    <cfRule type="cellIs" dxfId="3608" priority="4635" operator="equal">
      <formula>"Investment"</formula>
    </cfRule>
    <cfRule type="cellIs" dxfId="3607" priority="4636" operator="equal">
      <formula>"Sunk"</formula>
    </cfRule>
    <cfRule type="cellIs" dxfId="3606" priority="4637" operator="equal">
      <formula>"OpEx"</formula>
    </cfRule>
    <cfRule type="cellIs" dxfId="3605" priority="4638" operator="equal">
      <formula>"CapEx"</formula>
    </cfRule>
    <cfRule type="cellIs" dxfId="3604" priority="4639" operator="equal">
      <formula>"Income"</formula>
    </cfRule>
    <cfRule type="dataBar" priority="4647">
      <dataBar>
        <cfvo type="min"/>
        <cfvo type="max"/>
        <color rgb="FF638EC6"/>
      </dataBar>
    </cfRule>
    <cfRule type="colorScale" priority="4648">
      <colorScale>
        <cfvo type="min"/>
        <cfvo type="percentile" val="50"/>
        <cfvo type="max"/>
        <color rgb="FFF8696B"/>
        <color rgb="FFFFEB84"/>
        <color rgb="FF63BE7B"/>
      </colorScale>
    </cfRule>
    <cfRule type="cellIs" dxfId="3603" priority="4649" operator="equal">
      <formula>"Tax"</formula>
    </cfRule>
  </conditionalFormatting>
  <conditionalFormatting sqref="F764">
    <cfRule type="dataBar" priority="4609">
      <dataBar>
        <cfvo type="min"/>
        <cfvo type="max"/>
        <color rgb="FF638EC6"/>
      </dataBar>
    </cfRule>
    <cfRule type="colorScale" priority="4610">
      <colorScale>
        <cfvo type="min"/>
        <cfvo type="percentile" val="50"/>
        <cfvo type="max"/>
        <color rgb="FFF8696B"/>
        <color rgb="FFFFEB84"/>
        <color rgb="FF63BE7B"/>
      </colorScale>
    </cfRule>
    <cfRule type="cellIs" dxfId="3602" priority="4611" operator="equal">
      <formula>"Tax"</formula>
    </cfRule>
    <cfRule type="cellIs" dxfId="3601" priority="4612" operator="equal">
      <formula>"Income"</formula>
    </cfRule>
    <cfRule type="cellIs" dxfId="3600" priority="4613" operator="equal">
      <formula>"Cost of Sales"</formula>
    </cfRule>
    <cfRule type="cellIs" dxfId="3599" priority="4614" operator="equal">
      <formula>"Payroll"</formula>
    </cfRule>
    <cfRule type="cellIs" dxfId="3598" priority="4615" operator="equal">
      <formula>"Investment"</formula>
    </cfRule>
    <cfRule type="cellIs" dxfId="3597" priority="4616" operator="equal">
      <formula>"Sunk"</formula>
    </cfRule>
    <cfRule type="cellIs" dxfId="3596" priority="4617" operator="equal">
      <formula>"OpEx"</formula>
    </cfRule>
    <cfRule type="cellIs" dxfId="3595" priority="4618" operator="equal">
      <formula>"CapEx"</formula>
    </cfRule>
  </conditionalFormatting>
  <conditionalFormatting sqref="F765">
    <cfRule type="dataBar" priority="4599">
      <dataBar>
        <cfvo type="min"/>
        <cfvo type="max"/>
        <color rgb="FF638EC6"/>
      </dataBar>
    </cfRule>
    <cfRule type="colorScale" priority="4600">
      <colorScale>
        <cfvo type="min"/>
        <cfvo type="percentile" val="50"/>
        <cfvo type="max"/>
        <color rgb="FFF8696B"/>
        <color rgb="FFFFEB84"/>
        <color rgb="FF63BE7B"/>
      </colorScale>
    </cfRule>
    <cfRule type="cellIs" dxfId="3594" priority="4601" operator="equal">
      <formula>"Tax"</formula>
    </cfRule>
    <cfRule type="cellIs" dxfId="3593" priority="4602" operator="equal">
      <formula>"Income"</formula>
    </cfRule>
    <cfRule type="cellIs" dxfId="3592" priority="4603" operator="equal">
      <formula>"Cost of Sales"</formula>
    </cfRule>
    <cfRule type="cellIs" dxfId="3591" priority="4604" operator="equal">
      <formula>"Payroll"</formula>
    </cfRule>
    <cfRule type="cellIs" dxfId="3590" priority="4605" operator="equal">
      <formula>"Investment"</formula>
    </cfRule>
    <cfRule type="cellIs" dxfId="3589" priority="4606" operator="equal">
      <formula>"Sunk"</formula>
    </cfRule>
    <cfRule type="cellIs" dxfId="3588" priority="4607" operator="equal">
      <formula>"OpEx"</formula>
    </cfRule>
    <cfRule type="cellIs" dxfId="3587" priority="4608" operator="equal">
      <formula>"CapEx"</formula>
    </cfRule>
  </conditionalFormatting>
  <conditionalFormatting sqref="F766">
    <cfRule type="dataBar" priority="4578">
      <dataBar>
        <cfvo type="min"/>
        <cfvo type="max"/>
        <color rgb="FF638EC6"/>
      </dataBar>
    </cfRule>
    <cfRule type="colorScale" priority="4579">
      <colorScale>
        <cfvo type="min"/>
        <cfvo type="percentile" val="50"/>
        <cfvo type="max"/>
        <color rgb="FFF8696B"/>
        <color rgb="FFFFEB84"/>
        <color rgb="FF63BE7B"/>
      </colorScale>
    </cfRule>
    <cfRule type="cellIs" dxfId="3586" priority="4580" operator="equal">
      <formula>"Tax"</formula>
    </cfRule>
    <cfRule type="cellIs" dxfId="3585" priority="4587" operator="equal">
      <formula>"Income"</formula>
    </cfRule>
  </conditionalFormatting>
  <conditionalFormatting sqref="F766:F768">
    <cfRule type="cellIs" dxfId="3584" priority="4581" operator="equal">
      <formula>"Cost of Sales"</formula>
    </cfRule>
    <cfRule type="cellIs" dxfId="3583" priority="4582" operator="equal">
      <formula>"Payroll"</formula>
    </cfRule>
    <cfRule type="cellIs" dxfId="3582" priority="4583" operator="equal">
      <formula>"Investment"</formula>
    </cfRule>
    <cfRule type="cellIs" dxfId="3581" priority="4584" operator="equal">
      <formula>"Sunk"</formula>
    </cfRule>
    <cfRule type="cellIs" dxfId="3580" priority="4585" operator="equal">
      <formula>"OpEx"</formula>
    </cfRule>
    <cfRule type="cellIs" dxfId="3579" priority="4586" operator="equal">
      <formula>"CapEx"</formula>
    </cfRule>
  </conditionalFormatting>
  <conditionalFormatting sqref="F767">
    <cfRule type="dataBar" priority="4574">
      <dataBar>
        <cfvo type="min"/>
        <cfvo type="max"/>
        <color rgb="FF638EC6"/>
      </dataBar>
    </cfRule>
    <cfRule type="colorScale" priority="4575">
      <colorScale>
        <cfvo type="min"/>
        <cfvo type="percentile" val="50"/>
        <cfvo type="max"/>
        <color rgb="FFF8696B"/>
        <color rgb="FFFFEB84"/>
        <color rgb="FF63BE7B"/>
      </colorScale>
    </cfRule>
    <cfRule type="cellIs" dxfId="3578" priority="4576" operator="equal">
      <formula>"Tax"</formula>
    </cfRule>
  </conditionalFormatting>
  <conditionalFormatting sqref="F767:F768">
    <cfRule type="cellIs" dxfId="3577" priority="4577" operator="equal">
      <formula>"Income"</formula>
    </cfRule>
  </conditionalFormatting>
  <conditionalFormatting sqref="F768 F780:F781">
    <cfRule type="cellIs" dxfId="3576" priority="4563" operator="equal">
      <formula>"Tax"</formula>
    </cfRule>
  </conditionalFormatting>
  <conditionalFormatting sqref="F769">
    <cfRule type="dataBar" priority="4536">
      <dataBar>
        <cfvo type="min"/>
        <cfvo type="max"/>
        <color rgb="FF638EC6"/>
      </dataBar>
    </cfRule>
    <cfRule type="colorScale" priority="4537">
      <colorScale>
        <cfvo type="min"/>
        <cfvo type="percentile" val="50"/>
        <cfvo type="max"/>
        <color rgb="FFF8696B"/>
        <color rgb="FFFFEB84"/>
        <color rgb="FF63BE7B"/>
      </colorScale>
    </cfRule>
    <cfRule type="cellIs" dxfId="3575" priority="4538" operator="equal">
      <formula>"Tax"</formula>
    </cfRule>
  </conditionalFormatting>
  <conditionalFormatting sqref="F769:F770">
    <cfRule type="cellIs" dxfId="3574" priority="4459" operator="equal">
      <formula>"Income"</formula>
    </cfRule>
    <cfRule type="cellIs" dxfId="3573" priority="4460" operator="equal">
      <formula>"Cost of Sales"</formula>
    </cfRule>
    <cfRule type="cellIs" dxfId="3572" priority="4461" operator="equal">
      <formula>"Payroll"</formula>
    </cfRule>
    <cfRule type="cellIs" dxfId="3571" priority="4462" operator="equal">
      <formula>"Investment"</formula>
    </cfRule>
    <cfRule type="cellIs" dxfId="3570" priority="4463" operator="equal">
      <formula>"Sunk"</formula>
    </cfRule>
    <cfRule type="cellIs" dxfId="3569" priority="4464" operator="equal">
      <formula>"OpEx"</formula>
    </cfRule>
    <cfRule type="cellIs" dxfId="3568" priority="4465" operator="equal">
      <formula>"CapEx"</formula>
    </cfRule>
  </conditionalFormatting>
  <conditionalFormatting sqref="F770">
    <cfRule type="dataBar" priority="4456">
      <dataBar>
        <cfvo type="min"/>
        <cfvo type="max"/>
        <color rgb="FF638EC6"/>
      </dataBar>
    </cfRule>
    <cfRule type="colorScale" priority="4457">
      <colorScale>
        <cfvo type="min"/>
        <cfvo type="percentile" val="50"/>
        <cfvo type="max"/>
        <color rgb="FFF8696B"/>
        <color rgb="FFFFEB84"/>
        <color rgb="FF63BE7B"/>
      </colorScale>
    </cfRule>
    <cfRule type="cellIs" dxfId="3567" priority="4458" operator="equal">
      <formula>"Tax"</formula>
    </cfRule>
  </conditionalFormatting>
  <conditionalFormatting sqref="F771">
    <cfRule type="dataBar" priority="4447">
      <dataBar>
        <cfvo type="min"/>
        <cfvo type="max"/>
        <color rgb="FF638EC6"/>
      </dataBar>
    </cfRule>
    <cfRule type="colorScale" priority="4448">
      <colorScale>
        <cfvo type="min"/>
        <cfvo type="percentile" val="50"/>
        <cfvo type="max"/>
        <color rgb="FFF8696B"/>
        <color rgb="FFFFEB84"/>
        <color rgb="FF63BE7B"/>
      </colorScale>
    </cfRule>
  </conditionalFormatting>
  <conditionalFormatting sqref="F771:F772">
    <cfRule type="cellIs" dxfId="3566" priority="4449" operator="equal">
      <formula>"Cost of Sales"</formula>
    </cfRule>
    <cfRule type="cellIs" dxfId="3565" priority="4450" operator="equal">
      <formula>"Payroll"</formula>
    </cfRule>
    <cfRule type="cellIs" dxfId="3564" priority="4451" operator="equal">
      <formula>"Investment"</formula>
    </cfRule>
    <cfRule type="cellIs" dxfId="3563" priority="4452" operator="equal">
      <formula>"Sunk"</formula>
    </cfRule>
    <cfRule type="cellIs" dxfId="3562" priority="4453" operator="equal">
      <formula>"OpEx"</formula>
    </cfRule>
    <cfRule type="cellIs" dxfId="3561" priority="4454" operator="equal">
      <formula>"CapEx"</formula>
    </cfRule>
    <cfRule type="cellIs" dxfId="3560" priority="4455" operator="equal">
      <formula>"Income"</formula>
    </cfRule>
  </conditionalFormatting>
  <conditionalFormatting sqref="F771:F773">
    <cfRule type="cellIs" dxfId="3559" priority="4438" operator="equal">
      <formula>"Tax"</formula>
    </cfRule>
  </conditionalFormatting>
  <conditionalFormatting sqref="F772">
    <cfRule type="dataBar" priority="4406">
      <dataBar>
        <cfvo type="min"/>
        <cfvo type="max"/>
        <color rgb="FF638EC6"/>
      </dataBar>
    </cfRule>
    <cfRule type="colorScale" priority="4407">
      <colorScale>
        <cfvo type="min"/>
        <cfvo type="percentile" val="50"/>
        <cfvo type="max"/>
        <color rgb="FFF8696B"/>
        <color rgb="FFFFEB84"/>
        <color rgb="FF63BE7B"/>
      </colorScale>
    </cfRule>
  </conditionalFormatting>
  <conditionalFormatting sqref="F773">
    <cfRule type="dataBar" priority="4436">
      <dataBar>
        <cfvo type="min"/>
        <cfvo type="max"/>
        <color rgb="FF638EC6"/>
      </dataBar>
    </cfRule>
    <cfRule type="colorScale" priority="4437">
      <colorScale>
        <cfvo type="min"/>
        <cfvo type="percentile" val="50"/>
        <cfvo type="max"/>
        <color rgb="FFF8696B"/>
        <color rgb="FFFFEB84"/>
        <color rgb="FF63BE7B"/>
      </colorScale>
    </cfRule>
    <cfRule type="cellIs" dxfId="3558" priority="4439" operator="equal">
      <formula>"Cost of Sales"</formula>
    </cfRule>
    <cfRule type="cellIs" dxfId="3557" priority="4440" operator="equal">
      <formula>"Payroll"</formula>
    </cfRule>
    <cfRule type="cellIs" dxfId="3556" priority="4441" operator="equal">
      <formula>"Investment"</formula>
    </cfRule>
    <cfRule type="cellIs" dxfId="3555" priority="4442" operator="equal">
      <formula>"Sunk"</formula>
    </cfRule>
    <cfRule type="cellIs" dxfId="3554" priority="4443" operator="equal">
      <formula>"OpEx"</formula>
    </cfRule>
    <cfRule type="cellIs" dxfId="3553" priority="4444" operator="equal">
      <formula>"CapEx"</formula>
    </cfRule>
    <cfRule type="cellIs" dxfId="3552" priority="4445" operator="equal">
      <formula>"Income"</formula>
    </cfRule>
  </conditionalFormatting>
  <conditionalFormatting sqref="F774">
    <cfRule type="dataBar" priority="4426">
      <dataBar>
        <cfvo type="min"/>
        <cfvo type="max"/>
        <color rgb="FF638EC6"/>
      </dataBar>
    </cfRule>
    <cfRule type="colorScale" priority="4427">
      <colorScale>
        <cfvo type="min"/>
        <cfvo type="percentile" val="50"/>
        <cfvo type="max"/>
        <color rgb="FFF8696B"/>
        <color rgb="FFFFEB84"/>
        <color rgb="FF63BE7B"/>
      </colorScale>
    </cfRule>
    <cfRule type="cellIs" dxfId="3551" priority="4428" operator="equal">
      <formula>"Tax"</formula>
    </cfRule>
    <cfRule type="cellIs" dxfId="3550" priority="4429" operator="equal">
      <formula>"Income"</formula>
    </cfRule>
    <cfRule type="cellIs" dxfId="3549" priority="4430" operator="equal">
      <formula>"Cost of Sales"</formula>
    </cfRule>
    <cfRule type="cellIs" dxfId="3548" priority="4431" operator="equal">
      <formula>"Payroll"</formula>
    </cfRule>
    <cfRule type="cellIs" dxfId="3547" priority="4432" operator="equal">
      <formula>"Investment"</formula>
    </cfRule>
    <cfRule type="cellIs" dxfId="3546" priority="4433" operator="equal">
      <formula>"Sunk"</formula>
    </cfRule>
    <cfRule type="cellIs" dxfId="3545" priority="4434" operator="equal">
      <formula>"OpEx"</formula>
    </cfRule>
    <cfRule type="cellIs" dxfId="3544" priority="4435" operator="equal">
      <formula>"CapEx"</formula>
    </cfRule>
  </conditionalFormatting>
  <conditionalFormatting sqref="F775">
    <cfRule type="dataBar" priority="4423">
      <dataBar>
        <cfvo type="min"/>
        <cfvo type="max"/>
        <color rgb="FF638EC6"/>
      </dataBar>
    </cfRule>
    <cfRule type="colorScale" priority="4424">
      <colorScale>
        <cfvo type="min"/>
        <cfvo type="percentile" val="50"/>
        <cfvo type="max"/>
        <color rgb="FFF8696B"/>
        <color rgb="FFFFEB84"/>
        <color rgb="FF63BE7B"/>
      </colorScale>
    </cfRule>
    <cfRule type="cellIs" dxfId="3543" priority="4425" operator="equal">
      <formula>"Tax"</formula>
    </cfRule>
  </conditionalFormatting>
  <conditionalFormatting sqref="F775:F776">
    <cfRule type="cellIs" dxfId="3542" priority="4398" operator="equal">
      <formula>"Income"</formula>
    </cfRule>
    <cfRule type="cellIs" dxfId="3541" priority="4399" operator="equal">
      <formula>"Cost of Sales"</formula>
    </cfRule>
    <cfRule type="cellIs" dxfId="3540" priority="4400" operator="equal">
      <formula>"Payroll"</formula>
    </cfRule>
    <cfRule type="cellIs" dxfId="3539" priority="4401" operator="equal">
      <formula>"Investment"</formula>
    </cfRule>
    <cfRule type="cellIs" dxfId="3538" priority="4402" operator="equal">
      <formula>"Sunk"</formula>
    </cfRule>
    <cfRule type="cellIs" dxfId="3537" priority="4403" operator="equal">
      <formula>"OpEx"</formula>
    </cfRule>
    <cfRule type="cellIs" dxfId="3536" priority="4404" operator="equal">
      <formula>"CapEx"</formula>
    </cfRule>
  </conditionalFormatting>
  <conditionalFormatting sqref="F776">
    <cfRule type="dataBar" priority="4395">
      <dataBar>
        <cfvo type="min"/>
        <cfvo type="max"/>
        <color rgb="FF638EC6"/>
      </dataBar>
    </cfRule>
    <cfRule type="colorScale" priority="4396">
      <colorScale>
        <cfvo type="min"/>
        <cfvo type="percentile" val="50"/>
        <cfvo type="max"/>
        <color rgb="FFF8696B"/>
        <color rgb="FFFFEB84"/>
        <color rgb="FF63BE7B"/>
      </colorScale>
    </cfRule>
    <cfRule type="cellIs" dxfId="3535" priority="4397" operator="equal">
      <formula>"Tax"</formula>
    </cfRule>
  </conditionalFormatting>
  <conditionalFormatting sqref="F777">
    <cfRule type="dataBar" priority="4374">
      <dataBar>
        <cfvo type="min"/>
        <cfvo type="max"/>
        <color rgb="FF638EC6"/>
      </dataBar>
    </cfRule>
    <cfRule type="colorScale" priority="4375">
      <colorScale>
        <cfvo type="min"/>
        <cfvo type="percentile" val="50"/>
        <cfvo type="max"/>
        <color rgb="FFF8696B"/>
        <color rgb="FFFFEB84"/>
        <color rgb="FF63BE7B"/>
      </colorScale>
    </cfRule>
  </conditionalFormatting>
  <conditionalFormatting sqref="F777:F778">
    <cfRule type="cellIs" dxfId="3534" priority="4341" operator="equal">
      <formula>"Tax"</formula>
    </cfRule>
    <cfRule type="cellIs" dxfId="3533" priority="4376" operator="equal">
      <formula>"Cost of Sales"</formula>
    </cfRule>
    <cfRule type="cellIs" dxfId="3532" priority="4377" operator="equal">
      <formula>"Payroll"</formula>
    </cfRule>
    <cfRule type="cellIs" dxfId="3531" priority="4378" operator="equal">
      <formula>"Investment"</formula>
    </cfRule>
    <cfRule type="cellIs" dxfId="3530" priority="4379" operator="equal">
      <formula>"Sunk"</formula>
    </cfRule>
    <cfRule type="cellIs" dxfId="3529" priority="4380" operator="equal">
      <formula>"OpEx"</formula>
    </cfRule>
    <cfRule type="cellIs" dxfId="3528" priority="4381" operator="equal">
      <formula>"CapEx"</formula>
    </cfRule>
    <cfRule type="cellIs" dxfId="3527" priority="4382" operator="equal">
      <formula>"Income"</formula>
    </cfRule>
  </conditionalFormatting>
  <conditionalFormatting sqref="F778">
    <cfRule type="dataBar" priority="4336">
      <dataBar>
        <cfvo type="min"/>
        <cfvo type="max"/>
        <color rgb="FF638EC6"/>
      </dataBar>
    </cfRule>
    <cfRule type="colorScale" priority="4337">
      <colorScale>
        <cfvo type="min"/>
        <cfvo type="percentile" val="50"/>
        <cfvo type="max"/>
        <color rgb="FFF8696B"/>
        <color rgb="FFFFEB84"/>
        <color rgb="FF63BE7B"/>
      </colorScale>
    </cfRule>
    <cfRule type="cellIs" dxfId="3526" priority="4338" operator="equal">
      <formula>"Tax"</formula>
    </cfRule>
    <cfRule type="dataBar" priority="4339">
      <dataBar>
        <cfvo type="min"/>
        <cfvo type="max"/>
        <color rgb="FF638EC6"/>
      </dataBar>
    </cfRule>
    <cfRule type="colorScale" priority="4340">
      <colorScale>
        <cfvo type="min"/>
        <cfvo type="percentile" val="50"/>
        <cfvo type="max"/>
        <color rgb="FFF8696B"/>
        <color rgb="FFFFEB84"/>
        <color rgb="FF63BE7B"/>
      </colorScale>
    </cfRule>
  </conditionalFormatting>
  <conditionalFormatting sqref="F778:F779">
    <cfRule type="cellIs" dxfId="3525" priority="4311" operator="equal">
      <formula>"Income"</formula>
    </cfRule>
    <cfRule type="cellIs" dxfId="3524" priority="4312" operator="equal">
      <formula>"Cost of Sales"</formula>
    </cfRule>
    <cfRule type="cellIs" dxfId="3523" priority="4313" operator="equal">
      <formula>"Payroll"</formula>
    </cfRule>
    <cfRule type="cellIs" dxfId="3522" priority="4314" operator="equal">
      <formula>"Investment"</formula>
    </cfRule>
    <cfRule type="cellIs" dxfId="3521" priority="4315" operator="equal">
      <formula>"Sunk"</formula>
    </cfRule>
    <cfRule type="cellIs" dxfId="3520" priority="4316" operator="equal">
      <formula>"OpEx"</formula>
    </cfRule>
    <cfRule type="cellIs" dxfId="3519" priority="4317" operator="equal">
      <formula>"CapEx"</formula>
    </cfRule>
  </conditionalFormatting>
  <conditionalFormatting sqref="F779">
    <cfRule type="dataBar" priority="4308">
      <dataBar>
        <cfvo type="min"/>
        <cfvo type="max"/>
        <color rgb="FF638EC6"/>
      </dataBar>
    </cfRule>
    <cfRule type="colorScale" priority="4309">
      <colorScale>
        <cfvo type="min"/>
        <cfvo type="percentile" val="50"/>
        <cfvo type="max"/>
        <color rgb="FFF8696B"/>
        <color rgb="FFFFEB84"/>
        <color rgb="FF63BE7B"/>
      </colorScale>
    </cfRule>
    <cfRule type="cellIs" dxfId="3518" priority="4310" operator="equal">
      <formula>"Tax"</formula>
    </cfRule>
  </conditionalFormatting>
  <conditionalFormatting sqref="F780:F781 F768">
    <cfRule type="dataBar" priority="4561">
      <dataBar>
        <cfvo type="min"/>
        <cfvo type="max"/>
        <color rgb="FF638EC6"/>
      </dataBar>
    </cfRule>
    <cfRule type="colorScale" priority="4562">
      <colorScale>
        <cfvo type="min"/>
        <cfvo type="percentile" val="50"/>
        <cfvo type="max"/>
        <color rgb="FFF8696B"/>
        <color rgb="FFFFEB84"/>
        <color rgb="FF63BE7B"/>
      </colorScale>
    </cfRule>
  </conditionalFormatting>
  <conditionalFormatting sqref="F782 F736">
    <cfRule type="dataBar" priority="5276">
      <dataBar>
        <cfvo type="min"/>
        <cfvo type="max"/>
        <color rgb="FF638EC6"/>
      </dataBar>
    </cfRule>
    <cfRule type="colorScale" priority="5277">
      <colorScale>
        <cfvo type="min"/>
        <cfvo type="percentile" val="50"/>
        <cfvo type="max"/>
        <color rgb="FFF8696B"/>
        <color rgb="FFFFEB84"/>
        <color rgb="FF63BE7B"/>
      </colorScale>
    </cfRule>
  </conditionalFormatting>
  <conditionalFormatting sqref="F783">
    <cfRule type="dataBar" priority="4262">
      <dataBar>
        <cfvo type="min"/>
        <cfvo type="max"/>
        <color rgb="FF638EC6"/>
      </dataBar>
    </cfRule>
    <cfRule type="colorScale" priority="4263">
      <colorScale>
        <cfvo type="min"/>
        <cfvo type="percentile" val="50"/>
        <cfvo type="max"/>
        <color rgb="FFF8696B"/>
        <color rgb="FFFFEB84"/>
        <color rgb="FF63BE7B"/>
      </colorScale>
    </cfRule>
    <cfRule type="cellIs" dxfId="3517" priority="4264" operator="equal">
      <formula>"Tax"</formula>
    </cfRule>
    <cfRule type="cellIs" dxfId="3516" priority="4265" operator="equal">
      <formula>"Income"</formula>
    </cfRule>
    <cfRule type="cellIs" dxfId="3515" priority="4266" operator="equal">
      <formula>"Cost of Sales"</formula>
    </cfRule>
    <cfRule type="cellIs" dxfId="3514" priority="4267" operator="equal">
      <formula>"Payroll"</formula>
    </cfRule>
    <cfRule type="cellIs" dxfId="3513" priority="4268" operator="equal">
      <formula>"Investment"</formula>
    </cfRule>
    <cfRule type="cellIs" dxfId="3512" priority="4269" operator="equal">
      <formula>"Sunk"</formula>
    </cfRule>
    <cfRule type="cellIs" dxfId="3511" priority="4270" operator="equal">
      <formula>"OpEx"</formula>
    </cfRule>
    <cfRule type="cellIs" dxfId="3510" priority="4271" operator="equal">
      <formula>"CapEx"</formula>
    </cfRule>
  </conditionalFormatting>
  <conditionalFormatting sqref="F784">
    <cfRule type="dataBar" priority="4257">
      <dataBar>
        <cfvo type="min"/>
        <cfvo type="max"/>
        <color rgb="FF638EC6"/>
      </dataBar>
    </cfRule>
    <cfRule type="colorScale" priority="4258">
      <colorScale>
        <cfvo type="min"/>
        <cfvo type="percentile" val="50"/>
        <cfvo type="max"/>
        <color rgb="FFF8696B"/>
        <color rgb="FFFFEB84"/>
        <color rgb="FF63BE7B"/>
      </colorScale>
    </cfRule>
    <cfRule type="cellIs" dxfId="3509" priority="4259" operator="equal">
      <formula>"Tax"</formula>
    </cfRule>
    <cfRule type="cellIs" dxfId="3508" priority="4260" operator="equal">
      <formula>"Income"</formula>
    </cfRule>
  </conditionalFormatting>
  <conditionalFormatting sqref="F784:F785">
    <cfRule type="cellIs" dxfId="3507" priority="4251" operator="equal">
      <formula>"Cost of Sales"</formula>
    </cfRule>
    <cfRule type="cellIs" dxfId="3506" priority="4252" operator="equal">
      <formula>"Payroll"</formula>
    </cfRule>
    <cfRule type="cellIs" dxfId="3505" priority="4253" operator="equal">
      <formula>"Investment"</formula>
    </cfRule>
    <cfRule type="cellIs" dxfId="3504" priority="4254" operator="equal">
      <formula>"Sunk"</formula>
    </cfRule>
    <cfRule type="cellIs" dxfId="3503" priority="4255" operator="equal">
      <formula>"OpEx"</formula>
    </cfRule>
    <cfRule type="cellIs" dxfId="3502" priority="4256" operator="equal">
      <formula>"CapEx"</formula>
    </cfRule>
  </conditionalFormatting>
  <conditionalFormatting sqref="F785">
    <cfRule type="dataBar" priority="4248">
      <dataBar>
        <cfvo type="min"/>
        <cfvo type="max"/>
        <color rgb="FF638EC6"/>
      </dataBar>
    </cfRule>
    <cfRule type="colorScale" priority="4249">
      <colorScale>
        <cfvo type="min"/>
        <cfvo type="percentile" val="50"/>
        <cfvo type="max"/>
        <color rgb="FFF8696B"/>
        <color rgb="FFFFEB84"/>
        <color rgb="FF63BE7B"/>
      </colorScale>
    </cfRule>
    <cfRule type="cellIs" dxfId="3501" priority="4250" operator="equal">
      <formula>"Tax"</formula>
    </cfRule>
  </conditionalFormatting>
  <conditionalFormatting sqref="F785:F786">
    <cfRule type="cellIs" dxfId="3500" priority="4209" operator="equal">
      <formula>"Income"</formula>
    </cfRule>
  </conditionalFormatting>
  <conditionalFormatting sqref="F786">
    <cfRule type="cellIs" dxfId="3499" priority="4200" operator="equal">
      <formula>"Tax"</formula>
    </cfRule>
    <cfRule type="cellIs" dxfId="3498" priority="4201" operator="equal">
      <formula>"Cost of Sales"</formula>
    </cfRule>
    <cfRule type="cellIs" dxfId="3497" priority="4202" operator="equal">
      <formula>"Payroll"</formula>
    </cfRule>
    <cfRule type="cellIs" dxfId="3496" priority="4203" operator="equal">
      <formula>"Investment"</formula>
    </cfRule>
    <cfRule type="cellIs" dxfId="3495" priority="4204" operator="equal">
      <formula>"Sunk"</formula>
    </cfRule>
    <cfRule type="cellIs" dxfId="3494" priority="4205" operator="equal">
      <formula>"OpEx"</formula>
    </cfRule>
    <cfRule type="cellIs" dxfId="3493" priority="4206" operator="equal">
      <formula>"CapEx"</formula>
    </cfRule>
    <cfRule type="dataBar" priority="4207">
      <dataBar>
        <cfvo type="min"/>
        <cfvo type="max"/>
        <color rgb="FF638EC6"/>
      </dataBar>
    </cfRule>
    <cfRule type="colorScale" priority="4208">
      <colorScale>
        <cfvo type="min"/>
        <cfvo type="percentile" val="50"/>
        <cfvo type="max"/>
        <color rgb="FFF8696B"/>
        <color rgb="FFFFEB84"/>
        <color rgb="FF63BE7B"/>
      </colorScale>
    </cfRule>
  </conditionalFormatting>
  <conditionalFormatting sqref="F787">
    <cfRule type="dataBar" priority="4221">
      <dataBar>
        <cfvo type="min"/>
        <cfvo type="max"/>
        <color rgb="FF638EC6"/>
      </dataBar>
    </cfRule>
    <cfRule type="colorScale" priority="4222">
      <colorScale>
        <cfvo type="min"/>
        <cfvo type="percentile" val="50"/>
        <cfvo type="max"/>
        <color rgb="FFF8696B"/>
        <color rgb="FFFFEB84"/>
        <color rgb="FF63BE7B"/>
      </colorScale>
    </cfRule>
    <cfRule type="cellIs" dxfId="3492" priority="4223" operator="equal">
      <formula>"Cost of Sales"</formula>
    </cfRule>
    <cfRule type="cellIs" dxfId="3491" priority="4224" operator="equal">
      <formula>"Payroll"</formula>
    </cfRule>
    <cfRule type="cellIs" dxfId="3490" priority="4225" operator="equal">
      <formula>"Investment"</formula>
    </cfRule>
    <cfRule type="cellIs" dxfId="3489" priority="4226" operator="equal">
      <formula>"Sunk"</formula>
    </cfRule>
    <cfRule type="cellIs" dxfId="3488" priority="4227" operator="equal">
      <formula>"OpEx"</formula>
    </cfRule>
    <cfRule type="cellIs" dxfId="3487" priority="4228" operator="equal">
      <formula>"CapEx"</formula>
    </cfRule>
    <cfRule type="cellIs" dxfId="3486" priority="4229" operator="equal">
      <formula>"Income"</formula>
    </cfRule>
    <cfRule type="cellIs" dxfId="3485" priority="4230" operator="equal">
      <formula>"Tax"</formula>
    </cfRule>
  </conditionalFormatting>
  <conditionalFormatting sqref="F788">
    <cfRule type="dataBar" priority="4175">
      <dataBar>
        <cfvo type="min"/>
        <cfvo type="max"/>
        <color rgb="FF638EC6"/>
      </dataBar>
    </cfRule>
    <cfRule type="colorScale" priority="4176">
      <colorScale>
        <cfvo type="min"/>
        <cfvo type="percentile" val="50"/>
        <cfvo type="max"/>
        <color rgb="FFF8696B"/>
        <color rgb="FFFFEB84"/>
        <color rgb="FF63BE7B"/>
      </colorScale>
    </cfRule>
    <cfRule type="cellIs" dxfId="3484" priority="4178" operator="equal">
      <formula>"Cost of Sales"</formula>
    </cfRule>
    <cfRule type="cellIs" dxfId="3483" priority="4179" operator="equal">
      <formula>"Payroll"</formula>
    </cfRule>
    <cfRule type="cellIs" dxfId="3482" priority="4180" operator="equal">
      <formula>"Investment"</formula>
    </cfRule>
    <cfRule type="cellIs" dxfId="3481" priority="4181" operator="equal">
      <formula>"Sunk"</formula>
    </cfRule>
    <cfRule type="cellIs" dxfId="3480" priority="4182" operator="equal">
      <formula>"OpEx"</formula>
    </cfRule>
    <cfRule type="cellIs" dxfId="3479" priority="4183" operator="equal">
      <formula>"CapEx"</formula>
    </cfRule>
  </conditionalFormatting>
  <conditionalFormatting sqref="F788:F789">
    <cfRule type="cellIs" dxfId="3478" priority="4174" operator="equal">
      <formula>"Tax"</formula>
    </cfRule>
    <cfRule type="cellIs" dxfId="3477" priority="4177" operator="equal">
      <formula>"Income"</formula>
    </cfRule>
  </conditionalFormatting>
  <conditionalFormatting sqref="F789">
    <cfRule type="dataBar" priority="4172">
      <dataBar>
        <cfvo type="min"/>
        <cfvo type="max"/>
        <color rgb="FF638EC6"/>
      </dataBar>
    </cfRule>
    <cfRule type="colorScale" priority="4173">
      <colorScale>
        <cfvo type="min"/>
        <cfvo type="percentile" val="50"/>
        <cfvo type="max"/>
        <color rgb="FFF8696B"/>
        <color rgb="FFFFEB84"/>
        <color rgb="FF63BE7B"/>
      </colorScale>
    </cfRule>
  </conditionalFormatting>
  <conditionalFormatting sqref="F789:F791">
    <cfRule type="cellIs" dxfId="3476" priority="4149" operator="equal">
      <formula>"Cost of Sales"</formula>
    </cfRule>
    <cfRule type="cellIs" dxfId="3475" priority="4150" operator="equal">
      <formula>"Payroll"</formula>
    </cfRule>
    <cfRule type="cellIs" dxfId="3474" priority="4151" operator="equal">
      <formula>"Investment"</formula>
    </cfRule>
    <cfRule type="cellIs" dxfId="3473" priority="4152" operator="equal">
      <formula>"Sunk"</formula>
    </cfRule>
    <cfRule type="cellIs" dxfId="3472" priority="4153" operator="equal">
      <formula>"OpEx"</formula>
    </cfRule>
    <cfRule type="cellIs" dxfId="3471" priority="4154" operator="equal">
      <formula>"CapEx"</formula>
    </cfRule>
  </conditionalFormatting>
  <conditionalFormatting sqref="F790">
    <cfRule type="dataBar" priority="4168">
      <dataBar>
        <cfvo type="min"/>
        <cfvo type="max"/>
        <color rgb="FF638EC6"/>
      </dataBar>
    </cfRule>
    <cfRule type="colorScale" priority="4169">
      <colorScale>
        <cfvo type="min"/>
        <cfvo type="percentile" val="50"/>
        <cfvo type="max"/>
        <color rgb="FFF8696B"/>
        <color rgb="FFFFEB84"/>
        <color rgb="FF63BE7B"/>
      </colorScale>
    </cfRule>
    <cfRule type="cellIs" dxfId="3470" priority="4170" operator="equal">
      <formula>"Tax"</formula>
    </cfRule>
  </conditionalFormatting>
  <conditionalFormatting sqref="F790:F791">
    <cfRule type="cellIs" dxfId="3469" priority="4148" operator="equal">
      <formula>"Income"</formula>
    </cfRule>
  </conditionalFormatting>
  <conditionalFormatting sqref="F791">
    <cfRule type="dataBar" priority="4145">
      <dataBar>
        <cfvo type="min"/>
        <cfvo type="max"/>
        <color rgb="FF638EC6"/>
      </dataBar>
    </cfRule>
    <cfRule type="colorScale" priority="4146">
      <colorScale>
        <cfvo type="min"/>
        <cfvo type="percentile" val="50"/>
        <cfvo type="max"/>
        <color rgb="FFF8696B"/>
        <color rgb="FFFFEB84"/>
        <color rgb="FF63BE7B"/>
      </colorScale>
    </cfRule>
    <cfRule type="cellIs" dxfId="3468" priority="4147" operator="equal">
      <formula>"Tax"</formula>
    </cfRule>
  </conditionalFormatting>
  <conditionalFormatting sqref="F792">
    <cfRule type="dataBar" priority="4135">
      <dataBar>
        <cfvo type="min"/>
        <cfvo type="max"/>
        <color rgb="FF638EC6"/>
      </dataBar>
    </cfRule>
    <cfRule type="colorScale" priority="4136">
      <colorScale>
        <cfvo type="min"/>
        <cfvo type="percentile" val="50"/>
        <cfvo type="max"/>
        <color rgb="FFF8696B"/>
        <color rgb="FFFFEB84"/>
        <color rgb="FF63BE7B"/>
      </colorScale>
    </cfRule>
    <cfRule type="cellIs" dxfId="3467" priority="4137" operator="equal">
      <formula>"Tax"</formula>
    </cfRule>
    <cfRule type="cellIs" dxfId="3466" priority="4138" operator="equal">
      <formula>"Income"</formula>
    </cfRule>
    <cfRule type="cellIs" dxfId="3465" priority="4139" operator="equal">
      <formula>"Cost of Sales"</formula>
    </cfRule>
    <cfRule type="cellIs" dxfId="3464" priority="4140" operator="equal">
      <formula>"Payroll"</formula>
    </cfRule>
    <cfRule type="cellIs" dxfId="3463" priority="4141" operator="equal">
      <formula>"Investment"</formula>
    </cfRule>
    <cfRule type="cellIs" dxfId="3462" priority="4142" operator="equal">
      <formula>"Sunk"</formula>
    </cfRule>
    <cfRule type="cellIs" dxfId="3461" priority="4143" operator="equal">
      <formula>"OpEx"</formula>
    </cfRule>
    <cfRule type="cellIs" dxfId="3460" priority="4144" operator="equal">
      <formula>"CapEx"</formula>
    </cfRule>
  </conditionalFormatting>
  <conditionalFormatting sqref="F793">
    <cfRule type="dataBar" priority="4126">
      <dataBar>
        <cfvo type="min"/>
        <cfvo type="max"/>
        <color rgb="FF638EC6"/>
      </dataBar>
    </cfRule>
    <cfRule type="colorScale" priority="4127">
      <colorScale>
        <cfvo type="min"/>
        <cfvo type="percentile" val="50"/>
        <cfvo type="max"/>
        <color rgb="FFF8696B"/>
        <color rgb="FFFFEB84"/>
        <color rgb="FF63BE7B"/>
      </colorScale>
    </cfRule>
    <cfRule type="cellIs" dxfId="3459" priority="4128" operator="equal">
      <formula>"Income"</formula>
    </cfRule>
    <cfRule type="cellIs" dxfId="3458" priority="4129" operator="equal">
      <formula>"Cost of Sales"</formula>
    </cfRule>
    <cfRule type="cellIs" dxfId="3457" priority="4130" operator="equal">
      <formula>"Payroll"</formula>
    </cfRule>
    <cfRule type="cellIs" dxfId="3456" priority="4131" operator="equal">
      <formula>"Investment"</formula>
    </cfRule>
    <cfRule type="cellIs" dxfId="3455" priority="4132" operator="equal">
      <formula>"Sunk"</formula>
    </cfRule>
    <cfRule type="cellIs" dxfId="3454" priority="4133" operator="equal">
      <formula>"OpEx"</formula>
    </cfRule>
    <cfRule type="cellIs" dxfId="3453" priority="4134" operator="equal">
      <formula>"CapEx"</formula>
    </cfRule>
  </conditionalFormatting>
  <conditionalFormatting sqref="F793:F795">
    <cfRule type="cellIs" dxfId="3452" priority="4112" operator="equal">
      <formula>"Tax"</formula>
    </cfRule>
  </conditionalFormatting>
  <conditionalFormatting sqref="F794">
    <cfRule type="dataBar" priority="4155">
      <dataBar>
        <cfvo type="min"/>
        <cfvo type="max"/>
        <color rgb="FF638EC6"/>
      </dataBar>
    </cfRule>
    <cfRule type="colorScale" priority="4156">
      <colorScale>
        <cfvo type="min"/>
        <cfvo type="percentile" val="50"/>
        <cfvo type="max"/>
        <color rgb="FFF8696B"/>
        <color rgb="FFFFEB84"/>
        <color rgb="FF63BE7B"/>
      </colorScale>
    </cfRule>
    <cfRule type="cellIs" dxfId="3451" priority="4157" operator="equal">
      <formula>"Cost of Sales"</formula>
    </cfRule>
    <cfRule type="cellIs" dxfId="3450" priority="4158" operator="equal">
      <formula>"Payroll"</formula>
    </cfRule>
    <cfRule type="cellIs" dxfId="3449" priority="4159" operator="equal">
      <formula>"Investment"</formula>
    </cfRule>
    <cfRule type="cellIs" dxfId="3448" priority="4160" operator="equal">
      <formula>"Sunk"</formula>
    </cfRule>
    <cfRule type="cellIs" dxfId="3447" priority="4161" operator="equal">
      <formula>"OpEx"</formula>
    </cfRule>
    <cfRule type="cellIs" dxfId="3446" priority="4162" operator="equal">
      <formula>"CapEx"</formula>
    </cfRule>
    <cfRule type="cellIs" dxfId="3445" priority="4163" operator="equal">
      <formula>"Income"</formula>
    </cfRule>
  </conditionalFormatting>
  <conditionalFormatting sqref="F795">
    <cfRule type="dataBar" priority="4110">
      <dataBar>
        <cfvo type="min"/>
        <cfvo type="max"/>
        <color rgb="FF638EC6"/>
      </dataBar>
    </cfRule>
    <cfRule type="colorScale" priority="4111">
      <colorScale>
        <cfvo type="min"/>
        <cfvo type="percentile" val="50"/>
        <cfvo type="max"/>
        <color rgb="FFF8696B"/>
        <color rgb="FFFFEB84"/>
        <color rgb="FF63BE7B"/>
      </colorScale>
    </cfRule>
  </conditionalFormatting>
  <conditionalFormatting sqref="F795:F796">
    <cfRule type="cellIs" dxfId="3444" priority="4089" operator="equal">
      <formula>"Income"</formula>
    </cfRule>
    <cfRule type="cellIs" dxfId="3443" priority="4090" operator="equal">
      <formula>"Cost of Sales"</formula>
    </cfRule>
    <cfRule type="cellIs" dxfId="3442" priority="4091" operator="equal">
      <formula>"Payroll"</formula>
    </cfRule>
    <cfRule type="cellIs" dxfId="3441" priority="4092" operator="equal">
      <formula>"Investment"</formula>
    </cfRule>
    <cfRule type="cellIs" dxfId="3440" priority="4093" operator="equal">
      <formula>"Sunk"</formula>
    </cfRule>
    <cfRule type="cellIs" dxfId="3439" priority="4094" operator="equal">
      <formula>"OpEx"</formula>
    </cfRule>
    <cfRule type="cellIs" dxfId="3438" priority="4095" operator="equal">
      <formula>"CapEx"</formula>
    </cfRule>
  </conditionalFormatting>
  <conditionalFormatting sqref="F796">
    <cfRule type="dataBar" priority="4086">
      <dataBar>
        <cfvo type="min"/>
        <cfvo type="max"/>
        <color rgb="FF638EC6"/>
      </dataBar>
    </cfRule>
    <cfRule type="colorScale" priority="4087">
      <colorScale>
        <cfvo type="min"/>
        <cfvo type="percentile" val="50"/>
        <cfvo type="max"/>
        <color rgb="FFF8696B"/>
        <color rgb="FFFFEB84"/>
        <color rgb="FF63BE7B"/>
      </colorScale>
    </cfRule>
    <cfRule type="cellIs" dxfId="3437" priority="4088" operator="equal">
      <formula>"Tax"</formula>
    </cfRule>
  </conditionalFormatting>
  <conditionalFormatting sqref="F797">
    <cfRule type="dataBar" priority="4069">
      <dataBar>
        <cfvo type="min"/>
        <cfvo type="max"/>
        <color rgb="FF638EC6"/>
      </dataBar>
    </cfRule>
    <cfRule type="colorScale" priority="4070">
      <colorScale>
        <cfvo type="min"/>
        <cfvo type="percentile" val="50"/>
        <cfvo type="max"/>
        <color rgb="FFF8696B"/>
        <color rgb="FFFFEB84"/>
        <color rgb="FF63BE7B"/>
      </colorScale>
    </cfRule>
    <cfRule type="cellIs" dxfId="3436" priority="4071" operator="equal">
      <formula>"Tax"</formula>
    </cfRule>
    <cfRule type="cellIs" dxfId="3435" priority="4072" operator="equal">
      <formula>"Cost of Sales"</formula>
    </cfRule>
    <cfRule type="cellIs" dxfId="3434" priority="4073" operator="equal">
      <formula>"Payroll"</formula>
    </cfRule>
    <cfRule type="cellIs" dxfId="3433" priority="4074" operator="equal">
      <formula>"Investment"</formula>
    </cfRule>
    <cfRule type="cellIs" dxfId="3432" priority="4075" operator="equal">
      <formula>"Sunk"</formula>
    </cfRule>
    <cfRule type="cellIs" dxfId="3431" priority="4076" operator="equal">
      <formula>"OpEx"</formula>
    </cfRule>
    <cfRule type="cellIs" dxfId="3430" priority="4077" operator="equal">
      <formula>"CapEx"</formula>
    </cfRule>
    <cfRule type="cellIs" dxfId="3429" priority="4078" operator="equal">
      <formula>"Income"</formula>
    </cfRule>
  </conditionalFormatting>
  <conditionalFormatting sqref="F798">
    <cfRule type="dataBar" priority="4048">
      <dataBar>
        <cfvo type="min"/>
        <cfvo type="max"/>
        <color rgb="FF638EC6"/>
      </dataBar>
    </cfRule>
    <cfRule type="colorScale" priority="4049">
      <colorScale>
        <cfvo type="min"/>
        <cfvo type="percentile" val="50"/>
        <cfvo type="max"/>
        <color rgb="FFF8696B"/>
        <color rgb="FFFFEB84"/>
        <color rgb="FF63BE7B"/>
      </colorScale>
    </cfRule>
    <cfRule type="cellIs" dxfId="3428" priority="4050" operator="equal">
      <formula>"Tax"</formula>
    </cfRule>
    <cfRule type="cellIs" dxfId="3427" priority="4051" operator="equal">
      <formula>"Income"</formula>
    </cfRule>
    <cfRule type="cellIs" dxfId="3426" priority="4052" operator="equal">
      <formula>"Cost of Sales"</formula>
    </cfRule>
    <cfRule type="cellIs" dxfId="3425" priority="4053" operator="equal">
      <formula>"Payroll"</formula>
    </cfRule>
    <cfRule type="cellIs" dxfId="3424" priority="4054" operator="equal">
      <formula>"Investment"</formula>
    </cfRule>
    <cfRule type="cellIs" dxfId="3423" priority="4055" operator="equal">
      <formula>"Sunk"</formula>
    </cfRule>
    <cfRule type="cellIs" dxfId="3422" priority="4056" operator="equal">
      <formula>"OpEx"</formula>
    </cfRule>
    <cfRule type="cellIs" dxfId="3421" priority="4057" operator="equal">
      <formula>"CapEx"</formula>
    </cfRule>
  </conditionalFormatting>
  <conditionalFormatting sqref="F799">
    <cfRule type="dataBar" priority="4026">
      <dataBar>
        <cfvo type="min"/>
        <cfvo type="max"/>
        <color rgb="FF638EC6"/>
      </dataBar>
    </cfRule>
    <cfRule type="colorScale" priority="4027">
      <colorScale>
        <cfvo type="min"/>
        <cfvo type="percentile" val="50"/>
        <cfvo type="max"/>
        <color rgb="FFF8696B"/>
        <color rgb="FFFFEB84"/>
        <color rgb="FF63BE7B"/>
      </colorScale>
    </cfRule>
    <cfRule type="cellIs" dxfId="3420" priority="4028" operator="equal">
      <formula>"Tax"</formula>
    </cfRule>
    <cfRule type="cellIs" dxfId="3419" priority="4029" operator="equal">
      <formula>"Income"</formula>
    </cfRule>
    <cfRule type="cellIs" dxfId="3418" priority="4030" operator="equal">
      <formula>"Cost of Sales"</formula>
    </cfRule>
    <cfRule type="cellIs" dxfId="3417" priority="4031" operator="equal">
      <formula>"Payroll"</formula>
    </cfRule>
    <cfRule type="cellIs" dxfId="3416" priority="4032" operator="equal">
      <formula>"Investment"</formula>
    </cfRule>
    <cfRule type="cellIs" dxfId="3415" priority="4033" operator="equal">
      <formula>"Sunk"</formula>
    </cfRule>
    <cfRule type="cellIs" dxfId="3414" priority="4034" operator="equal">
      <formula>"OpEx"</formula>
    </cfRule>
    <cfRule type="cellIs" dxfId="3413" priority="4035" operator="equal">
      <formula>"CapEx"</formula>
    </cfRule>
  </conditionalFormatting>
  <conditionalFormatting sqref="F800">
    <cfRule type="dataBar" priority="4023">
      <dataBar>
        <cfvo type="min"/>
        <cfvo type="max"/>
        <color rgb="FF638EC6"/>
      </dataBar>
    </cfRule>
    <cfRule type="colorScale" priority="4024">
      <colorScale>
        <cfvo type="min"/>
        <cfvo type="percentile" val="50"/>
        <cfvo type="max"/>
        <color rgb="FFF8696B"/>
        <color rgb="FFFFEB84"/>
        <color rgb="FF63BE7B"/>
      </colorScale>
    </cfRule>
    <cfRule type="cellIs" dxfId="3412" priority="4025" operator="equal">
      <formula>"Tax"</formula>
    </cfRule>
  </conditionalFormatting>
  <conditionalFormatting sqref="F800:F801">
    <cfRule type="cellIs" dxfId="3411" priority="4016" operator="equal">
      <formula>"Income"</formula>
    </cfRule>
    <cfRule type="cellIs" dxfId="3410" priority="4017" operator="equal">
      <formula>"Cost of Sales"</formula>
    </cfRule>
    <cfRule type="cellIs" dxfId="3409" priority="4018" operator="equal">
      <formula>"Payroll"</formula>
    </cfRule>
    <cfRule type="cellIs" dxfId="3408" priority="4019" operator="equal">
      <formula>"Investment"</formula>
    </cfRule>
    <cfRule type="cellIs" dxfId="3407" priority="4020" operator="equal">
      <formula>"Sunk"</formula>
    </cfRule>
    <cfRule type="cellIs" dxfId="3406" priority="4021" operator="equal">
      <formula>"OpEx"</formula>
    </cfRule>
    <cfRule type="cellIs" dxfId="3405" priority="4022" operator="equal">
      <formula>"CapEx"</formula>
    </cfRule>
  </conditionalFormatting>
  <conditionalFormatting sqref="F801">
    <cfRule type="dataBar" priority="4004">
      <dataBar>
        <cfvo type="min"/>
        <cfvo type="max"/>
        <color rgb="FF638EC6"/>
      </dataBar>
    </cfRule>
    <cfRule type="colorScale" priority="4005">
      <colorScale>
        <cfvo type="min"/>
        <cfvo type="percentile" val="50"/>
        <cfvo type="max"/>
        <color rgb="FFF8696B"/>
        <color rgb="FFFFEB84"/>
        <color rgb="FF63BE7B"/>
      </colorScale>
    </cfRule>
    <cfRule type="cellIs" dxfId="3404" priority="4006" operator="equal">
      <formula>"Tax"</formula>
    </cfRule>
    <cfRule type="cellIs" dxfId="3403" priority="4007" operator="equal">
      <formula>"Cost of Sales"</formula>
    </cfRule>
    <cfRule type="cellIs" dxfId="3402" priority="4008" operator="equal">
      <formula>"Payroll"</formula>
    </cfRule>
    <cfRule type="cellIs" dxfId="3401" priority="4009" operator="equal">
      <formula>"Investment"</formula>
    </cfRule>
    <cfRule type="cellIs" dxfId="3400" priority="4010" operator="equal">
      <formula>"Sunk"</formula>
    </cfRule>
    <cfRule type="cellIs" dxfId="3399" priority="4011" operator="equal">
      <formula>"OpEx"</formula>
    </cfRule>
    <cfRule type="cellIs" dxfId="3398" priority="4012" operator="equal">
      <formula>"CapEx"</formula>
    </cfRule>
    <cfRule type="dataBar" priority="4013">
      <dataBar>
        <cfvo type="min"/>
        <cfvo type="max"/>
        <color rgb="FF638EC6"/>
      </dataBar>
    </cfRule>
    <cfRule type="colorScale" priority="4014">
      <colorScale>
        <cfvo type="min"/>
        <cfvo type="percentile" val="50"/>
        <cfvo type="max"/>
        <color rgb="FFF8696B"/>
        <color rgb="FFFFEB84"/>
        <color rgb="FF63BE7B"/>
      </colorScale>
    </cfRule>
    <cfRule type="cellIs" dxfId="3397" priority="4015" operator="equal">
      <formula>"Tax"</formula>
    </cfRule>
  </conditionalFormatting>
  <conditionalFormatting sqref="F802">
    <cfRule type="dataBar" priority="3985">
      <dataBar>
        <cfvo type="min"/>
        <cfvo type="max"/>
        <color rgb="FF638EC6"/>
      </dataBar>
    </cfRule>
    <cfRule type="colorScale" priority="3986">
      <colorScale>
        <cfvo type="min"/>
        <cfvo type="percentile" val="50"/>
        <cfvo type="max"/>
        <color rgb="FFF8696B"/>
        <color rgb="FFFFEB84"/>
        <color rgb="FF63BE7B"/>
      </colorScale>
    </cfRule>
    <cfRule type="cellIs" dxfId="3396" priority="3987" operator="equal">
      <formula>"Tax"</formula>
    </cfRule>
    <cfRule type="cellIs" dxfId="3395" priority="3988" operator="equal">
      <formula>"Cost of Sales"</formula>
    </cfRule>
    <cfRule type="cellIs" dxfId="3394" priority="3989" operator="equal">
      <formula>"Payroll"</formula>
    </cfRule>
    <cfRule type="cellIs" dxfId="3393" priority="3990" operator="equal">
      <formula>"Investment"</formula>
    </cfRule>
    <cfRule type="cellIs" dxfId="3392" priority="3991" operator="equal">
      <formula>"Sunk"</formula>
    </cfRule>
    <cfRule type="cellIs" dxfId="3391" priority="3992" operator="equal">
      <formula>"OpEx"</formula>
    </cfRule>
    <cfRule type="cellIs" dxfId="3390" priority="3993" operator="equal">
      <formula>"CapEx"</formula>
    </cfRule>
    <cfRule type="dataBar" priority="3994">
      <dataBar>
        <cfvo type="min"/>
        <cfvo type="max"/>
        <color rgb="FF638EC6"/>
      </dataBar>
    </cfRule>
    <cfRule type="colorScale" priority="3995">
      <colorScale>
        <cfvo type="min"/>
        <cfvo type="percentile" val="50"/>
        <cfvo type="max"/>
        <color rgb="FFF8696B"/>
        <color rgb="FFFFEB84"/>
        <color rgb="FF63BE7B"/>
      </colorScale>
    </cfRule>
    <cfRule type="cellIs" dxfId="3389" priority="3996" operator="equal">
      <formula>"Tax"</formula>
    </cfRule>
    <cfRule type="cellIs" dxfId="3388" priority="3997" operator="equal">
      <formula>"Income"</formula>
    </cfRule>
    <cfRule type="cellIs" dxfId="3387" priority="3998" operator="equal">
      <formula>"Cost of Sales"</formula>
    </cfRule>
    <cfRule type="cellIs" dxfId="3386" priority="3999" operator="equal">
      <formula>"Payroll"</formula>
    </cfRule>
    <cfRule type="cellIs" dxfId="3385" priority="4000" operator="equal">
      <formula>"Investment"</formula>
    </cfRule>
    <cfRule type="cellIs" dxfId="3384" priority="4001" operator="equal">
      <formula>"Sunk"</formula>
    </cfRule>
    <cfRule type="cellIs" dxfId="3383" priority="4002" operator="equal">
      <formula>"OpEx"</formula>
    </cfRule>
    <cfRule type="cellIs" dxfId="3382" priority="4003" operator="equal">
      <formula>"CapEx"</formula>
    </cfRule>
  </conditionalFormatting>
  <conditionalFormatting sqref="F803">
    <cfRule type="dataBar" priority="3983">
      <dataBar>
        <cfvo type="min"/>
        <cfvo type="max"/>
        <color rgb="FF638EC6"/>
      </dataBar>
    </cfRule>
    <cfRule type="colorScale" priority="3984">
      <colorScale>
        <cfvo type="min"/>
        <cfvo type="percentile" val="50"/>
        <cfvo type="max"/>
        <color rgb="FFF8696B"/>
        <color rgb="FFFFEB84"/>
        <color rgb="FF63BE7B"/>
      </colorScale>
    </cfRule>
  </conditionalFormatting>
  <conditionalFormatting sqref="F803:F804">
    <cfRule type="cellIs" dxfId="3381" priority="3906" operator="equal">
      <formula>"Tax"</formula>
    </cfRule>
    <cfRule type="cellIs" dxfId="3380" priority="3907" operator="equal">
      <formula>"Cost of Sales"</formula>
    </cfRule>
    <cfRule type="cellIs" dxfId="3379" priority="3908" operator="equal">
      <formula>"Payroll"</formula>
    </cfRule>
    <cfRule type="cellIs" dxfId="3378" priority="3909" operator="equal">
      <formula>"Investment"</formula>
    </cfRule>
    <cfRule type="cellIs" dxfId="3377" priority="3910" operator="equal">
      <formula>"Sunk"</formula>
    </cfRule>
    <cfRule type="cellIs" dxfId="3376" priority="3911" operator="equal">
      <formula>"OpEx"</formula>
    </cfRule>
    <cfRule type="cellIs" dxfId="3375" priority="3912" operator="equal">
      <formula>"CapEx"</formula>
    </cfRule>
    <cfRule type="cellIs" dxfId="3374" priority="3913" operator="equal">
      <formula>"Income"</formula>
    </cfRule>
  </conditionalFormatting>
  <conditionalFormatting sqref="F804">
    <cfRule type="dataBar" priority="3904">
      <dataBar>
        <cfvo type="min"/>
        <cfvo type="max"/>
        <color rgb="FF638EC6"/>
      </dataBar>
    </cfRule>
    <cfRule type="colorScale" priority="3905">
      <colorScale>
        <cfvo type="min"/>
        <cfvo type="percentile" val="50"/>
        <cfvo type="max"/>
        <color rgb="FFF8696B"/>
        <color rgb="FFFFEB84"/>
        <color rgb="FF63BE7B"/>
      </colorScale>
    </cfRule>
  </conditionalFormatting>
  <conditionalFormatting sqref="F805">
    <cfRule type="dataBar" priority="3894">
      <dataBar>
        <cfvo type="min"/>
        <cfvo type="max"/>
        <color rgb="FF638EC6"/>
      </dataBar>
    </cfRule>
    <cfRule type="colorScale" priority="3895">
      <colorScale>
        <cfvo type="min"/>
        <cfvo type="percentile" val="50"/>
        <cfvo type="max"/>
        <color rgb="FFF8696B"/>
        <color rgb="FFFFEB84"/>
        <color rgb="FF63BE7B"/>
      </colorScale>
    </cfRule>
    <cfRule type="cellIs" dxfId="3373" priority="3896" operator="equal">
      <formula>"Tax"</formula>
    </cfRule>
    <cfRule type="cellIs" dxfId="3372" priority="3897" operator="equal">
      <formula>"Cost of Sales"</formula>
    </cfRule>
    <cfRule type="cellIs" dxfId="3371" priority="3898" operator="equal">
      <formula>"Payroll"</formula>
    </cfRule>
    <cfRule type="cellIs" dxfId="3370" priority="3899" operator="equal">
      <formula>"Investment"</formula>
    </cfRule>
    <cfRule type="cellIs" dxfId="3369" priority="3900" operator="equal">
      <formula>"Sunk"</formula>
    </cfRule>
    <cfRule type="cellIs" dxfId="3368" priority="3901" operator="equal">
      <formula>"OpEx"</formula>
    </cfRule>
    <cfRule type="cellIs" dxfId="3367" priority="3902" operator="equal">
      <formula>"CapEx"</formula>
    </cfRule>
    <cfRule type="cellIs" dxfId="3366" priority="3903" operator="equal">
      <formula>"Income"</formula>
    </cfRule>
  </conditionalFormatting>
  <conditionalFormatting sqref="F806">
    <cfRule type="dataBar" priority="3862">
      <dataBar>
        <cfvo type="min"/>
        <cfvo type="max"/>
        <color rgb="FF638EC6"/>
      </dataBar>
    </cfRule>
    <cfRule type="colorScale" priority="3863">
      <colorScale>
        <cfvo type="min"/>
        <cfvo type="percentile" val="50"/>
        <cfvo type="max"/>
        <color rgb="FFF8696B"/>
        <color rgb="FFFFEB84"/>
        <color rgb="FF63BE7B"/>
      </colorScale>
    </cfRule>
    <cfRule type="cellIs" dxfId="3365" priority="3864" operator="equal">
      <formula>"Tax"</formula>
    </cfRule>
  </conditionalFormatting>
  <conditionalFormatting sqref="F806:F807">
    <cfRule type="cellIs" dxfId="3364" priority="3848" operator="equal">
      <formula>"Cost of Sales"</formula>
    </cfRule>
    <cfRule type="cellIs" dxfId="3363" priority="3849" operator="equal">
      <formula>"Payroll"</formula>
    </cfRule>
    <cfRule type="cellIs" dxfId="3362" priority="3850" operator="equal">
      <formula>"Investment"</formula>
    </cfRule>
    <cfRule type="cellIs" dxfId="3361" priority="3851" operator="equal">
      <formula>"Sunk"</formula>
    </cfRule>
    <cfRule type="cellIs" dxfId="3360" priority="3852" operator="equal">
      <formula>"OpEx"</formula>
    </cfRule>
    <cfRule type="cellIs" dxfId="3359" priority="3853" operator="equal">
      <formula>"CapEx"</formula>
    </cfRule>
  </conditionalFormatting>
  <conditionalFormatting sqref="F806:F808">
    <cfRule type="cellIs" dxfId="3358" priority="3839" operator="equal">
      <formula>"Tax"</formula>
    </cfRule>
  </conditionalFormatting>
  <conditionalFormatting sqref="F806:F808">
    <cfRule type="cellIs" dxfId="3357" priority="3836" operator="equal">
      <formula>"Income"</formula>
    </cfRule>
  </conditionalFormatting>
  <conditionalFormatting sqref="F807">
    <cfRule type="dataBar" priority="3846">
      <dataBar>
        <cfvo type="min"/>
        <cfvo type="max"/>
        <color rgb="FF638EC6"/>
      </dataBar>
    </cfRule>
    <cfRule type="colorScale" priority="3847">
      <colorScale>
        <cfvo type="min"/>
        <cfvo type="percentile" val="50"/>
        <cfvo type="max"/>
        <color rgb="FFF8696B"/>
        <color rgb="FFFFEB84"/>
        <color rgb="FF63BE7B"/>
      </colorScale>
    </cfRule>
  </conditionalFormatting>
  <conditionalFormatting sqref="F808">
    <cfRule type="dataBar" priority="3837">
      <dataBar>
        <cfvo type="min"/>
        <cfvo type="max"/>
        <color rgb="FF638EC6"/>
      </dataBar>
    </cfRule>
    <cfRule type="colorScale" priority="3838">
      <colorScale>
        <cfvo type="min"/>
        <cfvo type="percentile" val="50"/>
        <cfvo type="max"/>
        <color rgb="FFF8696B"/>
        <color rgb="FFFFEB84"/>
        <color rgb="FF63BE7B"/>
      </colorScale>
    </cfRule>
  </conditionalFormatting>
  <conditionalFormatting sqref="F808">
    <cfRule type="cellIs" dxfId="3356" priority="3830" operator="equal">
      <formula>"Cost of Sales"</formula>
    </cfRule>
    <cfRule type="cellIs" dxfId="3355" priority="3831" operator="equal">
      <formula>"Payroll"</formula>
    </cfRule>
    <cfRule type="cellIs" dxfId="3354" priority="3832" operator="equal">
      <formula>"Investment"</formula>
    </cfRule>
    <cfRule type="cellIs" dxfId="3353" priority="3833" operator="equal">
      <formula>"Sunk"</formula>
    </cfRule>
    <cfRule type="cellIs" dxfId="3352" priority="3834" operator="equal">
      <formula>"OpEx"</formula>
    </cfRule>
    <cfRule type="cellIs" dxfId="3351" priority="3835" operator="equal">
      <formula>"CapEx"</formula>
    </cfRule>
  </conditionalFormatting>
  <conditionalFormatting sqref="F809">
    <cfRule type="dataBar" priority="3799">
      <dataBar>
        <cfvo type="min"/>
        <cfvo type="max"/>
        <color rgb="FF638EC6"/>
      </dataBar>
    </cfRule>
    <cfRule type="colorScale" priority="3800">
      <colorScale>
        <cfvo type="min"/>
        <cfvo type="percentile" val="50"/>
        <cfvo type="max"/>
        <color rgb="FFF8696B"/>
        <color rgb="FFFFEB84"/>
        <color rgb="FF63BE7B"/>
      </colorScale>
    </cfRule>
    <cfRule type="cellIs" dxfId="3350" priority="3801" operator="equal">
      <formula>"Tax"</formula>
    </cfRule>
    <cfRule type="cellIs" dxfId="3349" priority="3802" operator="equal">
      <formula>"Cost of Sales"</formula>
    </cfRule>
    <cfRule type="cellIs" dxfId="3348" priority="3803" operator="equal">
      <formula>"Payroll"</formula>
    </cfRule>
    <cfRule type="cellIs" dxfId="3347" priority="3804" operator="equal">
      <formula>"Investment"</formula>
    </cfRule>
    <cfRule type="cellIs" dxfId="3346" priority="3805" operator="equal">
      <formula>"Sunk"</formula>
    </cfRule>
    <cfRule type="cellIs" dxfId="3345" priority="3806" operator="equal">
      <formula>"OpEx"</formula>
    </cfRule>
    <cfRule type="cellIs" dxfId="3344" priority="3807" operator="equal">
      <formula>"CapEx"</formula>
    </cfRule>
    <cfRule type="cellIs" dxfId="3343" priority="3808" operator="equal">
      <formula>"Income"</formula>
    </cfRule>
  </conditionalFormatting>
  <conditionalFormatting sqref="F810">
    <cfRule type="dataBar" priority="3789">
      <dataBar>
        <cfvo type="min"/>
        <cfvo type="max"/>
        <color rgb="FF638EC6"/>
      </dataBar>
    </cfRule>
    <cfRule type="colorScale" priority="3790">
      <colorScale>
        <cfvo type="min"/>
        <cfvo type="percentile" val="50"/>
        <cfvo type="max"/>
        <color rgb="FFF8696B"/>
        <color rgb="FFFFEB84"/>
        <color rgb="FF63BE7B"/>
      </colorScale>
    </cfRule>
    <cfRule type="cellIs" dxfId="3342" priority="3791" operator="equal">
      <formula>"Tax"</formula>
    </cfRule>
    <cfRule type="cellIs" dxfId="3341" priority="3792" operator="equal">
      <formula>"Income"</formula>
    </cfRule>
    <cfRule type="cellIs" dxfId="3340" priority="3793" operator="equal">
      <formula>"Cost of Sales"</formula>
    </cfRule>
    <cfRule type="cellIs" dxfId="3339" priority="3794" operator="equal">
      <formula>"Payroll"</formula>
    </cfRule>
    <cfRule type="cellIs" dxfId="3338" priority="3795" operator="equal">
      <formula>"Investment"</formula>
    </cfRule>
    <cfRule type="cellIs" dxfId="3337" priority="3796" operator="equal">
      <formula>"Sunk"</formula>
    </cfRule>
    <cfRule type="cellIs" dxfId="3336" priority="3797" operator="equal">
      <formula>"OpEx"</formula>
    </cfRule>
    <cfRule type="cellIs" dxfId="3335" priority="3798" operator="equal">
      <formula>"CapEx"</formula>
    </cfRule>
  </conditionalFormatting>
  <conditionalFormatting sqref="F811">
    <cfRule type="dataBar" priority="3786">
      <dataBar>
        <cfvo type="min"/>
        <cfvo type="max"/>
        <color rgb="FF638EC6"/>
      </dataBar>
    </cfRule>
    <cfRule type="colorScale" priority="3787">
      <colorScale>
        <cfvo type="min"/>
        <cfvo type="percentile" val="50"/>
        <cfvo type="max"/>
        <color rgb="FFF8696B"/>
        <color rgb="FFFFEB84"/>
        <color rgb="FF63BE7B"/>
      </colorScale>
    </cfRule>
    <cfRule type="cellIs" dxfId="3334" priority="3788" operator="equal">
      <formula>"Tax"</formula>
    </cfRule>
  </conditionalFormatting>
  <conditionalFormatting sqref="F811:F812">
    <cfRule type="cellIs" dxfId="3333" priority="3779" operator="equal">
      <formula>"Cost of Sales"</formula>
    </cfRule>
    <cfRule type="cellIs" dxfId="3332" priority="3780" operator="equal">
      <formula>"Payroll"</formula>
    </cfRule>
    <cfRule type="cellIs" dxfId="3331" priority="3781" operator="equal">
      <formula>"Investment"</formula>
    </cfRule>
    <cfRule type="cellIs" dxfId="3330" priority="3782" operator="equal">
      <formula>"Sunk"</formula>
    </cfRule>
    <cfRule type="cellIs" dxfId="3329" priority="3783" operator="equal">
      <formula>"OpEx"</formula>
    </cfRule>
    <cfRule type="cellIs" dxfId="3328" priority="3784" operator="equal">
      <formula>"CapEx"</formula>
    </cfRule>
    <cfRule type="cellIs" dxfId="3327" priority="3785" operator="equal">
      <formula>"Income"</formula>
    </cfRule>
  </conditionalFormatting>
  <conditionalFormatting sqref="F812">
    <cfRule type="dataBar" priority="3776">
      <dataBar>
        <cfvo type="min"/>
        <cfvo type="max"/>
        <color rgb="FF638EC6"/>
      </dataBar>
    </cfRule>
    <cfRule type="colorScale" priority="3777">
      <colorScale>
        <cfvo type="min"/>
        <cfvo type="percentile" val="50"/>
        <cfvo type="max"/>
        <color rgb="FFF8696B"/>
        <color rgb="FFFFEB84"/>
        <color rgb="FF63BE7B"/>
      </colorScale>
    </cfRule>
    <cfRule type="cellIs" dxfId="3326" priority="3778" operator="equal">
      <formula>"Tax"</formula>
    </cfRule>
  </conditionalFormatting>
  <conditionalFormatting sqref="F813">
    <cfRule type="dataBar" priority="3741">
      <dataBar>
        <cfvo type="min"/>
        <cfvo type="max"/>
        <color rgb="FF638EC6"/>
      </dataBar>
    </cfRule>
    <cfRule type="colorScale" priority="3742">
      <colorScale>
        <cfvo type="min"/>
        <cfvo type="percentile" val="50"/>
        <cfvo type="max"/>
        <color rgb="FFF8696B"/>
        <color rgb="FFFFEB84"/>
        <color rgb="FF63BE7B"/>
      </colorScale>
    </cfRule>
    <cfRule type="cellIs" dxfId="3325" priority="3743" operator="equal">
      <formula>"Tax"</formula>
    </cfRule>
    <cfRule type="cellIs" dxfId="3324" priority="3744" operator="equal">
      <formula>"Income"</formula>
    </cfRule>
    <cfRule type="cellIs" dxfId="3323" priority="3745" operator="equal">
      <formula>"Cost of Sales"</formula>
    </cfRule>
    <cfRule type="cellIs" dxfId="3322" priority="3746" operator="equal">
      <formula>"Payroll"</formula>
    </cfRule>
    <cfRule type="cellIs" dxfId="3321" priority="3747" operator="equal">
      <formula>"Investment"</formula>
    </cfRule>
    <cfRule type="cellIs" dxfId="3320" priority="3748" operator="equal">
      <formula>"Sunk"</formula>
    </cfRule>
    <cfRule type="cellIs" dxfId="3319" priority="3749" operator="equal">
      <formula>"OpEx"</formula>
    </cfRule>
    <cfRule type="cellIs" dxfId="3318" priority="3750" operator="equal">
      <formula>"CapEx"</formula>
    </cfRule>
  </conditionalFormatting>
  <conditionalFormatting sqref="F814">
    <cfRule type="dataBar" priority="3724">
      <dataBar>
        <cfvo type="min"/>
        <cfvo type="max"/>
        <color rgb="FF638EC6"/>
      </dataBar>
    </cfRule>
    <cfRule type="colorScale" priority="3725">
      <colorScale>
        <cfvo type="min"/>
        <cfvo type="percentile" val="50"/>
        <cfvo type="max"/>
        <color rgb="FFF8696B"/>
        <color rgb="FFFFEB84"/>
        <color rgb="FF63BE7B"/>
      </colorScale>
    </cfRule>
    <cfRule type="cellIs" dxfId="3317" priority="3726" operator="equal">
      <formula>"Tax"</formula>
    </cfRule>
    <cfRule type="cellIs" dxfId="3316" priority="3727" operator="equal">
      <formula>"Income"</formula>
    </cfRule>
    <cfRule type="cellIs" dxfId="3315" priority="3728" operator="equal">
      <formula>"Cost of Sales"</formula>
    </cfRule>
    <cfRule type="cellIs" dxfId="3314" priority="3729" operator="equal">
      <formula>"Payroll"</formula>
    </cfRule>
    <cfRule type="cellIs" dxfId="3313" priority="3730" operator="equal">
      <formula>"Investment"</formula>
    </cfRule>
    <cfRule type="cellIs" dxfId="3312" priority="3731" operator="equal">
      <formula>"Sunk"</formula>
    </cfRule>
    <cfRule type="cellIs" dxfId="3311" priority="3732" operator="equal">
      <formula>"OpEx"</formula>
    </cfRule>
    <cfRule type="cellIs" dxfId="3310" priority="3733" operator="equal">
      <formula>"CapEx"</formula>
    </cfRule>
  </conditionalFormatting>
  <conditionalFormatting sqref="F815">
    <cfRule type="dataBar" priority="3693">
      <dataBar>
        <cfvo type="min"/>
        <cfvo type="max"/>
        <color rgb="FF638EC6"/>
      </dataBar>
    </cfRule>
    <cfRule type="colorScale" priority="3694">
      <colorScale>
        <cfvo type="min"/>
        <cfvo type="percentile" val="50"/>
        <cfvo type="max"/>
        <color rgb="FFF8696B"/>
        <color rgb="FFFFEB84"/>
        <color rgb="FF63BE7B"/>
      </colorScale>
    </cfRule>
    <cfRule type="cellIs" dxfId="3309" priority="3695" operator="equal">
      <formula>"Tax"</formula>
    </cfRule>
    <cfRule type="cellIs" dxfId="3308" priority="3696" operator="equal">
      <formula>"Cost of Sales"</formula>
    </cfRule>
    <cfRule type="cellIs" dxfId="3307" priority="3697" operator="equal">
      <formula>"Payroll"</formula>
    </cfRule>
    <cfRule type="cellIs" dxfId="3306" priority="3698" operator="equal">
      <formula>"Investment"</formula>
    </cfRule>
    <cfRule type="cellIs" dxfId="3305" priority="3699" operator="equal">
      <formula>"Sunk"</formula>
    </cfRule>
    <cfRule type="cellIs" dxfId="3304" priority="3700" operator="equal">
      <formula>"OpEx"</formula>
    </cfRule>
    <cfRule type="cellIs" dxfId="3303" priority="3701" operator="equal">
      <formula>"CapEx"</formula>
    </cfRule>
    <cfRule type="cellIs" dxfId="3302" priority="3702" operator="equal">
      <formula>"Income"</formula>
    </cfRule>
    <cfRule type="dataBar" priority="3710">
      <dataBar>
        <cfvo type="min"/>
        <cfvo type="max"/>
        <color rgb="FF638EC6"/>
      </dataBar>
    </cfRule>
    <cfRule type="colorScale" priority="3711">
      <colorScale>
        <cfvo type="min"/>
        <cfvo type="percentile" val="50"/>
        <cfvo type="max"/>
        <color rgb="FFF8696B"/>
        <color rgb="FFFFEB84"/>
        <color rgb="FF63BE7B"/>
      </colorScale>
    </cfRule>
    <cfRule type="cellIs" dxfId="3301" priority="3712" operator="equal">
      <formula>"Tax"</formula>
    </cfRule>
  </conditionalFormatting>
  <conditionalFormatting sqref="F816">
    <cfRule type="dataBar" priority="3631">
      <dataBar>
        <cfvo type="min"/>
        <cfvo type="max"/>
        <color rgb="FF638EC6"/>
      </dataBar>
    </cfRule>
    <cfRule type="colorScale" priority="3632">
      <colorScale>
        <cfvo type="min"/>
        <cfvo type="percentile" val="50"/>
        <cfvo type="max"/>
        <color rgb="FFF8696B"/>
        <color rgb="FFFFEB84"/>
        <color rgb="FF63BE7B"/>
      </colorScale>
    </cfRule>
    <cfRule type="cellIs" dxfId="3300" priority="3633" operator="equal">
      <formula>"Tax"</formula>
    </cfRule>
    <cfRule type="cellIs" dxfId="3299" priority="3634" operator="equal">
      <formula>"Income"</formula>
    </cfRule>
    <cfRule type="cellIs" dxfId="3298" priority="3635" operator="equal">
      <formula>"Cost of Sales"</formula>
    </cfRule>
    <cfRule type="cellIs" dxfId="3297" priority="3636" operator="equal">
      <formula>"Payroll"</formula>
    </cfRule>
    <cfRule type="cellIs" dxfId="3296" priority="3637" operator="equal">
      <formula>"Investment"</formula>
    </cfRule>
    <cfRule type="cellIs" dxfId="3295" priority="3638" operator="equal">
      <formula>"Sunk"</formula>
    </cfRule>
    <cfRule type="cellIs" dxfId="3294" priority="3639" operator="equal">
      <formula>"OpEx"</formula>
    </cfRule>
    <cfRule type="cellIs" dxfId="3293" priority="3640" operator="equal">
      <formula>"CapEx"</formula>
    </cfRule>
    <cfRule type="dataBar" priority="3641">
      <dataBar>
        <cfvo type="min"/>
        <cfvo type="max"/>
        <color rgb="FF638EC6"/>
      </dataBar>
    </cfRule>
    <cfRule type="colorScale" priority="3642">
      <colorScale>
        <cfvo type="min"/>
        <cfvo type="percentile" val="50"/>
        <cfvo type="max"/>
        <color rgb="FFF8696B"/>
        <color rgb="FFFFEB84"/>
        <color rgb="FF63BE7B"/>
      </colorScale>
    </cfRule>
    <cfRule type="cellIs" dxfId="3292" priority="3643" operator="equal">
      <formula>"Tax"</formula>
    </cfRule>
    <cfRule type="cellIs" dxfId="3291" priority="3644" operator="equal">
      <formula>"Income"</formula>
    </cfRule>
    <cfRule type="dataBar" priority="3645">
      <dataBar>
        <cfvo type="min"/>
        <cfvo type="max"/>
        <color rgb="FF638EC6"/>
      </dataBar>
    </cfRule>
    <cfRule type="colorScale" priority="3646">
      <colorScale>
        <cfvo type="min"/>
        <cfvo type="percentile" val="50"/>
        <cfvo type="max"/>
        <color rgb="FFF8696B"/>
        <color rgb="FFFFEB84"/>
        <color rgb="FF63BE7B"/>
      </colorScale>
    </cfRule>
    <cfRule type="cellIs" dxfId="3290" priority="3647" operator="equal">
      <formula>"Tax"</formula>
    </cfRule>
    <cfRule type="cellIs" dxfId="3289" priority="3648" operator="equal">
      <formula>"Cost of Sales"</formula>
    </cfRule>
    <cfRule type="cellIs" dxfId="3288" priority="3649" operator="equal">
      <formula>"Payroll"</formula>
    </cfRule>
    <cfRule type="cellIs" dxfId="3287" priority="3650" operator="equal">
      <formula>"Investment"</formula>
    </cfRule>
    <cfRule type="cellIs" dxfId="3286" priority="3651" operator="equal">
      <formula>"Sunk"</formula>
    </cfRule>
    <cfRule type="cellIs" dxfId="3285" priority="3652" operator="equal">
      <formula>"OpEx"</formula>
    </cfRule>
    <cfRule type="cellIs" dxfId="3284" priority="3653" operator="equal">
      <formula>"CapEx"</formula>
    </cfRule>
  </conditionalFormatting>
  <conditionalFormatting sqref="F816:F817">
    <cfRule type="cellIs" dxfId="3283" priority="3612" operator="equal">
      <formula>"Income"</formula>
    </cfRule>
    <cfRule type="cellIs" dxfId="3282" priority="3613" operator="equal">
      <formula>"Cost of Sales"</formula>
    </cfRule>
    <cfRule type="cellIs" dxfId="3281" priority="3614" operator="equal">
      <formula>"Payroll"</formula>
    </cfRule>
    <cfRule type="cellIs" dxfId="3280" priority="3615" operator="equal">
      <formula>"Investment"</formula>
    </cfRule>
    <cfRule type="cellIs" dxfId="3279" priority="3616" operator="equal">
      <formula>"Sunk"</formula>
    </cfRule>
    <cfRule type="cellIs" dxfId="3278" priority="3617" operator="equal">
      <formula>"OpEx"</formula>
    </cfRule>
    <cfRule type="cellIs" dxfId="3277" priority="3618" operator="equal">
      <formula>"CapEx"</formula>
    </cfRule>
  </conditionalFormatting>
  <conditionalFormatting sqref="F817">
    <cfRule type="dataBar" priority="3609">
      <dataBar>
        <cfvo type="min"/>
        <cfvo type="max"/>
        <color rgb="FF638EC6"/>
      </dataBar>
    </cfRule>
    <cfRule type="colorScale" priority="3610">
      <colorScale>
        <cfvo type="min"/>
        <cfvo type="percentile" val="50"/>
        <cfvo type="max"/>
        <color rgb="FFF8696B"/>
        <color rgb="FFFFEB84"/>
        <color rgb="FF63BE7B"/>
      </colorScale>
    </cfRule>
    <cfRule type="cellIs" dxfId="3276" priority="3611" operator="equal">
      <formula>"Tax"</formula>
    </cfRule>
  </conditionalFormatting>
  <conditionalFormatting sqref="F818">
    <cfRule type="dataBar" priority="3668">
      <dataBar>
        <cfvo type="min"/>
        <cfvo type="max"/>
        <color rgb="FF638EC6"/>
      </dataBar>
    </cfRule>
    <cfRule type="colorScale" priority="3669">
      <colorScale>
        <cfvo type="min"/>
        <cfvo type="percentile" val="50"/>
        <cfvo type="max"/>
        <color rgb="FFF8696B"/>
        <color rgb="FFFFEB84"/>
        <color rgb="FF63BE7B"/>
      </colorScale>
    </cfRule>
    <cfRule type="cellIs" dxfId="3275" priority="3670" operator="equal">
      <formula>"Tax"</formula>
    </cfRule>
    <cfRule type="cellIs" dxfId="3274" priority="3671" operator="equal">
      <formula>"Income"</formula>
    </cfRule>
    <cfRule type="cellIs" dxfId="3273" priority="3672" operator="equal">
      <formula>"Cost of Sales"</formula>
    </cfRule>
    <cfRule type="cellIs" dxfId="3272" priority="3673" operator="equal">
      <formula>"Payroll"</formula>
    </cfRule>
    <cfRule type="cellIs" dxfId="3271" priority="3674" operator="equal">
      <formula>"Investment"</formula>
    </cfRule>
    <cfRule type="cellIs" dxfId="3270" priority="3675" operator="equal">
      <formula>"Sunk"</formula>
    </cfRule>
    <cfRule type="cellIs" dxfId="3269" priority="3676" operator="equal">
      <formula>"OpEx"</formula>
    </cfRule>
    <cfRule type="cellIs" dxfId="3268" priority="3677" operator="equal">
      <formula>"CapEx"</formula>
    </cfRule>
  </conditionalFormatting>
  <conditionalFormatting sqref="F819">
    <cfRule type="dataBar" priority="3590">
      <dataBar>
        <cfvo type="min"/>
        <cfvo type="max"/>
        <color rgb="FF638EC6"/>
      </dataBar>
    </cfRule>
    <cfRule type="colorScale" priority="3591">
      <colorScale>
        <cfvo type="min"/>
        <cfvo type="percentile" val="50"/>
        <cfvo type="max"/>
        <color rgb="FFF8696B"/>
        <color rgb="FFFFEB84"/>
        <color rgb="FF63BE7B"/>
      </colorScale>
    </cfRule>
    <cfRule type="cellIs" dxfId="3267" priority="3592" operator="equal">
      <formula>"Tax"</formula>
    </cfRule>
    <cfRule type="dataBar" priority="3593">
      <dataBar>
        <cfvo type="min"/>
        <cfvo type="max"/>
        <color rgb="FF638EC6"/>
      </dataBar>
    </cfRule>
    <cfRule type="colorScale" priority="3594">
      <colorScale>
        <cfvo type="min"/>
        <cfvo type="percentile" val="50"/>
        <cfvo type="max"/>
        <color rgb="FFF8696B"/>
        <color rgb="FFFFEB84"/>
        <color rgb="FF63BE7B"/>
      </colorScale>
    </cfRule>
    <cfRule type="cellIs" dxfId="3266" priority="3595" operator="equal">
      <formula>"Tax"</formula>
    </cfRule>
    <cfRule type="cellIs" dxfId="3265" priority="3596" operator="equal">
      <formula>"Cost of Sales"</formula>
    </cfRule>
    <cfRule type="cellIs" dxfId="3264" priority="3597" operator="equal">
      <formula>"Payroll"</formula>
    </cfRule>
    <cfRule type="cellIs" dxfId="3263" priority="3598" operator="equal">
      <formula>"Investment"</formula>
    </cfRule>
    <cfRule type="cellIs" dxfId="3262" priority="3599" operator="equal">
      <formula>"Sunk"</formula>
    </cfRule>
    <cfRule type="cellIs" dxfId="3261" priority="3600" operator="equal">
      <formula>"OpEx"</formula>
    </cfRule>
    <cfRule type="cellIs" dxfId="3260" priority="3601" operator="equal">
      <formula>"CapEx"</formula>
    </cfRule>
    <cfRule type="cellIs" dxfId="3259" priority="3602" operator="equal">
      <formula>"Income"</formula>
    </cfRule>
  </conditionalFormatting>
  <conditionalFormatting sqref="F819:F820">
    <cfRule type="cellIs" dxfId="3258" priority="3527" operator="equal">
      <formula>"Cost of Sales"</formula>
    </cfRule>
    <cfRule type="cellIs" dxfId="3257" priority="3528" operator="equal">
      <formula>"Payroll"</formula>
    </cfRule>
    <cfRule type="cellIs" dxfId="3256" priority="3529" operator="equal">
      <formula>"Investment"</formula>
    </cfRule>
    <cfRule type="cellIs" dxfId="3255" priority="3530" operator="equal">
      <formula>"Sunk"</formula>
    </cfRule>
    <cfRule type="cellIs" dxfId="3254" priority="3531" operator="equal">
      <formula>"OpEx"</formula>
    </cfRule>
    <cfRule type="cellIs" dxfId="3253" priority="3532" operator="equal">
      <formula>"CapEx"</formula>
    </cfRule>
    <cfRule type="cellIs" dxfId="3252" priority="3533" operator="equal">
      <formula>"Income"</formula>
    </cfRule>
  </conditionalFormatting>
  <conditionalFormatting sqref="F820">
    <cfRule type="dataBar" priority="3524">
      <dataBar>
        <cfvo type="min"/>
        <cfvo type="max"/>
        <color rgb="FF638EC6"/>
      </dataBar>
    </cfRule>
    <cfRule type="colorScale" priority="3525">
      <colorScale>
        <cfvo type="min"/>
        <cfvo type="percentile" val="50"/>
        <cfvo type="max"/>
        <color rgb="FFF8696B"/>
        <color rgb="FFFFEB84"/>
        <color rgb="FF63BE7B"/>
      </colorScale>
    </cfRule>
    <cfRule type="cellIs" dxfId="3251" priority="3526" operator="equal">
      <formula>"Tax"</formula>
    </cfRule>
  </conditionalFormatting>
  <conditionalFormatting sqref="F821">
    <cfRule type="dataBar" priority="3496">
      <dataBar>
        <cfvo type="min"/>
        <cfvo type="max"/>
        <color rgb="FF638EC6"/>
      </dataBar>
    </cfRule>
    <cfRule type="colorScale" priority="3497">
      <colorScale>
        <cfvo type="min"/>
        <cfvo type="percentile" val="50"/>
        <cfvo type="max"/>
        <color rgb="FFF8696B"/>
        <color rgb="FFFFEB84"/>
        <color rgb="FF63BE7B"/>
      </colorScale>
    </cfRule>
    <cfRule type="cellIs" dxfId="3250" priority="3498" operator="equal">
      <formula>"Tax"</formula>
    </cfRule>
  </conditionalFormatting>
  <conditionalFormatting sqref="F821:F823">
    <cfRule type="cellIs" dxfId="3249" priority="3499" operator="equal">
      <formula>"Cost of Sales"</formula>
    </cfRule>
    <cfRule type="cellIs" dxfId="3248" priority="3500" operator="equal">
      <formula>"Payroll"</formula>
    </cfRule>
    <cfRule type="cellIs" dxfId="3247" priority="3501" operator="equal">
      <formula>"Investment"</formula>
    </cfRule>
    <cfRule type="cellIs" dxfId="3246" priority="3502" operator="equal">
      <formula>"Sunk"</formula>
    </cfRule>
    <cfRule type="cellIs" dxfId="3245" priority="3503" operator="equal">
      <formula>"OpEx"</formula>
    </cfRule>
    <cfRule type="cellIs" dxfId="3244" priority="3504" operator="equal">
      <formula>"CapEx"</formula>
    </cfRule>
    <cfRule type="cellIs" dxfId="3243" priority="3505" operator="equal">
      <formula>"Income"</formula>
    </cfRule>
  </conditionalFormatting>
  <conditionalFormatting sqref="F822">
    <cfRule type="dataBar" priority="3493">
      <dataBar>
        <cfvo type="min"/>
        <cfvo type="max"/>
        <color rgb="FF638EC6"/>
      </dataBar>
    </cfRule>
    <cfRule type="colorScale" priority="3494">
      <colorScale>
        <cfvo type="min"/>
        <cfvo type="percentile" val="50"/>
        <cfvo type="max"/>
        <color rgb="FFF8696B"/>
        <color rgb="FFFFEB84"/>
        <color rgb="FF63BE7B"/>
      </colorScale>
    </cfRule>
    <cfRule type="cellIs" dxfId="3242" priority="3495" operator="equal">
      <formula>"Tax"</formula>
    </cfRule>
  </conditionalFormatting>
  <conditionalFormatting sqref="F823">
    <cfRule type="dataBar" priority="3487">
      <dataBar>
        <cfvo type="min"/>
        <cfvo type="max"/>
        <color rgb="FF638EC6"/>
      </dataBar>
    </cfRule>
    <cfRule type="colorScale" priority="3488">
      <colorScale>
        <cfvo type="min"/>
        <cfvo type="percentile" val="50"/>
        <cfvo type="max"/>
        <color rgb="FFF8696B"/>
        <color rgb="FFFFEB84"/>
        <color rgb="FF63BE7B"/>
      </colorScale>
    </cfRule>
    <cfRule type="cellIs" dxfId="3241" priority="3489" operator="equal">
      <formula>"Tax"</formula>
    </cfRule>
    <cfRule type="dataBar" priority="3490">
      <dataBar>
        <cfvo type="min"/>
        <cfvo type="max"/>
        <color rgb="FF638EC6"/>
      </dataBar>
    </cfRule>
    <cfRule type="colorScale" priority="3491">
      <colorScale>
        <cfvo type="min"/>
        <cfvo type="percentile" val="50"/>
        <cfvo type="max"/>
        <color rgb="FFF8696B"/>
        <color rgb="FFFFEB84"/>
        <color rgb="FF63BE7B"/>
      </colorScale>
    </cfRule>
    <cfRule type="cellIs" dxfId="3240" priority="3492" operator="equal">
      <formula>"Tax"</formula>
    </cfRule>
  </conditionalFormatting>
  <conditionalFormatting sqref="F823:F824">
    <cfRule type="cellIs" dxfId="3239" priority="3480" operator="equal">
      <formula>"Income"</formula>
    </cfRule>
    <cfRule type="cellIs" dxfId="3238" priority="3481" operator="equal">
      <formula>"Cost of Sales"</formula>
    </cfRule>
    <cfRule type="cellIs" dxfId="3237" priority="3482" operator="equal">
      <formula>"Payroll"</formula>
    </cfRule>
    <cfRule type="cellIs" dxfId="3236" priority="3483" operator="equal">
      <formula>"Investment"</formula>
    </cfRule>
    <cfRule type="cellIs" dxfId="3235" priority="3484" operator="equal">
      <formula>"Sunk"</formula>
    </cfRule>
    <cfRule type="cellIs" dxfId="3234" priority="3485" operator="equal">
      <formula>"OpEx"</formula>
    </cfRule>
    <cfRule type="cellIs" dxfId="3233" priority="3486" operator="equal">
      <formula>"CapEx"</formula>
    </cfRule>
  </conditionalFormatting>
  <conditionalFormatting sqref="F824">
    <cfRule type="dataBar" priority="3477">
      <dataBar>
        <cfvo type="min"/>
        <cfvo type="max"/>
        <color rgb="FF638EC6"/>
      </dataBar>
    </cfRule>
    <cfRule type="colorScale" priority="3478">
      <colorScale>
        <cfvo type="min"/>
        <cfvo type="percentile" val="50"/>
        <cfvo type="max"/>
        <color rgb="FFF8696B"/>
        <color rgb="FFFFEB84"/>
        <color rgb="FF63BE7B"/>
      </colorScale>
    </cfRule>
    <cfRule type="cellIs" dxfId="3232" priority="3479" operator="equal">
      <formula>"Tax"</formula>
    </cfRule>
  </conditionalFormatting>
  <conditionalFormatting sqref="F825 F837 F850 F852 F865:F866 F888:F892 F907">
    <cfRule type="cellIs" dxfId="3231" priority="3445" operator="equal">
      <formula>"Tax"</formula>
    </cfRule>
    <cfRule type="cellIs" dxfId="3230" priority="3446" operator="equal">
      <formula>"Income"</formula>
    </cfRule>
    <cfRule type="cellIs" dxfId="3229" priority="3447" operator="equal">
      <formula>"Cost of Sales"</formula>
    </cfRule>
    <cfRule type="cellIs" dxfId="3228" priority="3448" operator="equal">
      <formula>"Payroll"</formula>
    </cfRule>
    <cfRule type="cellIs" dxfId="3227" priority="3449" operator="equal">
      <formula>"Investment"</formula>
    </cfRule>
    <cfRule type="cellIs" dxfId="3226" priority="3450" operator="equal">
      <formula>"Sunk"</formula>
    </cfRule>
    <cfRule type="cellIs" dxfId="3225" priority="3451" operator="equal">
      <formula>"OpEx"</formula>
    </cfRule>
    <cfRule type="cellIs" dxfId="3224" priority="3452" operator="equal">
      <formula>"CapEx"</formula>
    </cfRule>
    <cfRule type="cellIs" dxfId="3223" priority="3455" operator="equal">
      <formula>"Tax"</formula>
    </cfRule>
    <cfRule type="cellIs" dxfId="3222" priority="3456" operator="equal">
      <formula>"Income"</formula>
    </cfRule>
    <cfRule type="cellIs" dxfId="3221" priority="3459" operator="equal">
      <formula>"Tax"</formula>
    </cfRule>
    <cfRule type="cellIs" dxfId="3220" priority="3460" operator="equal">
      <formula>"Cost of Sales"</formula>
    </cfRule>
    <cfRule type="cellIs" dxfId="3219" priority="3461" operator="equal">
      <formula>"Payroll"</formula>
    </cfRule>
    <cfRule type="cellIs" dxfId="3218" priority="3462" operator="equal">
      <formula>"Investment"</formula>
    </cfRule>
    <cfRule type="cellIs" dxfId="3217" priority="3463" operator="equal">
      <formula>"Sunk"</formula>
    </cfRule>
    <cfRule type="cellIs" dxfId="3216" priority="3464" operator="equal">
      <formula>"OpEx"</formula>
    </cfRule>
    <cfRule type="cellIs" dxfId="3215" priority="3465" operator="equal">
      <formula>"CapEx"</formula>
    </cfRule>
  </conditionalFormatting>
  <conditionalFormatting sqref="F825:F826">
    <cfRule type="cellIs" dxfId="3214" priority="3370" operator="equal">
      <formula>"Income"</formula>
    </cfRule>
    <cfRule type="cellIs" dxfId="3213" priority="3374" operator="equal">
      <formula>"Cost of Sales"</formula>
    </cfRule>
    <cfRule type="cellIs" dxfId="3212" priority="3375" operator="equal">
      <formula>"Payroll"</formula>
    </cfRule>
    <cfRule type="cellIs" dxfId="3211" priority="3376" operator="equal">
      <formula>"Investment"</formula>
    </cfRule>
    <cfRule type="cellIs" dxfId="3210" priority="3377" operator="equal">
      <formula>"Sunk"</formula>
    </cfRule>
    <cfRule type="cellIs" dxfId="3209" priority="3378" operator="equal">
      <formula>"OpEx"</formula>
    </cfRule>
    <cfRule type="cellIs" dxfId="3208" priority="3379" operator="equal">
      <formula>"CapEx"</formula>
    </cfRule>
  </conditionalFormatting>
  <conditionalFormatting sqref="F826">
    <cfRule type="cellIs" dxfId="3207" priority="3350" operator="equal">
      <formula>"Cost of Sales"</formula>
    </cfRule>
    <cfRule type="cellIs" dxfId="3206" priority="3351" operator="equal">
      <formula>"Payroll"</formula>
    </cfRule>
    <cfRule type="cellIs" dxfId="3205" priority="3352" operator="equal">
      <formula>"Investment"</formula>
    </cfRule>
    <cfRule type="cellIs" dxfId="3204" priority="3353" operator="equal">
      <formula>"Sunk"</formula>
    </cfRule>
    <cfRule type="cellIs" dxfId="3203" priority="3354" operator="equal">
      <formula>"OpEx"</formula>
    </cfRule>
    <cfRule type="cellIs" dxfId="3202" priority="3355" operator="equal">
      <formula>"CapEx"</formula>
    </cfRule>
    <cfRule type="cellIs" dxfId="3201" priority="3356" operator="equal">
      <formula>"Income"</formula>
    </cfRule>
    <cfRule type="dataBar" priority="3357">
      <dataBar>
        <cfvo type="min"/>
        <cfvo type="max"/>
        <color rgb="FF638EC6"/>
      </dataBar>
    </cfRule>
    <cfRule type="colorScale" priority="3358">
      <colorScale>
        <cfvo type="min"/>
        <cfvo type="percentile" val="50"/>
        <cfvo type="max"/>
        <color rgb="FFF8696B"/>
        <color rgb="FFFFEB84"/>
        <color rgb="FF63BE7B"/>
      </colorScale>
    </cfRule>
    <cfRule type="cellIs" dxfId="3200" priority="3359" operator="equal">
      <formula>"Tax"</formula>
    </cfRule>
    <cfRule type="cellIs" dxfId="3199" priority="3360" operator="equal">
      <formula>"Income"</formula>
    </cfRule>
    <cfRule type="cellIs" dxfId="3198" priority="3361" operator="equal">
      <formula>"Cost of Sales"</formula>
    </cfRule>
    <cfRule type="cellIs" dxfId="3197" priority="3362" operator="equal">
      <formula>"Payroll"</formula>
    </cfRule>
    <cfRule type="cellIs" dxfId="3196" priority="3363" operator="equal">
      <formula>"Investment"</formula>
    </cfRule>
    <cfRule type="cellIs" dxfId="3195" priority="3364" operator="equal">
      <formula>"Sunk"</formula>
    </cfRule>
    <cfRule type="cellIs" dxfId="3194" priority="3365" operator="equal">
      <formula>"OpEx"</formula>
    </cfRule>
    <cfRule type="cellIs" dxfId="3193" priority="3366" operator="equal">
      <formula>"CapEx"</formula>
    </cfRule>
    <cfRule type="dataBar" priority="3367">
      <dataBar>
        <cfvo type="min"/>
        <cfvo type="max"/>
        <color rgb="FF638EC6"/>
      </dataBar>
    </cfRule>
    <cfRule type="colorScale" priority="3368">
      <colorScale>
        <cfvo type="min"/>
        <cfvo type="percentile" val="50"/>
        <cfvo type="max"/>
        <color rgb="FFF8696B"/>
        <color rgb="FFFFEB84"/>
        <color rgb="FF63BE7B"/>
      </colorScale>
    </cfRule>
    <cfRule type="cellIs" dxfId="3192" priority="3369" operator="equal">
      <formula>"Tax"</formula>
    </cfRule>
    <cfRule type="dataBar" priority="3371">
      <dataBar>
        <cfvo type="min"/>
        <cfvo type="max"/>
        <color rgb="FF638EC6"/>
      </dataBar>
    </cfRule>
    <cfRule type="colorScale" priority="3372">
      <colorScale>
        <cfvo type="min"/>
        <cfvo type="percentile" val="50"/>
        <cfvo type="max"/>
        <color rgb="FFF8696B"/>
        <color rgb="FFFFEB84"/>
        <color rgb="FF63BE7B"/>
      </colorScale>
    </cfRule>
    <cfRule type="cellIs" dxfId="3191" priority="3373" operator="equal">
      <formula>"Tax"</formula>
    </cfRule>
  </conditionalFormatting>
  <conditionalFormatting sqref="F827">
    <cfRule type="dataBar" priority="3398">
      <dataBar>
        <cfvo type="min"/>
        <cfvo type="max"/>
        <color rgb="FF638EC6"/>
      </dataBar>
    </cfRule>
    <cfRule type="colorScale" priority="3399">
      <colorScale>
        <cfvo type="min"/>
        <cfvo type="percentile" val="50"/>
        <cfvo type="max"/>
        <color rgb="FFF8696B"/>
        <color rgb="FFFFEB84"/>
        <color rgb="FF63BE7B"/>
      </colorScale>
    </cfRule>
    <cfRule type="cellIs" dxfId="3190" priority="3400" operator="equal">
      <formula>"Tax"</formula>
    </cfRule>
    <cfRule type="cellIs" dxfId="3189" priority="3401" operator="equal">
      <formula>"Cost of Sales"</formula>
    </cfRule>
    <cfRule type="cellIs" dxfId="3188" priority="3402" operator="equal">
      <formula>"Payroll"</formula>
    </cfRule>
    <cfRule type="cellIs" dxfId="3187" priority="3403" operator="equal">
      <formula>"Investment"</formula>
    </cfRule>
    <cfRule type="cellIs" dxfId="3186" priority="3404" operator="equal">
      <formula>"Sunk"</formula>
    </cfRule>
    <cfRule type="cellIs" dxfId="3185" priority="3405" operator="equal">
      <formula>"OpEx"</formula>
    </cfRule>
    <cfRule type="cellIs" dxfId="3184" priority="3406" operator="equal">
      <formula>"CapEx"</formula>
    </cfRule>
    <cfRule type="cellIs" dxfId="3183" priority="3407" operator="equal">
      <formula>"Income"</formula>
    </cfRule>
  </conditionalFormatting>
  <conditionalFormatting sqref="F828">
    <cfRule type="dataBar" priority="3419">
      <dataBar>
        <cfvo type="min"/>
        <cfvo type="max"/>
        <color rgb="FF638EC6"/>
      </dataBar>
    </cfRule>
    <cfRule type="colorScale" priority="3420">
      <colorScale>
        <cfvo type="min"/>
        <cfvo type="percentile" val="50"/>
        <cfvo type="max"/>
        <color rgb="FFF8696B"/>
        <color rgb="FFFFEB84"/>
        <color rgb="FF63BE7B"/>
      </colorScale>
    </cfRule>
    <cfRule type="cellIs" dxfId="3182" priority="3421" operator="equal">
      <formula>"Tax"</formula>
    </cfRule>
    <cfRule type="cellIs" dxfId="3181" priority="3422" operator="equal">
      <formula>"Cost of Sales"</formula>
    </cfRule>
    <cfRule type="cellIs" dxfId="3180" priority="3423" operator="equal">
      <formula>"Payroll"</formula>
    </cfRule>
    <cfRule type="cellIs" dxfId="3179" priority="3424" operator="equal">
      <formula>"Investment"</formula>
    </cfRule>
    <cfRule type="cellIs" dxfId="3178" priority="3425" operator="equal">
      <formula>"Sunk"</formula>
    </cfRule>
    <cfRule type="cellIs" dxfId="3177" priority="3426" operator="equal">
      <formula>"OpEx"</formula>
    </cfRule>
    <cfRule type="cellIs" dxfId="3176" priority="3427" operator="equal">
      <formula>"CapEx"</formula>
    </cfRule>
    <cfRule type="cellIs" dxfId="3175" priority="3428" operator="equal">
      <formula>"Income"</formula>
    </cfRule>
  </conditionalFormatting>
  <conditionalFormatting sqref="F829">
    <cfRule type="dataBar" priority="3333">
      <dataBar>
        <cfvo type="min"/>
        <cfvo type="max"/>
        <color rgb="FF638EC6"/>
      </dataBar>
    </cfRule>
    <cfRule type="colorScale" priority="3334">
      <colorScale>
        <cfvo type="min"/>
        <cfvo type="percentile" val="50"/>
        <cfvo type="max"/>
        <color rgb="FFF8696B"/>
        <color rgb="FFFFEB84"/>
        <color rgb="FF63BE7B"/>
      </colorScale>
    </cfRule>
    <cfRule type="cellIs" dxfId="3174" priority="3335" operator="equal">
      <formula>"Tax"</formula>
    </cfRule>
    <cfRule type="dataBar" priority="3336">
      <dataBar>
        <cfvo type="min"/>
        <cfvo type="max"/>
        <color rgb="FF638EC6"/>
      </dataBar>
    </cfRule>
    <cfRule type="colorScale" priority="3337">
      <colorScale>
        <cfvo type="min"/>
        <cfvo type="percentile" val="50"/>
        <cfvo type="max"/>
        <color rgb="FFF8696B"/>
        <color rgb="FFFFEB84"/>
        <color rgb="FF63BE7B"/>
      </colorScale>
    </cfRule>
    <cfRule type="cellIs" dxfId="3173" priority="3338" operator="equal">
      <formula>"Tax"</formula>
    </cfRule>
    <cfRule type="cellIs" dxfId="3172" priority="3339" operator="equal">
      <formula>"Income"</formula>
    </cfRule>
    <cfRule type="cellIs" dxfId="3171" priority="3340" operator="equal">
      <formula>"Cost of Sales"</formula>
    </cfRule>
    <cfRule type="cellIs" dxfId="3170" priority="3341" operator="equal">
      <formula>"Payroll"</formula>
    </cfRule>
    <cfRule type="cellIs" dxfId="3169" priority="3342" operator="equal">
      <formula>"Investment"</formula>
    </cfRule>
    <cfRule type="cellIs" dxfId="3168" priority="3343" operator="equal">
      <formula>"Sunk"</formula>
    </cfRule>
    <cfRule type="cellIs" dxfId="3167" priority="3344" operator="equal">
      <formula>"OpEx"</formula>
    </cfRule>
    <cfRule type="cellIs" dxfId="3166" priority="3345" operator="equal">
      <formula>"CapEx"</formula>
    </cfRule>
  </conditionalFormatting>
  <conditionalFormatting sqref="F829:F830">
    <cfRule type="cellIs" dxfId="3165" priority="3297" operator="equal">
      <formula>"Cost of Sales"</formula>
    </cfRule>
    <cfRule type="cellIs" dxfId="3164" priority="3298" operator="equal">
      <formula>"Payroll"</formula>
    </cfRule>
    <cfRule type="cellIs" dxfId="3163" priority="3299" operator="equal">
      <formula>"Investment"</formula>
    </cfRule>
    <cfRule type="cellIs" dxfId="3162" priority="3300" operator="equal">
      <formula>"Sunk"</formula>
    </cfRule>
    <cfRule type="cellIs" dxfId="3161" priority="3301" operator="equal">
      <formula>"OpEx"</formula>
    </cfRule>
    <cfRule type="cellIs" dxfId="3160" priority="3302" operator="equal">
      <formula>"CapEx"</formula>
    </cfRule>
    <cfRule type="cellIs" dxfId="3159" priority="3303" operator="equal">
      <formula>"Income"</formula>
    </cfRule>
  </conditionalFormatting>
  <conditionalFormatting sqref="F830">
    <cfRule type="dataBar" priority="3294">
      <dataBar>
        <cfvo type="min"/>
        <cfvo type="max"/>
        <color rgb="FF638EC6"/>
      </dataBar>
    </cfRule>
    <cfRule type="colorScale" priority="3295">
      <colorScale>
        <cfvo type="min"/>
        <cfvo type="percentile" val="50"/>
        <cfvo type="max"/>
        <color rgb="FFF8696B"/>
        <color rgb="FFFFEB84"/>
        <color rgb="FF63BE7B"/>
      </colorScale>
    </cfRule>
    <cfRule type="cellIs" dxfId="3158" priority="3296" operator="equal">
      <formula>"Tax"</formula>
    </cfRule>
  </conditionalFormatting>
  <conditionalFormatting sqref="F831">
    <cfRule type="dataBar" priority="3285">
      <dataBar>
        <cfvo type="min"/>
        <cfvo type="max"/>
        <color rgb="FF638EC6"/>
      </dataBar>
    </cfRule>
    <cfRule type="colorScale" priority="3286">
      <colorScale>
        <cfvo type="min"/>
        <cfvo type="percentile" val="50"/>
        <cfvo type="max"/>
        <color rgb="FFF8696B"/>
        <color rgb="FFFFEB84"/>
        <color rgb="FF63BE7B"/>
      </colorScale>
    </cfRule>
    <cfRule type="cellIs" dxfId="3157" priority="3287" operator="equal">
      <formula>"Income"</formula>
    </cfRule>
    <cfRule type="cellIs" dxfId="3156" priority="3288" operator="equal">
      <formula>"Cost of Sales"</formula>
    </cfRule>
    <cfRule type="cellIs" dxfId="3155" priority="3289" operator="equal">
      <formula>"Payroll"</formula>
    </cfRule>
    <cfRule type="cellIs" dxfId="3154" priority="3290" operator="equal">
      <formula>"Investment"</formula>
    </cfRule>
    <cfRule type="cellIs" dxfId="3153" priority="3291" operator="equal">
      <formula>"Sunk"</formula>
    </cfRule>
    <cfRule type="cellIs" dxfId="3152" priority="3292" operator="equal">
      <formula>"OpEx"</formula>
    </cfRule>
    <cfRule type="cellIs" dxfId="3151" priority="3293" operator="equal">
      <formula>"CapEx"</formula>
    </cfRule>
  </conditionalFormatting>
  <conditionalFormatting sqref="F831:F832">
    <cfRule type="cellIs" dxfId="3150" priority="3272" operator="equal">
      <formula>"Tax"</formula>
    </cfRule>
  </conditionalFormatting>
  <conditionalFormatting sqref="F832">
    <cfRule type="dataBar" priority="3260">
      <dataBar>
        <cfvo type="min"/>
        <cfvo type="max"/>
        <color rgb="FF638EC6"/>
      </dataBar>
    </cfRule>
    <cfRule type="colorScale" priority="3261">
      <colorScale>
        <cfvo type="min"/>
        <cfvo type="percentile" val="50"/>
        <cfvo type="max"/>
        <color rgb="FFF8696B"/>
        <color rgb="FFFFEB84"/>
        <color rgb="FF63BE7B"/>
      </colorScale>
    </cfRule>
    <cfRule type="cellIs" dxfId="3149" priority="3262" operator="equal">
      <formula>"Tax"</formula>
    </cfRule>
    <cfRule type="cellIs" dxfId="3148" priority="3263" operator="equal">
      <formula>"Income"</formula>
    </cfRule>
    <cfRule type="cellIs" dxfId="3147" priority="3264" operator="equal">
      <formula>"Cost of Sales"</formula>
    </cfRule>
    <cfRule type="cellIs" dxfId="3146" priority="3265" operator="equal">
      <formula>"Payroll"</formula>
    </cfRule>
    <cfRule type="cellIs" dxfId="3145" priority="3266" operator="equal">
      <formula>"Investment"</formula>
    </cfRule>
    <cfRule type="cellIs" dxfId="3144" priority="3267" operator="equal">
      <formula>"Sunk"</formula>
    </cfRule>
    <cfRule type="cellIs" dxfId="3143" priority="3268" operator="equal">
      <formula>"OpEx"</formula>
    </cfRule>
    <cfRule type="cellIs" dxfId="3142" priority="3269" operator="equal">
      <formula>"CapEx"</formula>
    </cfRule>
    <cfRule type="dataBar" priority="3270">
      <dataBar>
        <cfvo type="min"/>
        <cfvo type="max"/>
        <color rgb="FF638EC6"/>
      </dataBar>
    </cfRule>
    <cfRule type="colorScale" priority="3271">
      <colorScale>
        <cfvo type="min"/>
        <cfvo type="percentile" val="50"/>
        <cfvo type="max"/>
        <color rgb="FFF8696B"/>
        <color rgb="FFFFEB84"/>
        <color rgb="FF63BE7B"/>
      </colorScale>
    </cfRule>
  </conditionalFormatting>
  <conditionalFormatting sqref="F832:F833">
    <cfRule type="cellIs" dxfId="3141" priority="3214" operator="equal">
      <formula>"Cost of Sales"</formula>
    </cfRule>
    <cfRule type="cellIs" dxfId="3140" priority="3215" operator="equal">
      <formula>"Payroll"</formula>
    </cfRule>
    <cfRule type="cellIs" dxfId="3139" priority="3216" operator="equal">
      <formula>"Investment"</formula>
    </cfRule>
    <cfRule type="cellIs" dxfId="3138" priority="3217" operator="equal">
      <formula>"Sunk"</formula>
    </cfRule>
    <cfRule type="cellIs" dxfId="3137" priority="3218" operator="equal">
      <formula>"OpEx"</formula>
    </cfRule>
    <cfRule type="cellIs" dxfId="3136" priority="3219" operator="equal">
      <formula>"CapEx"</formula>
    </cfRule>
    <cfRule type="cellIs" dxfId="3135" priority="3220" operator="equal">
      <formula>"Income"</formula>
    </cfRule>
  </conditionalFormatting>
  <conditionalFormatting sqref="F833">
    <cfRule type="dataBar" priority="3211">
      <dataBar>
        <cfvo type="min"/>
        <cfvo type="max"/>
        <color rgb="FF638EC6"/>
      </dataBar>
    </cfRule>
    <cfRule type="colorScale" priority="3212">
      <colorScale>
        <cfvo type="min"/>
        <cfvo type="percentile" val="50"/>
        <cfvo type="max"/>
        <color rgb="FFF8696B"/>
        <color rgb="FFFFEB84"/>
        <color rgb="FF63BE7B"/>
      </colorScale>
    </cfRule>
    <cfRule type="cellIs" dxfId="3134" priority="3213" operator="equal">
      <formula>"Tax"</formula>
    </cfRule>
  </conditionalFormatting>
  <conditionalFormatting sqref="F834">
    <cfRule type="dataBar" priority="3232">
      <dataBar>
        <cfvo type="min"/>
        <cfvo type="max"/>
        <color rgb="FF638EC6"/>
      </dataBar>
    </cfRule>
    <cfRule type="colorScale" priority="3233">
      <colorScale>
        <cfvo type="min"/>
        <cfvo type="percentile" val="50"/>
        <cfvo type="max"/>
        <color rgb="FFF8696B"/>
        <color rgb="FFFFEB84"/>
        <color rgb="FF63BE7B"/>
      </colorScale>
    </cfRule>
    <cfRule type="cellIs" dxfId="3133" priority="3234" operator="equal">
      <formula>"Tax"</formula>
    </cfRule>
    <cfRule type="cellIs" dxfId="3132" priority="3235" operator="equal">
      <formula>"Cost of Sales"</formula>
    </cfRule>
    <cfRule type="cellIs" dxfId="3131" priority="3236" operator="equal">
      <formula>"Payroll"</formula>
    </cfRule>
    <cfRule type="cellIs" dxfId="3130" priority="3237" operator="equal">
      <formula>"Investment"</formula>
    </cfRule>
    <cfRule type="cellIs" dxfId="3129" priority="3238" operator="equal">
      <formula>"Sunk"</formula>
    </cfRule>
    <cfRule type="cellIs" dxfId="3128" priority="3239" operator="equal">
      <formula>"OpEx"</formula>
    </cfRule>
    <cfRule type="cellIs" dxfId="3127" priority="3240" operator="equal">
      <formula>"CapEx"</formula>
    </cfRule>
    <cfRule type="cellIs" dxfId="3126" priority="3241" operator="equal">
      <formula>"Income"</formula>
    </cfRule>
  </conditionalFormatting>
  <conditionalFormatting sqref="F835">
    <cfRule type="dataBar" priority="3169">
      <dataBar>
        <cfvo type="min"/>
        <cfvo type="max"/>
        <color rgb="FF638EC6"/>
      </dataBar>
    </cfRule>
    <cfRule type="colorScale" priority="3170">
      <colorScale>
        <cfvo type="min"/>
        <cfvo type="percentile" val="50"/>
        <cfvo type="max"/>
        <color rgb="FFF8696B"/>
        <color rgb="FFFFEB84"/>
        <color rgb="FF63BE7B"/>
      </colorScale>
    </cfRule>
    <cfRule type="cellIs" dxfId="3125" priority="3171" operator="equal">
      <formula>"Tax"</formula>
    </cfRule>
    <cfRule type="cellIs" dxfId="3124" priority="3172" operator="equal">
      <formula>"Income"</formula>
    </cfRule>
    <cfRule type="cellIs" dxfId="3123" priority="3173" operator="equal">
      <formula>"Cost of Sales"</formula>
    </cfRule>
    <cfRule type="cellIs" dxfId="3122" priority="3174" operator="equal">
      <formula>"Payroll"</formula>
    </cfRule>
    <cfRule type="cellIs" dxfId="3121" priority="3175" operator="equal">
      <formula>"Investment"</formula>
    </cfRule>
    <cfRule type="cellIs" dxfId="3120" priority="3176" operator="equal">
      <formula>"Sunk"</formula>
    </cfRule>
    <cfRule type="cellIs" dxfId="3119" priority="3177" operator="equal">
      <formula>"OpEx"</formula>
    </cfRule>
    <cfRule type="cellIs" dxfId="3118" priority="3178" operator="equal">
      <formula>"CapEx"</formula>
    </cfRule>
    <cfRule type="dataBar" priority="3179">
      <dataBar>
        <cfvo type="min"/>
        <cfvo type="max"/>
        <color rgb="FF638EC6"/>
      </dataBar>
    </cfRule>
    <cfRule type="colorScale" priority="3180">
      <colorScale>
        <cfvo type="min"/>
        <cfvo type="percentile" val="50"/>
        <cfvo type="max"/>
        <color rgb="FFF8696B"/>
        <color rgb="FFFFEB84"/>
        <color rgb="FF63BE7B"/>
      </colorScale>
    </cfRule>
    <cfRule type="cellIs" dxfId="3117" priority="3181" operator="equal">
      <formula>"Tax"</formula>
    </cfRule>
    <cfRule type="cellIs" dxfId="3116" priority="3182" operator="equal">
      <formula>"Income"</formula>
    </cfRule>
    <cfRule type="dataBar" priority="3183">
      <dataBar>
        <cfvo type="min"/>
        <cfvo type="max"/>
        <color rgb="FF638EC6"/>
      </dataBar>
    </cfRule>
    <cfRule type="colorScale" priority="3184">
      <colorScale>
        <cfvo type="min"/>
        <cfvo type="percentile" val="50"/>
        <cfvo type="max"/>
        <color rgb="FFF8696B"/>
        <color rgb="FFFFEB84"/>
        <color rgb="FF63BE7B"/>
      </colorScale>
    </cfRule>
    <cfRule type="cellIs" dxfId="3115" priority="3185" operator="equal">
      <formula>"Tax"</formula>
    </cfRule>
    <cfRule type="cellIs" dxfId="3114" priority="3186" operator="equal">
      <formula>"Cost of Sales"</formula>
    </cfRule>
    <cfRule type="cellIs" dxfId="3113" priority="3187" operator="equal">
      <formula>"Payroll"</formula>
    </cfRule>
    <cfRule type="cellIs" dxfId="3112" priority="3188" operator="equal">
      <formula>"Investment"</formula>
    </cfRule>
    <cfRule type="cellIs" dxfId="3111" priority="3189" operator="equal">
      <formula>"Sunk"</formula>
    </cfRule>
    <cfRule type="cellIs" dxfId="3110" priority="3190" operator="equal">
      <formula>"OpEx"</formula>
    </cfRule>
    <cfRule type="cellIs" dxfId="3109" priority="3191" operator="equal">
      <formula>"CapEx"</formula>
    </cfRule>
  </conditionalFormatting>
  <conditionalFormatting sqref="F835:F837">
    <cfRule type="cellIs" dxfId="3108" priority="3143" operator="equal">
      <formula>"Income"</formula>
    </cfRule>
    <cfRule type="cellIs" dxfId="3107" priority="3144" operator="equal">
      <formula>"Cost of Sales"</formula>
    </cfRule>
    <cfRule type="cellIs" dxfId="3106" priority="3145" operator="equal">
      <formula>"Payroll"</formula>
    </cfRule>
    <cfRule type="cellIs" dxfId="3105" priority="3146" operator="equal">
      <formula>"Investment"</formula>
    </cfRule>
    <cfRule type="cellIs" dxfId="3104" priority="3147" operator="equal">
      <formula>"Sunk"</formula>
    </cfRule>
    <cfRule type="cellIs" dxfId="3103" priority="3148" operator="equal">
      <formula>"OpEx"</formula>
    </cfRule>
    <cfRule type="cellIs" dxfId="3102" priority="3149" operator="equal">
      <formula>"CapEx"</formula>
    </cfRule>
  </conditionalFormatting>
  <conditionalFormatting sqref="F836">
    <cfRule type="dataBar" priority="3140">
      <dataBar>
        <cfvo type="min"/>
        <cfvo type="max"/>
        <color rgb="FF638EC6"/>
      </dataBar>
    </cfRule>
    <cfRule type="colorScale" priority="3141">
      <colorScale>
        <cfvo type="min"/>
        <cfvo type="percentile" val="50"/>
        <cfvo type="max"/>
        <color rgb="FFF8696B"/>
        <color rgb="FFFFEB84"/>
        <color rgb="FF63BE7B"/>
      </colorScale>
    </cfRule>
    <cfRule type="cellIs" dxfId="3101" priority="3142" operator="equal">
      <formula>"Tax"</formula>
    </cfRule>
  </conditionalFormatting>
  <conditionalFormatting sqref="F838">
    <cfRule type="dataBar" priority="2915">
      <dataBar>
        <cfvo type="min"/>
        <cfvo type="max"/>
        <color rgb="FF638EC6"/>
      </dataBar>
    </cfRule>
    <cfRule type="colorScale" priority="2916">
      <colorScale>
        <cfvo type="min"/>
        <cfvo type="percentile" val="50"/>
        <cfvo type="max"/>
        <color rgb="FFF8696B"/>
        <color rgb="FFFFEB84"/>
        <color rgb="FF63BE7B"/>
      </colorScale>
    </cfRule>
    <cfRule type="cellIs" dxfId="3100" priority="2917" operator="equal">
      <formula>"Tax"</formula>
    </cfRule>
    <cfRule type="cellIs" dxfId="3099" priority="2918" operator="equal">
      <formula>"Cost of Sales"</formula>
    </cfRule>
    <cfRule type="cellIs" dxfId="3098" priority="2919" operator="equal">
      <formula>"Payroll"</formula>
    </cfRule>
    <cfRule type="cellIs" dxfId="3097" priority="2920" operator="equal">
      <formula>"Investment"</formula>
    </cfRule>
    <cfRule type="cellIs" dxfId="3096" priority="2921" operator="equal">
      <formula>"Sunk"</formula>
    </cfRule>
    <cfRule type="cellIs" dxfId="3095" priority="2922" operator="equal">
      <formula>"OpEx"</formula>
    </cfRule>
    <cfRule type="cellIs" dxfId="3094" priority="2923" operator="equal">
      <formula>"CapEx"</formula>
    </cfRule>
    <cfRule type="cellIs" dxfId="3093" priority="2924" operator="equal">
      <formula>"Income"</formula>
    </cfRule>
  </conditionalFormatting>
  <conditionalFormatting sqref="F839">
    <cfRule type="dataBar" priority="3088">
      <dataBar>
        <cfvo type="min"/>
        <cfvo type="max"/>
        <color rgb="FF638EC6"/>
      </dataBar>
    </cfRule>
    <cfRule type="colorScale" priority="3089">
      <colorScale>
        <cfvo type="min"/>
        <cfvo type="percentile" val="50"/>
        <cfvo type="max"/>
        <color rgb="FFF8696B"/>
        <color rgb="FFFFEB84"/>
        <color rgb="FF63BE7B"/>
      </colorScale>
    </cfRule>
    <cfRule type="cellIs" dxfId="3092" priority="3090" operator="equal">
      <formula>"Tax"</formula>
    </cfRule>
  </conditionalFormatting>
  <conditionalFormatting sqref="F839:F840">
    <cfRule type="cellIs" dxfId="3091" priority="3035" operator="equal">
      <formula>"Cost of Sales"</formula>
    </cfRule>
    <cfRule type="cellIs" dxfId="3090" priority="3036" operator="equal">
      <formula>"Payroll"</formula>
    </cfRule>
    <cfRule type="cellIs" dxfId="3089" priority="3037" operator="equal">
      <formula>"Investment"</formula>
    </cfRule>
    <cfRule type="cellIs" dxfId="3088" priority="3038" operator="equal">
      <formula>"Sunk"</formula>
    </cfRule>
    <cfRule type="cellIs" dxfId="3087" priority="3039" operator="equal">
      <formula>"OpEx"</formula>
    </cfRule>
    <cfRule type="cellIs" dxfId="3086" priority="3040" operator="equal">
      <formula>"CapEx"</formula>
    </cfRule>
    <cfRule type="cellIs" dxfId="3085" priority="3041" operator="equal">
      <formula>"Income"</formula>
    </cfRule>
  </conditionalFormatting>
  <conditionalFormatting sqref="F840">
    <cfRule type="dataBar" priority="3032">
      <dataBar>
        <cfvo type="min"/>
        <cfvo type="max"/>
        <color rgb="FF638EC6"/>
      </dataBar>
    </cfRule>
    <cfRule type="colorScale" priority="3033">
      <colorScale>
        <cfvo type="min"/>
        <cfvo type="percentile" val="50"/>
        <cfvo type="max"/>
        <color rgb="FFF8696B"/>
        <color rgb="FFFFEB84"/>
        <color rgb="FF63BE7B"/>
      </colorScale>
    </cfRule>
    <cfRule type="cellIs" dxfId="3084" priority="3034" operator="equal">
      <formula>"Tax"</formula>
    </cfRule>
  </conditionalFormatting>
  <conditionalFormatting sqref="F841">
    <cfRule type="dataBar" priority="3022">
      <dataBar>
        <cfvo type="min"/>
        <cfvo type="max"/>
        <color rgb="FF638EC6"/>
      </dataBar>
    </cfRule>
    <cfRule type="colorScale" priority="3023">
      <colorScale>
        <cfvo type="min"/>
        <cfvo type="percentile" val="50"/>
        <cfvo type="max"/>
        <color rgb="FFF8696B"/>
        <color rgb="FFFFEB84"/>
        <color rgb="FF63BE7B"/>
      </colorScale>
    </cfRule>
    <cfRule type="cellIs" dxfId="3083" priority="3024" operator="equal">
      <formula>"Tax"</formula>
    </cfRule>
    <cfRule type="cellIs" dxfId="3082" priority="3025" operator="equal">
      <formula>"Income"</formula>
    </cfRule>
    <cfRule type="cellIs" dxfId="3081" priority="3026" operator="equal">
      <formula>"Cost of Sales"</formula>
    </cfRule>
    <cfRule type="cellIs" dxfId="3080" priority="3027" operator="equal">
      <formula>"Payroll"</formula>
    </cfRule>
    <cfRule type="cellIs" dxfId="3079" priority="3028" operator="equal">
      <formula>"Investment"</formula>
    </cfRule>
    <cfRule type="cellIs" dxfId="3078" priority="3029" operator="equal">
      <formula>"Sunk"</formula>
    </cfRule>
    <cfRule type="cellIs" dxfId="3077" priority="3030" operator="equal">
      <formula>"OpEx"</formula>
    </cfRule>
    <cfRule type="cellIs" dxfId="3076" priority="3031" operator="equal">
      <formula>"CapEx"</formula>
    </cfRule>
  </conditionalFormatting>
  <conditionalFormatting sqref="F842">
    <cfRule type="dataBar" priority="3019">
      <dataBar>
        <cfvo type="min"/>
        <cfvo type="max"/>
        <color rgb="FF638EC6"/>
      </dataBar>
    </cfRule>
    <cfRule type="colorScale" priority="3020">
      <colorScale>
        <cfvo type="min"/>
        <cfvo type="percentile" val="50"/>
        <cfvo type="max"/>
        <color rgb="FFF8696B"/>
        <color rgb="FFFFEB84"/>
        <color rgb="FF63BE7B"/>
      </colorScale>
    </cfRule>
    <cfRule type="cellIs" dxfId="3075" priority="3021" operator="equal">
      <formula>"Tax"</formula>
    </cfRule>
  </conditionalFormatting>
  <conditionalFormatting sqref="F842:F843">
    <cfRule type="cellIs" dxfId="3074" priority="2994" operator="equal">
      <formula>"Income"</formula>
    </cfRule>
    <cfRule type="cellIs" dxfId="3073" priority="2995" operator="equal">
      <formula>"Cost of Sales"</formula>
    </cfRule>
    <cfRule type="cellIs" dxfId="3072" priority="2996" operator="equal">
      <formula>"Payroll"</formula>
    </cfRule>
    <cfRule type="cellIs" dxfId="3071" priority="2997" operator="equal">
      <formula>"Investment"</formula>
    </cfRule>
    <cfRule type="cellIs" dxfId="3070" priority="2998" operator="equal">
      <formula>"Sunk"</formula>
    </cfRule>
    <cfRule type="cellIs" dxfId="3069" priority="2999" operator="equal">
      <formula>"OpEx"</formula>
    </cfRule>
    <cfRule type="cellIs" dxfId="3068" priority="3000" operator="equal">
      <formula>"CapEx"</formula>
    </cfRule>
  </conditionalFormatting>
  <conditionalFormatting sqref="F843">
    <cfRule type="dataBar" priority="2991">
      <dataBar>
        <cfvo type="min"/>
        <cfvo type="max"/>
        <color rgb="FF638EC6"/>
      </dataBar>
    </cfRule>
    <cfRule type="colorScale" priority="2992">
      <colorScale>
        <cfvo type="min"/>
        <cfvo type="percentile" val="50"/>
        <cfvo type="max"/>
        <color rgb="FFF8696B"/>
        <color rgb="FFFFEB84"/>
        <color rgb="FF63BE7B"/>
      </colorScale>
    </cfRule>
    <cfRule type="cellIs" dxfId="3067" priority="2993" operator="equal">
      <formula>"Tax"</formula>
    </cfRule>
  </conditionalFormatting>
  <conditionalFormatting sqref="F844">
    <cfRule type="dataBar" priority="2971">
      <dataBar>
        <cfvo type="min"/>
        <cfvo type="max"/>
        <color rgb="FF638EC6"/>
      </dataBar>
    </cfRule>
    <cfRule type="colorScale" priority="2972">
      <colorScale>
        <cfvo type="min"/>
        <cfvo type="percentile" val="50"/>
        <cfvo type="max"/>
        <color rgb="FFF8696B"/>
        <color rgb="FFFFEB84"/>
        <color rgb="FF63BE7B"/>
      </colorScale>
    </cfRule>
  </conditionalFormatting>
  <conditionalFormatting sqref="F844:F845">
    <cfRule type="cellIs" dxfId="3066" priority="2958" operator="equal">
      <formula>"Tax"</formula>
    </cfRule>
    <cfRule type="cellIs" dxfId="3065" priority="2973" operator="equal">
      <formula>"Cost of Sales"</formula>
    </cfRule>
    <cfRule type="cellIs" dxfId="3064" priority="2974" operator="equal">
      <formula>"Payroll"</formula>
    </cfRule>
    <cfRule type="cellIs" dxfId="3063" priority="2975" operator="equal">
      <formula>"Investment"</formula>
    </cfRule>
    <cfRule type="cellIs" dxfId="3062" priority="2976" operator="equal">
      <formula>"Sunk"</formula>
    </cfRule>
    <cfRule type="cellIs" dxfId="3061" priority="2977" operator="equal">
      <formula>"OpEx"</formula>
    </cfRule>
    <cfRule type="cellIs" dxfId="3060" priority="2978" operator="equal">
      <formula>"CapEx"</formula>
    </cfRule>
    <cfRule type="cellIs" dxfId="3059" priority="2979" operator="equal">
      <formula>"Income"</formula>
    </cfRule>
  </conditionalFormatting>
  <conditionalFormatting sqref="F845">
    <cfRule type="dataBar" priority="2953">
      <dataBar>
        <cfvo type="min"/>
        <cfvo type="max"/>
        <color rgb="FF638EC6"/>
      </dataBar>
    </cfRule>
    <cfRule type="colorScale" priority="2954">
      <colorScale>
        <cfvo type="min"/>
        <cfvo type="percentile" val="50"/>
        <cfvo type="max"/>
        <color rgb="FFF8696B"/>
        <color rgb="FFFFEB84"/>
        <color rgb="FF63BE7B"/>
      </colorScale>
    </cfRule>
    <cfRule type="cellIs" dxfId="3058" priority="2955" operator="equal">
      <formula>"Tax"</formula>
    </cfRule>
    <cfRule type="dataBar" priority="2956">
      <dataBar>
        <cfvo type="min"/>
        <cfvo type="max"/>
        <color rgb="FF638EC6"/>
      </dataBar>
    </cfRule>
    <cfRule type="colorScale" priority="2957">
      <colorScale>
        <cfvo type="min"/>
        <cfvo type="percentile" val="50"/>
        <cfvo type="max"/>
        <color rgb="FFF8696B"/>
        <color rgb="FFFFEB84"/>
        <color rgb="FF63BE7B"/>
      </colorScale>
    </cfRule>
  </conditionalFormatting>
  <conditionalFormatting sqref="F845:F846">
    <cfRule type="cellIs" dxfId="3057" priority="2938" operator="equal">
      <formula>"Income"</formula>
    </cfRule>
    <cfRule type="cellIs" dxfId="3056" priority="2939" operator="equal">
      <formula>"Cost of Sales"</formula>
    </cfRule>
    <cfRule type="cellIs" dxfId="3055" priority="2940" operator="equal">
      <formula>"Payroll"</formula>
    </cfRule>
    <cfRule type="cellIs" dxfId="3054" priority="2941" operator="equal">
      <formula>"Investment"</formula>
    </cfRule>
    <cfRule type="cellIs" dxfId="3053" priority="2942" operator="equal">
      <formula>"Sunk"</formula>
    </cfRule>
    <cfRule type="cellIs" dxfId="3052" priority="2943" operator="equal">
      <formula>"OpEx"</formula>
    </cfRule>
    <cfRule type="cellIs" dxfId="3051" priority="2944" operator="equal">
      <formula>"CapEx"</formula>
    </cfRule>
  </conditionalFormatting>
  <conditionalFormatting sqref="F846">
    <cfRule type="dataBar" priority="2935">
      <dataBar>
        <cfvo type="min"/>
        <cfvo type="max"/>
        <color rgb="FF638EC6"/>
      </dataBar>
    </cfRule>
    <cfRule type="colorScale" priority="2936">
      <colorScale>
        <cfvo type="min"/>
        <cfvo type="percentile" val="50"/>
        <cfvo type="max"/>
        <color rgb="FFF8696B"/>
        <color rgb="FFFFEB84"/>
        <color rgb="FF63BE7B"/>
      </colorScale>
    </cfRule>
    <cfRule type="cellIs" dxfId="3050" priority="2937" operator="equal">
      <formula>"Tax"</formula>
    </cfRule>
  </conditionalFormatting>
  <conditionalFormatting sqref="F847:F848">
    <cfRule type="dataBar" priority="3102">
      <dataBar>
        <cfvo type="min"/>
        <cfvo type="max"/>
        <color rgb="FF638EC6"/>
      </dataBar>
    </cfRule>
    <cfRule type="colorScale" priority="3103">
      <colorScale>
        <cfvo type="min"/>
        <cfvo type="percentile" val="50"/>
        <cfvo type="max"/>
        <color rgb="FFF8696B"/>
        <color rgb="FFFFEB84"/>
        <color rgb="FF63BE7B"/>
      </colorScale>
    </cfRule>
    <cfRule type="cellIs" dxfId="3049" priority="3104" operator="equal">
      <formula>"Tax"</formula>
    </cfRule>
  </conditionalFormatting>
  <conditionalFormatting sqref="F847:F850 F852 F865:F866 F888:F892 F907">
    <cfRule type="cellIs" dxfId="3048" priority="3108" operator="equal">
      <formula>"Income"</formula>
    </cfRule>
    <cfRule type="cellIs" dxfId="3047" priority="3109" operator="equal">
      <formula>"Cost of Sales"</formula>
    </cfRule>
    <cfRule type="cellIs" dxfId="3046" priority="3110" operator="equal">
      <formula>"Payroll"</formula>
    </cfRule>
    <cfRule type="cellIs" dxfId="3045" priority="3111" operator="equal">
      <formula>"Investment"</formula>
    </cfRule>
    <cfRule type="cellIs" dxfId="3044" priority="3112" operator="equal">
      <formula>"Sunk"</formula>
    </cfRule>
    <cfRule type="cellIs" dxfId="3043" priority="3113" operator="equal">
      <formula>"OpEx"</formula>
    </cfRule>
    <cfRule type="cellIs" dxfId="3042" priority="3114" operator="equal">
      <formula>"CapEx"</formula>
    </cfRule>
  </conditionalFormatting>
  <conditionalFormatting sqref="F849">
    <cfRule type="dataBar" priority="3105">
      <dataBar>
        <cfvo type="min"/>
        <cfvo type="max"/>
        <color rgb="FF638EC6"/>
      </dataBar>
    </cfRule>
    <cfRule type="colorScale" priority="3106">
      <colorScale>
        <cfvo type="min"/>
        <cfvo type="percentile" val="50"/>
        <cfvo type="max"/>
        <color rgb="FFF8696B"/>
        <color rgb="FFFFEB84"/>
        <color rgb="FF63BE7B"/>
      </colorScale>
    </cfRule>
    <cfRule type="cellIs" dxfId="3041" priority="3107" operator="equal">
      <formula>"Tax"</formula>
    </cfRule>
  </conditionalFormatting>
  <conditionalFormatting sqref="F850 F837 F825 F852 F865:F866 F888:F892">
    <cfRule type="dataBar" priority="3443">
      <dataBar>
        <cfvo type="min"/>
        <cfvo type="max"/>
        <color rgb="FF638EC6"/>
      </dataBar>
    </cfRule>
    <cfRule type="colorScale" priority="3444">
      <colorScale>
        <cfvo type="min"/>
        <cfvo type="percentile" val="50"/>
        <cfvo type="max"/>
        <color rgb="FFF8696B"/>
        <color rgb="FFFFEB84"/>
        <color rgb="FF63BE7B"/>
      </colorScale>
    </cfRule>
    <cfRule type="dataBar" priority="3453">
      <dataBar>
        <cfvo type="min"/>
        <cfvo type="max"/>
        <color rgb="FF638EC6"/>
      </dataBar>
    </cfRule>
    <cfRule type="colorScale" priority="3454">
      <colorScale>
        <cfvo type="min"/>
        <cfvo type="percentile" val="50"/>
        <cfvo type="max"/>
        <color rgb="FFF8696B"/>
        <color rgb="FFFFEB84"/>
        <color rgb="FF63BE7B"/>
      </colorScale>
    </cfRule>
    <cfRule type="dataBar" priority="3457">
      <dataBar>
        <cfvo type="min"/>
        <cfvo type="max"/>
        <color rgb="FF638EC6"/>
      </dataBar>
    </cfRule>
    <cfRule type="colorScale" priority="3458">
      <colorScale>
        <cfvo type="min"/>
        <cfvo type="percentile" val="50"/>
        <cfvo type="max"/>
        <color rgb="FFF8696B"/>
        <color rgb="FFFFEB84"/>
        <color rgb="FF63BE7B"/>
      </colorScale>
    </cfRule>
  </conditionalFormatting>
  <conditionalFormatting sqref="G68 G74 G79 G82">
    <cfRule type="cellIs" dxfId="3040" priority="16806" operator="equal">
      <formula>"Tax"</formula>
    </cfRule>
  </conditionalFormatting>
  <conditionalFormatting sqref="G68 G74 G79 G121 G128">
    <cfRule type="cellIs" dxfId="3039" priority="16787" operator="equal">
      <formula>"Tax"</formula>
    </cfRule>
    <cfRule type="cellIs" dxfId="3038" priority="16795" operator="equal">
      <formula>"Income"</formula>
    </cfRule>
    <cfRule type="cellIs" dxfId="3037" priority="16796" operator="equal">
      <formula>"Cost of Sales"</formula>
    </cfRule>
    <cfRule type="cellIs" dxfId="3036" priority="16797" operator="equal">
      <formula>"Payroll"</formula>
    </cfRule>
    <cfRule type="cellIs" dxfId="3035" priority="16798" operator="equal">
      <formula>"Investment"</formula>
    </cfRule>
    <cfRule type="cellIs" dxfId="3034" priority="16799" operator="equal">
      <formula>"Sunk"</formula>
    </cfRule>
    <cfRule type="cellIs" dxfId="3033" priority="16800" operator="equal">
      <formula>"OpEx"</formula>
    </cfRule>
    <cfRule type="cellIs" dxfId="3032" priority="16801" operator="equal">
      <formula>"CapEx"</formula>
    </cfRule>
  </conditionalFormatting>
  <conditionalFormatting sqref="G74 G68 G79 G82">
    <cfRule type="dataBar" priority="16804">
      <dataBar>
        <cfvo type="min"/>
        <cfvo type="max"/>
        <color rgb="FF638EC6"/>
      </dataBar>
    </cfRule>
    <cfRule type="colorScale" priority="16805">
      <colorScale>
        <cfvo type="min"/>
        <cfvo type="percentile" val="50"/>
        <cfvo type="max"/>
        <color rgb="FFF8696B"/>
        <color rgb="FFFFEB84"/>
        <color rgb="FF63BE7B"/>
      </colorScale>
    </cfRule>
  </conditionalFormatting>
  <conditionalFormatting sqref="G82:G83">
    <cfRule type="cellIs" dxfId="3031" priority="16509" operator="equal">
      <formula>"Income"</formula>
    </cfRule>
    <cfRule type="cellIs" dxfId="3030" priority="16510" operator="equal">
      <formula>"Cost of Sales"</formula>
    </cfRule>
    <cfRule type="cellIs" dxfId="3029" priority="16511" operator="equal">
      <formula>"Payroll"</formula>
    </cfRule>
    <cfRule type="cellIs" dxfId="3028" priority="16512" operator="equal">
      <formula>"Investment"</formula>
    </cfRule>
    <cfRule type="cellIs" dxfId="3027" priority="16513" operator="equal">
      <formula>"Sunk"</formula>
    </cfRule>
    <cfRule type="cellIs" dxfId="3026" priority="16514" operator="equal">
      <formula>"OpEx"</formula>
    </cfRule>
    <cfRule type="cellIs" dxfId="3025" priority="16515" operator="equal">
      <formula>"CapEx"</formula>
    </cfRule>
    <cfRule type="cellIs" dxfId="3024" priority="16520" operator="equal">
      <formula>"Tax"</formula>
    </cfRule>
  </conditionalFormatting>
  <conditionalFormatting sqref="G83">
    <cfRule type="cellIs" dxfId="3023" priority="16501" operator="equal">
      <formula>"Tax"</formula>
    </cfRule>
    <cfRule type="dataBar" priority="16518">
      <dataBar>
        <cfvo type="min"/>
        <cfvo type="max"/>
        <color rgb="FF638EC6"/>
      </dataBar>
    </cfRule>
    <cfRule type="colorScale" priority="16519">
      <colorScale>
        <cfvo type="min"/>
        <cfvo type="percentile" val="50"/>
        <cfvo type="max"/>
        <color rgb="FFF8696B"/>
        <color rgb="FFFFEB84"/>
        <color rgb="FF63BE7B"/>
      </colorScale>
    </cfRule>
  </conditionalFormatting>
  <conditionalFormatting sqref="G91">
    <cfRule type="cellIs" dxfId="3022" priority="16344" operator="equal">
      <formula>"Tax"</formula>
    </cfRule>
    <cfRule type="cellIs" dxfId="3021" priority="16352" operator="equal">
      <formula>"Income"</formula>
    </cfRule>
    <cfRule type="cellIs" dxfId="3020" priority="16353" operator="equal">
      <formula>"Cost of Sales"</formula>
    </cfRule>
    <cfRule type="cellIs" dxfId="3019" priority="16354" operator="equal">
      <formula>"Payroll"</formula>
    </cfRule>
    <cfRule type="cellIs" dxfId="3018" priority="16355" operator="equal">
      <formula>"Investment"</formula>
    </cfRule>
    <cfRule type="cellIs" dxfId="3017" priority="16356" operator="equal">
      <formula>"Sunk"</formula>
    </cfRule>
    <cfRule type="cellIs" dxfId="3016" priority="16357" operator="equal">
      <formula>"OpEx"</formula>
    </cfRule>
    <cfRule type="cellIs" dxfId="3015" priority="16358" operator="equal">
      <formula>"CapEx"</formula>
    </cfRule>
    <cfRule type="dataBar" priority="16361">
      <dataBar>
        <cfvo type="min"/>
        <cfvo type="max"/>
        <color rgb="FF638EC6"/>
      </dataBar>
    </cfRule>
    <cfRule type="colorScale" priority="16362">
      <colorScale>
        <cfvo type="min"/>
        <cfvo type="percentile" val="50"/>
        <cfvo type="max"/>
        <color rgb="FFF8696B"/>
        <color rgb="FFFFEB84"/>
        <color rgb="FF63BE7B"/>
      </colorScale>
    </cfRule>
    <cfRule type="cellIs" dxfId="3014" priority="16363" operator="equal">
      <formula>"Tax"</formula>
    </cfRule>
  </conditionalFormatting>
  <conditionalFormatting sqref="G104">
    <cfRule type="dataBar" priority="16084">
      <dataBar>
        <cfvo type="min"/>
        <cfvo type="max"/>
        <color rgb="FF638EC6"/>
      </dataBar>
    </cfRule>
    <cfRule type="colorScale" priority="16085">
      <colorScale>
        <cfvo type="min"/>
        <cfvo type="percentile" val="50"/>
        <cfvo type="max"/>
        <color rgb="FFF8696B"/>
        <color rgb="FFFFEB84"/>
        <color rgb="FF63BE7B"/>
      </colorScale>
    </cfRule>
    <cfRule type="cellIs" dxfId="3013" priority="16086" operator="equal">
      <formula>"Tax"</formula>
    </cfRule>
  </conditionalFormatting>
  <conditionalFormatting sqref="G104:G105">
    <cfRule type="cellIs" dxfId="3012" priority="16033" operator="equal">
      <formula>"Income"</formula>
    </cfRule>
    <cfRule type="cellIs" dxfId="3011" priority="16034" operator="equal">
      <formula>"Cost of Sales"</formula>
    </cfRule>
    <cfRule type="cellIs" dxfId="3010" priority="16035" operator="equal">
      <formula>"Payroll"</formula>
    </cfRule>
    <cfRule type="cellIs" dxfId="3009" priority="16036" operator="equal">
      <formula>"Investment"</formula>
    </cfRule>
    <cfRule type="cellIs" dxfId="3008" priority="16037" operator="equal">
      <formula>"Sunk"</formula>
    </cfRule>
    <cfRule type="cellIs" dxfId="3007" priority="16038" operator="equal">
      <formula>"OpEx"</formula>
    </cfRule>
    <cfRule type="cellIs" dxfId="3006" priority="16039" operator="equal">
      <formula>"CapEx"</formula>
    </cfRule>
    <cfRule type="cellIs" dxfId="3005" priority="16044" operator="equal">
      <formula>"Tax"</formula>
    </cfRule>
  </conditionalFormatting>
  <conditionalFormatting sqref="G105">
    <cfRule type="cellIs" dxfId="3004" priority="16025" operator="equal">
      <formula>"Tax"</formula>
    </cfRule>
    <cfRule type="dataBar" priority="16042">
      <dataBar>
        <cfvo type="min"/>
        <cfvo type="max"/>
        <color rgb="FF638EC6"/>
      </dataBar>
    </cfRule>
    <cfRule type="colorScale" priority="16043">
      <colorScale>
        <cfvo type="min"/>
        <cfvo type="percentile" val="50"/>
        <cfvo type="max"/>
        <color rgb="FFF8696B"/>
        <color rgb="FFFFEB84"/>
        <color rgb="FF63BE7B"/>
      </colorScale>
    </cfRule>
  </conditionalFormatting>
  <conditionalFormatting sqref="G110 G113">
    <cfRule type="dataBar" priority="15982">
      <dataBar>
        <cfvo type="min"/>
        <cfvo type="max"/>
        <color rgb="FF638EC6"/>
      </dataBar>
    </cfRule>
    <cfRule type="colorScale" priority="15983">
      <colorScale>
        <cfvo type="min"/>
        <cfvo type="percentile" val="50"/>
        <cfvo type="max"/>
        <color rgb="FFF8696B"/>
        <color rgb="FFFFEB84"/>
        <color rgb="FF63BE7B"/>
      </colorScale>
    </cfRule>
    <cfRule type="cellIs" dxfId="3003" priority="15984" operator="equal">
      <formula>"Tax"</formula>
    </cfRule>
  </conditionalFormatting>
  <conditionalFormatting sqref="G110">
    <cfRule type="cellIs" dxfId="3002" priority="15965" operator="equal">
      <formula>"Tax"</formula>
    </cfRule>
    <cfRule type="cellIs" dxfId="3001" priority="15973" operator="equal">
      <formula>"Income"</formula>
    </cfRule>
    <cfRule type="cellIs" dxfId="3000" priority="15974" operator="equal">
      <formula>"Cost of Sales"</formula>
    </cfRule>
    <cfRule type="cellIs" dxfId="2999" priority="15975" operator="equal">
      <formula>"Payroll"</formula>
    </cfRule>
    <cfRule type="cellIs" dxfId="2998" priority="15976" operator="equal">
      <formula>"Investment"</formula>
    </cfRule>
    <cfRule type="cellIs" dxfId="2997" priority="15977" operator="equal">
      <formula>"Sunk"</formula>
    </cfRule>
    <cfRule type="cellIs" dxfId="2996" priority="15978" operator="equal">
      <formula>"OpEx"</formula>
    </cfRule>
    <cfRule type="cellIs" dxfId="2995" priority="15979" operator="equal">
      <formula>"CapEx"</formula>
    </cfRule>
  </conditionalFormatting>
  <conditionalFormatting sqref="G113:G114">
    <cfRule type="cellIs" dxfId="2994" priority="15797" operator="equal">
      <formula>"Income"</formula>
    </cfRule>
    <cfRule type="cellIs" dxfId="2993" priority="15798" operator="equal">
      <formula>"Cost of Sales"</formula>
    </cfRule>
    <cfRule type="cellIs" dxfId="2992" priority="15799" operator="equal">
      <formula>"Payroll"</formula>
    </cfRule>
    <cfRule type="cellIs" dxfId="2991" priority="15800" operator="equal">
      <formula>"Investment"</formula>
    </cfRule>
    <cfRule type="cellIs" dxfId="2990" priority="15801" operator="equal">
      <formula>"Sunk"</formula>
    </cfRule>
    <cfRule type="cellIs" dxfId="2989" priority="15802" operator="equal">
      <formula>"OpEx"</formula>
    </cfRule>
    <cfRule type="cellIs" dxfId="2988" priority="15803" operator="equal">
      <formula>"CapEx"</formula>
    </cfRule>
    <cfRule type="cellIs" dxfId="2987" priority="15808" operator="equal">
      <formula>"Tax"</formula>
    </cfRule>
  </conditionalFormatting>
  <conditionalFormatting sqref="G114">
    <cfRule type="cellIs" dxfId="2986" priority="15789" operator="equal">
      <formula>"Tax"</formula>
    </cfRule>
    <cfRule type="dataBar" priority="15806">
      <dataBar>
        <cfvo type="min"/>
        <cfvo type="max"/>
        <color rgb="FF638EC6"/>
      </dataBar>
    </cfRule>
    <cfRule type="colorScale" priority="15807">
      <colorScale>
        <cfvo type="min"/>
        <cfvo type="percentile" val="50"/>
        <cfvo type="max"/>
        <color rgb="FFF8696B"/>
        <color rgb="FFFFEB84"/>
        <color rgb="FF63BE7B"/>
      </colorScale>
    </cfRule>
  </conditionalFormatting>
  <conditionalFormatting sqref="G128 G121">
    <cfRule type="dataBar" priority="191605">
      <dataBar>
        <cfvo type="min"/>
        <cfvo type="max"/>
        <color rgb="FF638EC6"/>
      </dataBar>
    </cfRule>
    <cfRule type="colorScale" priority="191606">
      <colorScale>
        <cfvo type="min"/>
        <cfvo type="percentile" val="50"/>
        <cfvo type="max"/>
        <color rgb="FFF8696B"/>
        <color rgb="FFFFEB84"/>
        <color rgb="FF63BE7B"/>
      </colorScale>
    </cfRule>
  </conditionalFormatting>
  <conditionalFormatting sqref="G137">
    <cfRule type="cellIs" dxfId="2985" priority="15323" operator="equal">
      <formula>"Tax"</formula>
    </cfRule>
    <cfRule type="cellIs" dxfId="2984" priority="15331" operator="equal">
      <formula>"Income"</formula>
    </cfRule>
    <cfRule type="cellIs" dxfId="2983" priority="15332" operator="equal">
      <formula>"Cost of Sales"</formula>
    </cfRule>
    <cfRule type="cellIs" dxfId="2982" priority="15333" operator="equal">
      <formula>"Payroll"</formula>
    </cfRule>
    <cfRule type="cellIs" dxfId="2981" priority="15334" operator="equal">
      <formula>"Investment"</formula>
    </cfRule>
    <cfRule type="cellIs" dxfId="2980" priority="15335" operator="equal">
      <formula>"Sunk"</formula>
    </cfRule>
    <cfRule type="cellIs" dxfId="2979" priority="15336" operator="equal">
      <formula>"OpEx"</formula>
    </cfRule>
    <cfRule type="cellIs" dxfId="2978" priority="15337" operator="equal">
      <formula>"CapEx"</formula>
    </cfRule>
    <cfRule type="dataBar" priority="15340">
      <dataBar>
        <cfvo type="min"/>
        <cfvo type="max"/>
        <color rgb="FF638EC6"/>
      </dataBar>
    </cfRule>
    <cfRule type="colorScale" priority="15341">
      <colorScale>
        <cfvo type="min"/>
        <cfvo type="percentile" val="50"/>
        <cfvo type="max"/>
        <color rgb="FFF8696B"/>
        <color rgb="FFFFEB84"/>
        <color rgb="FF63BE7B"/>
      </colorScale>
    </cfRule>
    <cfRule type="cellIs" dxfId="2977" priority="15342" operator="equal">
      <formula>"Tax"</formula>
    </cfRule>
  </conditionalFormatting>
  <conditionalFormatting sqref="G152">
    <cfRule type="dataBar" priority="15020">
      <dataBar>
        <cfvo type="min"/>
        <cfvo type="max"/>
        <color rgb="FF638EC6"/>
      </dataBar>
    </cfRule>
    <cfRule type="colorScale" priority="15021">
      <colorScale>
        <cfvo type="min"/>
        <cfvo type="percentile" val="50"/>
        <cfvo type="max"/>
        <color rgb="FFF8696B"/>
        <color rgb="FFFFEB84"/>
        <color rgb="FF63BE7B"/>
      </colorScale>
    </cfRule>
  </conditionalFormatting>
  <conditionalFormatting sqref="G152:G153">
    <cfRule type="cellIs" dxfId="2976" priority="14969" operator="equal">
      <formula>"Tax"</formula>
    </cfRule>
    <cfRule type="cellIs" dxfId="2975" priority="14970" operator="equal">
      <formula>"Income"</formula>
    </cfRule>
    <cfRule type="cellIs" dxfId="2974" priority="14971" operator="equal">
      <formula>"Cost of Sales"</formula>
    </cfRule>
    <cfRule type="cellIs" dxfId="2973" priority="14972" operator="equal">
      <formula>"Payroll"</formula>
    </cfRule>
    <cfRule type="cellIs" dxfId="2972" priority="14973" operator="equal">
      <formula>"Investment"</formula>
    </cfRule>
    <cfRule type="cellIs" dxfId="2971" priority="14974" operator="equal">
      <formula>"Sunk"</formula>
    </cfRule>
    <cfRule type="cellIs" dxfId="2970" priority="14975" operator="equal">
      <formula>"OpEx"</formula>
    </cfRule>
    <cfRule type="cellIs" dxfId="2969" priority="14976" operator="equal">
      <formula>"CapEx"</formula>
    </cfRule>
  </conditionalFormatting>
  <conditionalFormatting sqref="G153">
    <cfRule type="dataBar" priority="14978">
      <dataBar>
        <cfvo type="min"/>
        <cfvo type="max"/>
        <color rgb="FF638EC6"/>
      </dataBar>
    </cfRule>
    <cfRule type="colorScale" priority="14979">
      <colorScale>
        <cfvo type="min"/>
        <cfvo type="percentile" val="50"/>
        <cfvo type="max"/>
        <color rgb="FFF8696B"/>
        <color rgb="FFFFEB84"/>
        <color rgb="FF63BE7B"/>
      </colorScale>
    </cfRule>
  </conditionalFormatting>
  <conditionalFormatting sqref="G158">
    <cfRule type="dataBar" priority="14719">
      <dataBar>
        <cfvo type="min"/>
        <cfvo type="max"/>
        <color rgb="FF638EC6"/>
      </dataBar>
    </cfRule>
    <cfRule type="colorScale" priority="14720">
      <colorScale>
        <cfvo type="min"/>
        <cfvo type="percentile" val="50"/>
        <cfvo type="max"/>
        <color rgb="FFF8696B"/>
        <color rgb="FFFFEB84"/>
        <color rgb="FF63BE7B"/>
      </colorScale>
    </cfRule>
  </conditionalFormatting>
  <conditionalFormatting sqref="G158:G159">
    <cfRule type="cellIs" dxfId="2968" priority="14630" operator="equal">
      <formula>"Tax"</formula>
    </cfRule>
    <cfRule type="cellIs" dxfId="2967" priority="14631" operator="equal">
      <formula>"Income"</formula>
    </cfRule>
    <cfRule type="cellIs" dxfId="2966" priority="14632" operator="equal">
      <formula>"Cost of Sales"</formula>
    </cfRule>
    <cfRule type="cellIs" dxfId="2965" priority="14633" operator="equal">
      <formula>"Payroll"</formula>
    </cfRule>
    <cfRule type="cellIs" dxfId="2964" priority="14634" operator="equal">
      <formula>"Investment"</formula>
    </cfRule>
    <cfRule type="cellIs" dxfId="2963" priority="14635" operator="equal">
      <formula>"Sunk"</formula>
    </cfRule>
    <cfRule type="cellIs" dxfId="2962" priority="14636" operator="equal">
      <formula>"OpEx"</formula>
    </cfRule>
    <cfRule type="cellIs" dxfId="2961" priority="14637" operator="equal">
      <formula>"CapEx"</formula>
    </cfRule>
  </conditionalFormatting>
  <conditionalFormatting sqref="G159">
    <cfRule type="dataBar" priority="14639">
      <dataBar>
        <cfvo type="min"/>
        <cfvo type="max"/>
        <color rgb="FF638EC6"/>
      </dataBar>
    </cfRule>
    <cfRule type="colorScale" priority="14640">
      <colorScale>
        <cfvo type="min"/>
        <cfvo type="percentile" val="50"/>
        <cfvo type="max"/>
        <color rgb="FFF8696B"/>
        <color rgb="FFFFEB84"/>
        <color rgb="FF63BE7B"/>
      </colorScale>
    </cfRule>
  </conditionalFormatting>
  <conditionalFormatting sqref="G221">
    <cfRule type="cellIs" dxfId="2960" priority="13705" operator="equal">
      <formula>"Tax"</formula>
    </cfRule>
    <cfRule type="cellIs" dxfId="2959" priority="13706" operator="equal">
      <formula>"Income"</formula>
    </cfRule>
    <cfRule type="cellIs" dxfId="2958" priority="13707" operator="equal">
      <formula>"Cost of Sales"</formula>
    </cfRule>
    <cfRule type="cellIs" dxfId="2957" priority="13708" operator="equal">
      <formula>"Payroll"</formula>
    </cfRule>
    <cfRule type="cellIs" dxfId="2956" priority="13709" operator="equal">
      <formula>"Investment"</formula>
    </cfRule>
    <cfRule type="cellIs" dxfId="2955" priority="13710" operator="equal">
      <formula>"Sunk"</formula>
    </cfRule>
    <cfRule type="cellIs" dxfId="2954" priority="13711" operator="equal">
      <formula>"OpEx"</formula>
    </cfRule>
    <cfRule type="cellIs" dxfId="2953" priority="13712" operator="equal">
      <formula>"CapEx"</formula>
    </cfRule>
    <cfRule type="dataBar" priority="13715">
      <dataBar>
        <cfvo type="min"/>
        <cfvo type="max"/>
        <color rgb="FF638EC6"/>
      </dataBar>
    </cfRule>
    <cfRule type="colorScale" priority="13716">
      <colorScale>
        <cfvo type="min"/>
        <cfvo type="percentile" val="50"/>
        <cfvo type="max"/>
        <color rgb="FFF8696B"/>
        <color rgb="FFFFEB84"/>
        <color rgb="FF63BE7B"/>
      </colorScale>
    </cfRule>
    <cfRule type="cellIs" dxfId="2952" priority="13717" operator="equal">
      <formula>"Tax"</formula>
    </cfRule>
  </conditionalFormatting>
  <conditionalFormatting sqref="G269">
    <cfRule type="cellIs" dxfId="2951" priority="12993" operator="equal">
      <formula>"Tax"</formula>
    </cfRule>
    <cfRule type="cellIs" dxfId="2950" priority="12994" operator="equal">
      <formula>"Income"</formula>
    </cfRule>
    <cfRule type="cellIs" dxfId="2949" priority="12995" operator="equal">
      <formula>"Cost of Sales"</formula>
    </cfRule>
    <cfRule type="cellIs" dxfId="2948" priority="12996" operator="equal">
      <formula>"Payroll"</formula>
    </cfRule>
    <cfRule type="cellIs" dxfId="2947" priority="12997" operator="equal">
      <formula>"Investment"</formula>
    </cfRule>
    <cfRule type="cellIs" dxfId="2946" priority="12998" operator="equal">
      <formula>"Sunk"</formula>
    </cfRule>
    <cfRule type="cellIs" dxfId="2945" priority="12999" operator="equal">
      <formula>"OpEx"</formula>
    </cfRule>
    <cfRule type="cellIs" dxfId="2944" priority="13000" operator="equal">
      <formula>"CapEx"</formula>
    </cfRule>
    <cfRule type="dataBar" priority="13003">
      <dataBar>
        <cfvo type="min"/>
        <cfvo type="max"/>
        <color rgb="FF638EC6"/>
      </dataBar>
    </cfRule>
    <cfRule type="colorScale" priority="13004">
      <colorScale>
        <cfvo type="min"/>
        <cfvo type="percentile" val="50"/>
        <cfvo type="max"/>
        <color rgb="FFF8696B"/>
        <color rgb="FFFFEB84"/>
        <color rgb="FF63BE7B"/>
      </colorScale>
    </cfRule>
    <cfRule type="cellIs" dxfId="2943" priority="13005" operator="equal">
      <formula>"Tax"</formula>
    </cfRule>
  </conditionalFormatting>
  <conditionalFormatting sqref="G332">
    <cfRule type="dataBar" priority="11833">
      <dataBar>
        <cfvo type="min"/>
        <cfvo type="max"/>
        <color rgb="FF638EC6"/>
      </dataBar>
    </cfRule>
    <cfRule type="colorScale" priority="11834">
      <colorScale>
        <cfvo type="min"/>
        <cfvo type="percentile" val="50"/>
        <cfvo type="max"/>
        <color rgb="FFF8696B"/>
        <color rgb="FFFFEB84"/>
        <color rgb="FF63BE7B"/>
      </colorScale>
    </cfRule>
    <cfRule type="cellIs" dxfId="2942" priority="11835" operator="equal">
      <formula>"Tax"</formula>
    </cfRule>
    <cfRule type="cellIs" dxfId="2941" priority="11836" operator="equal">
      <formula>"Income"</formula>
    </cfRule>
    <cfRule type="cellIs" dxfId="2940" priority="11837" operator="equal">
      <formula>"Cost of Sales"</formula>
    </cfRule>
    <cfRule type="cellIs" dxfId="2939" priority="11838" operator="equal">
      <formula>"Payroll"</formula>
    </cfRule>
    <cfRule type="cellIs" dxfId="2938" priority="11839" operator="equal">
      <formula>"Investment"</formula>
    </cfRule>
    <cfRule type="cellIs" dxfId="2937" priority="11840" operator="equal">
      <formula>"Sunk"</formula>
    </cfRule>
    <cfRule type="cellIs" dxfId="2936" priority="11841" operator="equal">
      <formula>"OpEx"</formula>
    </cfRule>
    <cfRule type="cellIs" dxfId="2935" priority="11842" operator="equal">
      <formula>"CapEx"</formula>
    </cfRule>
  </conditionalFormatting>
  <conditionalFormatting sqref="G335">
    <cfRule type="dataBar" priority="11788">
      <dataBar>
        <cfvo type="min"/>
        <cfvo type="max"/>
        <color rgb="FF638EC6"/>
      </dataBar>
    </cfRule>
    <cfRule type="colorScale" priority="11789">
      <colorScale>
        <cfvo type="min"/>
        <cfvo type="percentile" val="50"/>
        <cfvo type="max"/>
        <color rgb="FFF8696B"/>
        <color rgb="FFFFEB84"/>
        <color rgb="FF63BE7B"/>
      </colorScale>
    </cfRule>
    <cfRule type="cellIs" dxfId="2934" priority="11790" operator="equal">
      <formula>"Tax"</formula>
    </cfRule>
    <cfRule type="cellIs" dxfId="2933" priority="11791" operator="equal">
      <formula>"Income"</formula>
    </cfRule>
    <cfRule type="cellIs" dxfId="2932" priority="11792" operator="equal">
      <formula>"Cost of Sales"</formula>
    </cfRule>
    <cfRule type="cellIs" dxfId="2931" priority="11793" operator="equal">
      <formula>"Payroll"</formula>
    </cfRule>
    <cfRule type="cellIs" dxfId="2930" priority="11794" operator="equal">
      <formula>"Investment"</formula>
    </cfRule>
    <cfRule type="cellIs" dxfId="2929" priority="11795" operator="equal">
      <formula>"Sunk"</formula>
    </cfRule>
    <cfRule type="cellIs" dxfId="2928" priority="11796" operator="equal">
      <formula>"OpEx"</formula>
    </cfRule>
    <cfRule type="cellIs" dxfId="2927" priority="11797" operator="equal">
      <formula>"CapEx"</formula>
    </cfRule>
  </conditionalFormatting>
  <conditionalFormatting sqref="G364">
    <cfRule type="cellIs" dxfId="2926" priority="11333" operator="equal">
      <formula>"Tax"</formula>
    </cfRule>
    <cfRule type="cellIs" dxfId="2925" priority="11334" operator="equal">
      <formula>"Income"</formula>
    </cfRule>
    <cfRule type="cellIs" dxfId="2924" priority="11335" operator="equal">
      <formula>"Cost of Sales"</formula>
    </cfRule>
    <cfRule type="cellIs" dxfId="2923" priority="11336" operator="equal">
      <formula>"Payroll"</formula>
    </cfRule>
    <cfRule type="cellIs" dxfId="2922" priority="11337" operator="equal">
      <formula>"Investment"</formula>
    </cfRule>
    <cfRule type="cellIs" dxfId="2921" priority="11338" operator="equal">
      <formula>"Sunk"</formula>
    </cfRule>
    <cfRule type="cellIs" dxfId="2920" priority="11339" operator="equal">
      <formula>"OpEx"</formula>
    </cfRule>
    <cfRule type="cellIs" dxfId="2919" priority="11340" operator="equal">
      <formula>"CapEx"</formula>
    </cfRule>
    <cfRule type="dataBar" priority="11341">
      <dataBar>
        <cfvo type="min"/>
        <cfvo type="max"/>
        <color rgb="FF638EC6"/>
      </dataBar>
    </cfRule>
    <cfRule type="colorScale" priority="11342">
      <colorScale>
        <cfvo type="min"/>
        <cfvo type="percentile" val="50"/>
        <cfvo type="max"/>
        <color rgb="FFF8696B"/>
        <color rgb="FFFFEB84"/>
        <color rgb="FF63BE7B"/>
      </colorScale>
    </cfRule>
    <cfRule type="cellIs" dxfId="2918" priority="11343" operator="equal">
      <formula>"Tax"</formula>
    </cfRule>
  </conditionalFormatting>
  <conditionalFormatting sqref="G440">
    <cfRule type="dataBar" priority="10028">
      <dataBar>
        <cfvo type="min"/>
        <cfvo type="max"/>
        <color rgb="FF638EC6"/>
      </dataBar>
    </cfRule>
    <cfRule type="colorScale" priority="10029">
      <colorScale>
        <cfvo type="min"/>
        <cfvo type="percentile" val="50"/>
        <cfvo type="max"/>
        <color rgb="FFF8696B"/>
        <color rgb="FFFFEB84"/>
        <color rgb="FF63BE7B"/>
      </colorScale>
    </cfRule>
    <cfRule type="cellIs" dxfId="2917" priority="10030" operator="equal">
      <formula>"Tax"</formula>
    </cfRule>
    <cfRule type="cellIs" dxfId="2916" priority="10031" operator="equal">
      <formula>"Income"</formula>
    </cfRule>
    <cfRule type="cellIs" dxfId="2915" priority="10032" operator="equal">
      <formula>"Cost of Sales"</formula>
    </cfRule>
    <cfRule type="cellIs" dxfId="2914" priority="10033" operator="equal">
      <formula>"Payroll"</formula>
    </cfRule>
    <cfRule type="cellIs" dxfId="2913" priority="10034" operator="equal">
      <formula>"Investment"</formula>
    </cfRule>
    <cfRule type="cellIs" dxfId="2912" priority="10035" operator="equal">
      <formula>"Sunk"</formula>
    </cfRule>
    <cfRule type="cellIs" dxfId="2911" priority="10036" operator="equal">
      <formula>"OpEx"</formula>
    </cfRule>
    <cfRule type="cellIs" dxfId="2910" priority="10037" operator="equal">
      <formula>"CapEx"</formula>
    </cfRule>
  </conditionalFormatting>
  <conditionalFormatting sqref="G465">
    <cfRule type="cellIs" dxfId="2909" priority="9620" operator="equal">
      <formula>"Tax"</formula>
    </cfRule>
    <cfRule type="cellIs" dxfId="2908" priority="9621" operator="equal">
      <formula>"Income"</formula>
    </cfRule>
    <cfRule type="cellIs" dxfId="2907" priority="9622" operator="equal">
      <formula>"Cost of Sales"</formula>
    </cfRule>
    <cfRule type="cellIs" dxfId="2906" priority="9623" operator="equal">
      <formula>"Payroll"</formula>
    </cfRule>
    <cfRule type="cellIs" dxfId="2905" priority="9624" operator="equal">
      <formula>"Investment"</formula>
    </cfRule>
    <cfRule type="cellIs" dxfId="2904" priority="9625" operator="equal">
      <formula>"Sunk"</formula>
    </cfRule>
    <cfRule type="cellIs" dxfId="2903" priority="9626" operator="equal">
      <formula>"OpEx"</formula>
    </cfRule>
    <cfRule type="cellIs" dxfId="2902" priority="9627" operator="equal">
      <formula>"CapEx"</formula>
    </cfRule>
    <cfRule type="dataBar" priority="9628">
      <dataBar>
        <cfvo type="min"/>
        <cfvo type="max"/>
        <color rgb="FF638EC6"/>
      </dataBar>
    </cfRule>
    <cfRule type="colorScale" priority="9629">
      <colorScale>
        <cfvo type="min"/>
        <cfvo type="percentile" val="50"/>
        <cfvo type="max"/>
        <color rgb="FFF8696B"/>
        <color rgb="FFFFEB84"/>
        <color rgb="FF63BE7B"/>
      </colorScale>
    </cfRule>
    <cfRule type="cellIs" dxfId="2901" priority="9630" operator="equal">
      <formula>"Tax"</formula>
    </cfRule>
  </conditionalFormatting>
  <conditionalFormatting sqref="G551">
    <cfRule type="cellIs" dxfId="2900" priority="8311" operator="equal">
      <formula>"Tax"</formula>
    </cfRule>
    <cfRule type="cellIs" dxfId="2899" priority="8312" operator="equal">
      <formula>"Income"</formula>
    </cfRule>
    <cfRule type="cellIs" dxfId="2898" priority="8313" operator="equal">
      <formula>"Cost of Sales"</formula>
    </cfRule>
    <cfRule type="cellIs" dxfId="2897" priority="8314" operator="equal">
      <formula>"Payroll"</formula>
    </cfRule>
    <cfRule type="cellIs" dxfId="2896" priority="8315" operator="equal">
      <formula>"Investment"</formula>
    </cfRule>
    <cfRule type="cellIs" dxfId="2895" priority="8316" operator="equal">
      <formula>"Sunk"</formula>
    </cfRule>
    <cfRule type="cellIs" dxfId="2894" priority="8317" operator="equal">
      <formula>"OpEx"</formula>
    </cfRule>
    <cfRule type="cellIs" dxfId="2893" priority="8318" operator="equal">
      <formula>"CapEx"</formula>
    </cfRule>
    <cfRule type="dataBar" priority="8319">
      <dataBar>
        <cfvo type="min"/>
        <cfvo type="max"/>
        <color rgb="FF638EC6"/>
      </dataBar>
    </cfRule>
    <cfRule type="colorScale" priority="8320">
      <colorScale>
        <cfvo type="min"/>
        <cfvo type="percentile" val="50"/>
        <cfvo type="max"/>
        <color rgb="FFF8696B"/>
        <color rgb="FFFFEB84"/>
        <color rgb="FF63BE7B"/>
      </colorScale>
    </cfRule>
    <cfRule type="cellIs" dxfId="2892" priority="8321" operator="equal">
      <formula>"Tax"</formula>
    </cfRule>
  </conditionalFormatting>
  <conditionalFormatting sqref="H15 H118:H121 H620:H632 H780:H781 H856 H809">
    <cfRule type="cellIs" dxfId="2891" priority="17713" operator="equal">
      <formula>"GBP"</formula>
    </cfRule>
    <cfRule type="cellIs" dxfId="2890" priority="17714" operator="equal">
      <formula>"EUR"</formula>
    </cfRule>
    <cfRule type="cellIs" dxfId="2889" priority="17715" operator="equal">
      <formula>"USD"</formula>
    </cfRule>
    <cfRule type="cellIs" dxfId="2888" priority="17716" operator="equal">
      <formula>"EGP"</formula>
    </cfRule>
  </conditionalFormatting>
  <conditionalFormatting sqref="H18:H19">
    <cfRule type="cellIs" dxfId="2887" priority="17669" operator="equal">
      <formula>"GBP"</formula>
    </cfRule>
    <cfRule type="cellIs" dxfId="2886" priority="17670" operator="equal">
      <formula>"EUR"</formula>
    </cfRule>
    <cfRule type="cellIs" dxfId="2885" priority="17671" operator="equal">
      <formula>"USD"</formula>
    </cfRule>
    <cfRule type="cellIs" dxfId="2884" priority="17672" operator="equal">
      <formula>"EGP"</formula>
    </cfRule>
  </conditionalFormatting>
  <conditionalFormatting sqref="H21 H195:H198 H483:H489 H903:H904 H907">
    <cfRule type="cellIs" dxfId="2883" priority="17621" operator="equal">
      <formula>"GBP"</formula>
    </cfRule>
    <cfRule type="cellIs" dxfId="2882" priority="17622" operator="equal">
      <formula>"USD"</formula>
    </cfRule>
    <cfRule type="cellIs" dxfId="2881" priority="17623" operator="equal">
      <formula>"EGP"</formula>
    </cfRule>
    <cfRule type="cellIs" dxfId="2880" priority="17624" operator="equal">
      <formula>"EUR"</formula>
    </cfRule>
  </conditionalFormatting>
  <conditionalFormatting sqref="H23:H32">
    <cfRule type="cellIs" dxfId="2879" priority="16853" operator="equal">
      <formula>"EUR"</formula>
    </cfRule>
    <cfRule type="cellIs" dxfId="2878" priority="16854" operator="equal">
      <formula>"GBP"</formula>
    </cfRule>
    <cfRule type="cellIs" dxfId="2877" priority="16855" operator="equal">
      <formula>"USD"</formula>
    </cfRule>
    <cfRule type="cellIs" dxfId="2876" priority="16856" operator="equal">
      <formula>"EGP"</formula>
    </cfRule>
  </conditionalFormatting>
  <conditionalFormatting sqref="H34:H36">
    <cfRule type="cellIs" dxfId="2875" priority="17356" operator="equal">
      <formula>"GBP"</formula>
    </cfRule>
    <cfRule type="cellIs" dxfId="2874" priority="17357" operator="equal">
      <formula>"USD"</formula>
    </cfRule>
    <cfRule type="cellIs" dxfId="2873" priority="17358" operator="equal">
      <formula>"EGP"</formula>
    </cfRule>
    <cfRule type="cellIs" dxfId="2872" priority="17359" operator="equal">
      <formula>"EUR"</formula>
    </cfRule>
  </conditionalFormatting>
  <conditionalFormatting sqref="H38:H49">
    <cfRule type="cellIs" dxfId="2871" priority="17113" operator="equal">
      <formula>"EUR"</formula>
    </cfRule>
    <cfRule type="cellIs" dxfId="2870" priority="17114" operator="equal">
      <formula>"GBP"</formula>
    </cfRule>
    <cfRule type="cellIs" dxfId="2869" priority="17115" operator="equal">
      <formula>"USD"</formula>
    </cfRule>
    <cfRule type="cellIs" dxfId="2868" priority="17116" operator="equal">
      <formula>"EGP"</formula>
    </cfRule>
  </conditionalFormatting>
  <conditionalFormatting sqref="H51">
    <cfRule type="cellIs" dxfId="2867" priority="17090" operator="equal">
      <formula>"GBP"</formula>
    </cfRule>
    <cfRule type="cellIs" dxfId="2866" priority="17091" operator="equal">
      <formula>"EUR"</formula>
    </cfRule>
    <cfRule type="cellIs" dxfId="2865" priority="17092" operator="equal">
      <formula>"USD"</formula>
    </cfRule>
    <cfRule type="cellIs" dxfId="2864" priority="17093" operator="equal">
      <formula>"EGP"</formula>
    </cfRule>
  </conditionalFormatting>
  <conditionalFormatting sqref="H53:H56">
    <cfRule type="cellIs" dxfId="2863" priority="16992" operator="equal">
      <formula>"GBP"</formula>
    </cfRule>
    <cfRule type="cellIs" dxfId="2862" priority="16993" operator="equal">
      <formula>"USD"</formula>
    </cfRule>
    <cfRule type="cellIs" dxfId="2861" priority="16994" operator="equal">
      <formula>"EGP"</formula>
    </cfRule>
    <cfRule type="cellIs" dxfId="2860" priority="16995" operator="equal">
      <formula>"EUR"</formula>
    </cfRule>
  </conditionalFormatting>
  <conditionalFormatting sqref="H58:H59">
    <cfRule type="cellIs" dxfId="2859" priority="16966" operator="equal">
      <formula>"EUR"</formula>
    </cfRule>
    <cfRule type="cellIs" dxfId="2858" priority="16967" operator="equal">
      <formula>"GBP"</formula>
    </cfRule>
    <cfRule type="cellIs" dxfId="2857" priority="16968" operator="equal">
      <formula>"USD"</formula>
    </cfRule>
    <cfRule type="cellIs" dxfId="2856" priority="16969" operator="equal">
      <formula>"EGP"</formula>
    </cfRule>
  </conditionalFormatting>
  <conditionalFormatting sqref="H65:H68">
    <cfRule type="cellIs" dxfId="2855" priority="16783" operator="equal">
      <formula>"GBP"</formula>
    </cfRule>
    <cfRule type="cellIs" dxfId="2854" priority="16784" operator="equal">
      <formula>"EUR"</formula>
    </cfRule>
    <cfRule type="cellIs" dxfId="2853" priority="16785" operator="equal">
      <formula>"USD"</formula>
    </cfRule>
    <cfRule type="cellIs" dxfId="2852" priority="16786" operator="equal">
      <formula>"EGP"</formula>
    </cfRule>
  </conditionalFormatting>
  <conditionalFormatting sqref="H71:H87">
    <cfRule type="cellIs" dxfId="2851" priority="16409" operator="equal">
      <formula>"GBP"</formula>
    </cfRule>
    <cfRule type="cellIs" dxfId="2850" priority="16410" operator="equal">
      <formula>"EUR"</formula>
    </cfRule>
    <cfRule type="cellIs" dxfId="2849" priority="16411" operator="equal">
      <formula>"USD"</formula>
    </cfRule>
    <cfRule type="cellIs" dxfId="2848" priority="16412" operator="equal">
      <formula>"EGP"</formula>
    </cfRule>
  </conditionalFormatting>
  <conditionalFormatting sqref="H89">
    <cfRule type="cellIs" dxfId="2847" priority="16382" operator="equal">
      <formula>"GBP"</formula>
    </cfRule>
    <cfRule type="cellIs" dxfId="2846" priority="16383" operator="equal">
      <formula>"EUR"</formula>
    </cfRule>
    <cfRule type="cellIs" dxfId="2845" priority="16384" operator="equal">
      <formula>"USD"</formula>
    </cfRule>
    <cfRule type="cellIs" dxfId="2844" priority="16385" operator="equal">
      <formula>"EGP"</formula>
    </cfRule>
  </conditionalFormatting>
  <conditionalFormatting sqref="H91:H93">
    <cfRule type="cellIs" dxfId="2843" priority="16296" operator="equal">
      <formula>"GBP"</formula>
    </cfRule>
    <cfRule type="cellIs" dxfId="2842" priority="16297" operator="equal">
      <formula>"EUR"</formula>
    </cfRule>
    <cfRule type="cellIs" dxfId="2841" priority="16298" operator="equal">
      <formula>"USD"</formula>
    </cfRule>
    <cfRule type="cellIs" dxfId="2840" priority="16299" operator="equal">
      <formula>"EGP"</formula>
    </cfRule>
  </conditionalFormatting>
  <conditionalFormatting sqref="H95">
    <cfRule type="cellIs" dxfId="2839" priority="16258" operator="equal">
      <formula>"GBP"</formula>
    </cfRule>
    <cfRule type="cellIs" dxfId="2838" priority="16259" operator="equal">
      <formula>"USD"</formula>
    </cfRule>
    <cfRule type="cellIs" dxfId="2837" priority="16260" operator="equal">
      <formula>"EGP"</formula>
    </cfRule>
    <cfRule type="cellIs" dxfId="2836" priority="16261" operator="equal">
      <formula>"EUR"</formula>
    </cfRule>
  </conditionalFormatting>
  <conditionalFormatting sqref="H97:H105">
    <cfRule type="cellIs" dxfId="2835" priority="16021" operator="equal">
      <formula>"GBP"</formula>
    </cfRule>
    <cfRule type="cellIs" dxfId="2834" priority="16022" operator="equal">
      <formula>"EUR"</formula>
    </cfRule>
    <cfRule type="cellIs" dxfId="2833" priority="16023" operator="equal">
      <formula>"USD"</formula>
    </cfRule>
    <cfRule type="cellIs" dxfId="2832" priority="16024" operator="equal">
      <formula>"EGP"</formula>
    </cfRule>
  </conditionalFormatting>
  <conditionalFormatting sqref="H107:H115">
    <cfRule type="cellIs" dxfId="2831" priority="15752" operator="equal">
      <formula>"GBP"</formula>
    </cfRule>
    <cfRule type="cellIs" dxfId="2830" priority="15753" operator="equal">
      <formula>"EUR"</formula>
    </cfRule>
    <cfRule type="cellIs" dxfId="2829" priority="15754" operator="equal">
      <formula>"USD"</formula>
    </cfRule>
    <cfRule type="cellIs" dxfId="2828" priority="15755" operator="equal">
      <formula>"EGP"</formula>
    </cfRule>
  </conditionalFormatting>
  <conditionalFormatting sqref="H123:H124">
    <cfRule type="cellIs" dxfId="2827" priority="15571" operator="equal">
      <formula>"GBP"</formula>
    </cfRule>
    <cfRule type="cellIs" dxfId="2826" priority="15572" operator="equal">
      <formula>"USD"</formula>
    </cfRule>
    <cfRule type="cellIs" dxfId="2825" priority="15573" operator="equal">
      <formula>"EGP"</formula>
    </cfRule>
    <cfRule type="cellIs" dxfId="2824" priority="15574" operator="equal">
      <formula>"EUR"</formula>
    </cfRule>
  </conditionalFormatting>
  <conditionalFormatting sqref="H127:H132">
    <cfRule type="cellIs" dxfId="2823" priority="15414" operator="equal">
      <formula>"GBP"</formula>
    </cfRule>
    <cfRule type="cellIs" dxfId="2822" priority="15415" operator="equal">
      <formula>"USD"</formula>
    </cfRule>
    <cfRule type="cellIs" dxfId="2821" priority="15416" operator="equal">
      <formula>"EGP"</formula>
    </cfRule>
    <cfRule type="cellIs" dxfId="2820" priority="15417" operator="equal">
      <formula>"EUR"</formula>
    </cfRule>
  </conditionalFormatting>
  <conditionalFormatting sqref="H134:H138">
    <cfRule type="cellIs" dxfId="2819" priority="15319" operator="equal">
      <formula>"GBP"</formula>
    </cfRule>
    <cfRule type="cellIs" dxfId="2818" priority="15320" operator="equal">
      <formula>"EUR"</formula>
    </cfRule>
    <cfRule type="cellIs" dxfId="2817" priority="15321" operator="equal">
      <formula>"USD"</formula>
    </cfRule>
    <cfRule type="cellIs" dxfId="2816" priority="15322" operator="equal">
      <formula>"EGP"</formula>
    </cfRule>
  </conditionalFormatting>
  <conditionalFormatting sqref="H141">
    <cfRule type="cellIs" dxfId="2815" priority="15280" operator="equal">
      <formula>"GBP"</formula>
    </cfRule>
    <cfRule type="cellIs" dxfId="2814" priority="15281" operator="equal">
      <formula>"USD"</formula>
    </cfRule>
    <cfRule type="cellIs" dxfId="2813" priority="15282" operator="equal">
      <formula>"EGP"</formula>
    </cfRule>
    <cfRule type="cellIs" dxfId="2812" priority="15283" operator="equal">
      <formula>"EUR"</formula>
    </cfRule>
  </conditionalFormatting>
  <conditionalFormatting sqref="H143:H160">
    <cfRule type="cellIs" dxfId="2811" priority="14626" operator="equal">
      <formula>"GBP"</formula>
    </cfRule>
    <cfRule type="cellIs" dxfId="2810" priority="14627" operator="equal">
      <formula>"EUR"</formula>
    </cfRule>
    <cfRule type="cellIs" dxfId="2809" priority="14628" operator="equal">
      <formula>"USD"</formula>
    </cfRule>
    <cfRule type="cellIs" dxfId="2808" priority="14629" operator="equal">
      <formula>"EGP"</formula>
    </cfRule>
  </conditionalFormatting>
  <conditionalFormatting sqref="H163">
    <cfRule type="cellIs" dxfId="2807" priority="14588" operator="equal">
      <formula>"GBP"</formula>
    </cfRule>
    <cfRule type="cellIs" dxfId="2806" priority="14589" operator="equal">
      <formula>"EUR"</formula>
    </cfRule>
    <cfRule type="cellIs" dxfId="2805" priority="14590" operator="equal">
      <formula>"USD"</formula>
    </cfRule>
    <cfRule type="cellIs" dxfId="2804" priority="14591" operator="equal">
      <formula>"EGP"</formula>
    </cfRule>
  </conditionalFormatting>
  <conditionalFormatting sqref="H165:H166">
    <cfRule type="cellIs" dxfId="2803" priority="14527" operator="equal">
      <formula>"GBP"</formula>
    </cfRule>
    <cfRule type="cellIs" dxfId="2802" priority="14528" operator="equal">
      <formula>"EUR"</formula>
    </cfRule>
    <cfRule type="cellIs" dxfId="2801" priority="14529" operator="equal">
      <formula>"USD"</formula>
    </cfRule>
    <cfRule type="cellIs" dxfId="2800" priority="14530" operator="equal">
      <formula>"EGP"</formula>
    </cfRule>
  </conditionalFormatting>
  <conditionalFormatting sqref="H168:H169">
    <cfRule type="cellIs" dxfId="2799" priority="14466" operator="equal">
      <formula>"GBP"</formula>
    </cfRule>
    <cfRule type="cellIs" dxfId="2798" priority="14467" operator="equal">
      <formula>"USD"</formula>
    </cfRule>
    <cfRule type="cellIs" dxfId="2797" priority="14468" operator="equal">
      <formula>"EGP"</formula>
    </cfRule>
    <cfRule type="cellIs" dxfId="2796" priority="14469" operator="equal">
      <formula>"EUR"</formula>
    </cfRule>
  </conditionalFormatting>
  <conditionalFormatting sqref="H172:H177">
    <cfRule type="cellIs" dxfId="2795" priority="14308" operator="equal">
      <formula>"GBP"</formula>
    </cfRule>
    <cfRule type="cellIs" dxfId="2794" priority="14309" operator="equal">
      <formula>"USD"</formula>
    </cfRule>
    <cfRule type="cellIs" dxfId="2793" priority="14310" operator="equal">
      <formula>"EGP"</formula>
    </cfRule>
    <cfRule type="cellIs" dxfId="2792" priority="14311" operator="equal">
      <formula>"EUR"</formula>
    </cfRule>
  </conditionalFormatting>
  <conditionalFormatting sqref="H179:H181">
    <cfRule type="cellIs" dxfId="2791" priority="14262" operator="equal">
      <formula>"GBP"</formula>
    </cfRule>
    <cfRule type="cellIs" dxfId="2790" priority="14263" operator="equal">
      <formula>"EUR"</formula>
    </cfRule>
    <cfRule type="cellIs" dxfId="2789" priority="14264" operator="equal">
      <formula>"USD"</formula>
    </cfRule>
    <cfRule type="cellIs" dxfId="2788" priority="14265" operator="equal">
      <formula>"EGP"</formula>
    </cfRule>
  </conditionalFormatting>
  <conditionalFormatting sqref="H183:H188">
    <cfRule type="cellIs" dxfId="2787" priority="14170" operator="equal">
      <formula>"GBP"</formula>
    </cfRule>
    <cfRule type="cellIs" dxfId="2786" priority="14171" operator="equal">
      <formula>"EUR"</formula>
    </cfRule>
    <cfRule type="cellIs" dxfId="2785" priority="14172" operator="equal">
      <formula>"USD"</formula>
    </cfRule>
    <cfRule type="cellIs" dxfId="2784" priority="14173" operator="equal">
      <formula>"EGP"</formula>
    </cfRule>
  </conditionalFormatting>
  <conditionalFormatting sqref="H190:H192">
    <cfRule type="cellIs" dxfId="2783" priority="14140" operator="equal">
      <formula>"GBP"</formula>
    </cfRule>
    <cfRule type="cellIs" dxfId="2782" priority="14141" operator="equal">
      <formula>"USD"</formula>
    </cfRule>
    <cfRule type="cellIs" dxfId="2781" priority="14142" operator="equal">
      <formula>"EGP"</formula>
    </cfRule>
    <cfRule type="cellIs" dxfId="2780" priority="14143" operator="equal">
      <formula>"EUR"</formula>
    </cfRule>
  </conditionalFormatting>
  <conditionalFormatting sqref="H200:H215">
    <cfRule type="cellIs" dxfId="2779" priority="13781" operator="equal">
      <formula>"GBP"</formula>
    </cfRule>
    <cfRule type="cellIs" dxfId="2778" priority="13782" operator="equal">
      <formula>"EUR"</formula>
    </cfRule>
    <cfRule type="cellIs" dxfId="2777" priority="13783" operator="equal">
      <formula>"USD"</formula>
    </cfRule>
    <cfRule type="cellIs" dxfId="2776" priority="13784" operator="equal">
      <formula>"EGP"</formula>
    </cfRule>
  </conditionalFormatting>
  <conditionalFormatting sqref="H221:H223">
    <cfRule type="cellIs" dxfId="2775" priority="9415" operator="equal">
      <formula>"GBP"</formula>
    </cfRule>
    <cfRule type="cellIs" dxfId="2774" priority="9416" operator="equal">
      <formula>"EUR"</formula>
    </cfRule>
    <cfRule type="cellIs" dxfId="2773" priority="9417" operator="equal">
      <formula>"USD"</formula>
    </cfRule>
    <cfRule type="cellIs" dxfId="2772" priority="9418" operator="equal">
      <formula>"EGP"</formula>
    </cfRule>
  </conditionalFormatting>
  <conditionalFormatting sqref="H225">
    <cfRule type="cellIs" dxfId="2771" priority="13664" operator="equal">
      <formula>"GBP"</formula>
    </cfRule>
    <cfRule type="cellIs" dxfId="2770" priority="13665" operator="equal">
      <formula>"USD"</formula>
    </cfRule>
    <cfRule type="cellIs" dxfId="2769" priority="13666" operator="equal">
      <formula>"EGP"</formula>
    </cfRule>
    <cfRule type="cellIs" dxfId="2768" priority="13667" operator="equal">
      <formula>"EUR"</formula>
    </cfRule>
  </conditionalFormatting>
  <conditionalFormatting sqref="H227">
    <cfRule type="cellIs" dxfId="2767" priority="13642" operator="equal">
      <formula>"GBP"</formula>
    </cfRule>
    <cfRule type="cellIs" dxfId="2766" priority="13643" operator="equal">
      <formula>"EUR"</formula>
    </cfRule>
    <cfRule type="cellIs" dxfId="2765" priority="13644" operator="equal">
      <formula>"USD"</formula>
    </cfRule>
    <cfRule type="cellIs" dxfId="2764" priority="13645" operator="equal">
      <formula>"EGP"</formula>
    </cfRule>
  </conditionalFormatting>
  <conditionalFormatting sqref="H229:H231">
    <cfRule type="cellIs" dxfId="2763" priority="13572" operator="equal">
      <formula>"GBP"</formula>
    </cfRule>
    <cfRule type="cellIs" dxfId="2762" priority="13573" operator="equal">
      <formula>"EUR"</formula>
    </cfRule>
    <cfRule type="cellIs" dxfId="2761" priority="13574" operator="equal">
      <formula>"USD"</formula>
    </cfRule>
    <cfRule type="cellIs" dxfId="2760" priority="13575" operator="equal">
      <formula>"EGP"</formula>
    </cfRule>
  </conditionalFormatting>
  <conditionalFormatting sqref="H233:H237">
    <cfRule type="cellIs" dxfId="2759" priority="13486" operator="equal">
      <formula>"GBP"</formula>
    </cfRule>
    <cfRule type="cellIs" dxfId="2758" priority="13487" operator="equal">
      <formula>"USD"</formula>
    </cfRule>
    <cfRule type="cellIs" dxfId="2757" priority="13488" operator="equal">
      <formula>"EGP"</formula>
    </cfRule>
    <cfRule type="cellIs" dxfId="2756" priority="13489" operator="equal">
      <formula>"EUR"</formula>
    </cfRule>
  </conditionalFormatting>
  <conditionalFormatting sqref="H240:H244">
    <cfRule type="cellIs" dxfId="2755" priority="13363" operator="equal">
      <formula>"GBP"</formula>
    </cfRule>
    <cfRule type="cellIs" dxfId="2754" priority="13364" operator="equal">
      <formula>"EUR"</formula>
    </cfRule>
    <cfRule type="cellIs" dxfId="2753" priority="13365" operator="equal">
      <formula>"USD"</formula>
    </cfRule>
    <cfRule type="cellIs" dxfId="2752" priority="13366" operator="equal">
      <formula>"EGP"</formula>
    </cfRule>
  </conditionalFormatting>
  <conditionalFormatting sqref="H246:H247">
    <cfRule type="cellIs" dxfId="2751" priority="13287" operator="equal">
      <formula>"GBP"</formula>
    </cfRule>
    <cfRule type="cellIs" dxfId="2750" priority="13288" operator="equal">
      <formula>"EUR"</formula>
    </cfRule>
    <cfRule type="cellIs" dxfId="2749" priority="13289" operator="equal">
      <formula>"USD"</formula>
    </cfRule>
    <cfRule type="cellIs" dxfId="2748" priority="13290" operator="equal">
      <formula>"EGP"</formula>
    </cfRule>
  </conditionalFormatting>
  <conditionalFormatting sqref="H250:H251">
    <cfRule type="cellIs" dxfId="2747" priority="13224" operator="equal">
      <formula>"GBP"</formula>
    </cfRule>
    <cfRule type="cellIs" dxfId="2746" priority="13225" operator="equal">
      <formula>"EUR"</formula>
    </cfRule>
    <cfRule type="cellIs" dxfId="2745" priority="13226" operator="equal">
      <formula>"USD"</formula>
    </cfRule>
    <cfRule type="cellIs" dxfId="2744" priority="13227" operator="equal">
      <formula>"EGP"</formula>
    </cfRule>
  </conditionalFormatting>
  <conditionalFormatting sqref="H253:H257">
    <cfRule type="cellIs" dxfId="2743" priority="13145" operator="equal">
      <formula>"GBP"</formula>
    </cfRule>
    <cfRule type="cellIs" dxfId="2742" priority="13146" operator="equal">
      <formula>"EUR"</formula>
    </cfRule>
    <cfRule type="cellIs" dxfId="2741" priority="13147" operator="equal">
      <formula>"USD"</formula>
    </cfRule>
    <cfRule type="cellIs" dxfId="2740" priority="13148" operator="equal">
      <formula>"EGP"</formula>
    </cfRule>
  </conditionalFormatting>
  <conditionalFormatting sqref="H261">
    <cfRule type="cellIs" dxfId="2739" priority="13101" operator="equal">
      <formula>"GBP"</formula>
    </cfRule>
    <cfRule type="cellIs" dxfId="2738" priority="13102" operator="equal">
      <formula>"EUR"</formula>
    </cfRule>
    <cfRule type="cellIs" dxfId="2737" priority="13103" operator="equal">
      <formula>"USD"</formula>
    </cfRule>
    <cfRule type="cellIs" dxfId="2736" priority="13104" operator="equal">
      <formula>"EGP"</formula>
    </cfRule>
  </conditionalFormatting>
  <conditionalFormatting sqref="H263">
    <cfRule type="cellIs" dxfId="2735" priority="13062" operator="equal">
      <formula>"GBP"</formula>
    </cfRule>
    <cfRule type="cellIs" dxfId="2734" priority="13063" operator="equal">
      <formula>"USD"</formula>
    </cfRule>
    <cfRule type="cellIs" dxfId="2733" priority="13064" operator="equal">
      <formula>"EGP"</formula>
    </cfRule>
    <cfRule type="cellIs" dxfId="2732" priority="13065" operator="equal">
      <formula>"EUR"</formula>
    </cfRule>
  </conditionalFormatting>
  <conditionalFormatting sqref="H265">
    <cfRule type="cellIs" dxfId="2731" priority="12719" operator="equal">
      <formula>"GBP"</formula>
    </cfRule>
    <cfRule type="cellIs" dxfId="2730" priority="12720" operator="equal">
      <formula>"USD"</formula>
    </cfRule>
    <cfRule type="cellIs" dxfId="2729" priority="12721" operator="equal">
      <formula>"EGP"</formula>
    </cfRule>
    <cfRule type="cellIs" dxfId="2728" priority="12722" operator="equal">
      <formula>"EUR"</formula>
    </cfRule>
  </conditionalFormatting>
  <conditionalFormatting sqref="H267">
    <cfRule type="cellIs" dxfId="2727" priority="13034" operator="equal">
      <formula>"GBP"</formula>
    </cfRule>
    <cfRule type="cellIs" dxfId="2726" priority="13035" operator="equal">
      <formula>"USD"</formula>
    </cfRule>
    <cfRule type="cellIs" dxfId="2725" priority="13036" operator="equal">
      <formula>"EGP"</formula>
    </cfRule>
    <cfRule type="cellIs" dxfId="2724" priority="13037" operator="equal">
      <formula>"EUR"</formula>
    </cfRule>
  </conditionalFormatting>
  <conditionalFormatting sqref="H269:H271">
    <cfRule type="cellIs" dxfId="2723" priority="12976" operator="equal">
      <formula>"GBP"</formula>
    </cfRule>
    <cfRule type="cellIs" dxfId="2722" priority="12977" operator="equal">
      <formula>"EUR"</formula>
    </cfRule>
    <cfRule type="cellIs" dxfId="2721" priority="12978" operator="equal">
      <formula>"USD"</formula>
    </cfRule>
    <cfRule type="cellIs" dxfId="2720" priority="12979" operator="equal">
      <formula>"EGP"</formula>
    </cfRule>
  </conditionalFormatting>
  <conditionalFormatting sqref="H273">
    <cfRule type="cellIs" dxfId="2719" priority="12952" operator="equal">
      <formula>"GBP"</formula>
    </cfRule>
    <cfRule type="cellIs" dxfId="2718" priority="12953" operator="equal">
      <formula>"USD"</formula>
    </cfRule>
    <cfRule type="cellIs" dxfId="2717" priority="12954" operator="equal">
      <formula>"EGP"</formula>
    </cfRule>
    <cfRule type="cellIs" dxfId="2716" priority="12955" operator="equal">
      <formula>"EUR"</formula>
    </cfRule>
  </conditionalFormatting>
  <conditionalFormatting sqref="H275:H279">
    <cfRule type="cellIs" dxfId="2715" priority="12849" operator="equal">
      <formula>"GBP"</formula>
    </cfRule>
    <cfRule type="cellIs" dxfId="2714" priority="12850" operator="equal">
      <formula>"EUR"</formula>
    </cfRule>
    <cfRule type="cellIs" dxfId="2713" priority="12851" operator="equal">
      <formula>"USD"</formula>
    </cfRule>
    <cfRule type="cellIs" dxfId="2712" priority="12852" operator="equal">
      <formula>"EGP"</formula>
    </cfRule>
  </conditionalFormatting>
  <conditionalFormatting sqref="H282">
    <cfRule type="cellIs" dxfId="2711" priority="12787" operator="equal">
      <formula>"GBP"</formula>
    </cfRule>
    <cfRule type="cellIs" dxfId="2710" priority="12788" operator="equal">
      <formula>"EUR"</formula>
    </cfRule>
    <cfRule type="cellIs" dxfId="2709" priority="12789" operator="equal">
      <formula>"USD"</formula>
    </cfRule>
    <cfRule type="cellIs" dxfId="2708" priority="12790" operator="equal">
      <formula>"EGP"</formula>
    </cfRule>
  </conditionalFormatting>
  <conditionalFormatting sqref="H284">
    <cfRule type="cellIs" dxfId="2707" priority="12656" operator="equal">
      <formula>"GBP"</formula>
    </cfRule>
    <cfRule type="cellIs" dxfId="2706" priority="12657" operator="equal">
      <formula>"EUR"</formula>
    </cfRule>
    <cfRule type="cellIs" dxfId="2705" priority="12658" operator="equal">
      <formula>"USD"</formula>
    </cfRule>
    <cfRule type="cellIs" dxfId="2704" priority="12659" operator="equal">
      <formula>"EGP"</formula>
    </cfRule>
  </conditionalFormatting>
  <conditionalFormatting sqref="H287:H288">
    <cfRule type="cellIs" dxfId="2703" priority="12598" operator="equal">
      <formula>"GBP"</formula>
    </cfRule>
    <cfRule type="cellIs" dxfId="2702" priority="12599" operator="equal">
      <formula>"EUR"</formula>
    </cfRule>
    <cfRule type="cellIs" dxfId="2701" priority="12600" operator="equal">
      <formula>"USD"</formula>
    </cfRule>
    <cfRule type="cellIs" dxfId="2700" priority="12601" operator="equal">
      <formula>"EGP"</formula>
    </cfRule>
  </conditionalFormatting>
  <conditionalFormatting sqref="H291:H292">
    <cfRule type="cellIs" dxfId="2699" priority="12533" operator="equal">
      <formula>"GBP"</formula>
    </cfRule>
    <cfRule type="cellIs" dxfId="2698" priority="12534" operator="equal">
      <formula>"EUR"</formula>
    </cfRule>
    <cfRule type="cellIs" dxfId="2697" priority="12535" operator="equal">
      <formula>"USD"</formula>
    </cfRule>
    <cfRule type="cellIs" dxfId="2696" priority="12536" operator="equal">
      <formula>"EGP"</formula>
    </cfRule>
  </conditionalFormatting>
  <conditionalFormatting sqref="H294:H299">
    <cfRule type="cellIs" dxfId="2695" priority="9394" operator="equal">
      <formula>"GBP"</formula>
    </cfRule>
    <cfRule type="cellIs" dxfId="2694" priority="9395" operator="equal">
      <formula>"EUR"</formula>
    </cfRule>
    <cfRule type="cellIs" dxfId="2693" priority="9396" operator="equal">
      <formula>"USD"</formula>
    </cfRule>
    <cfRule type="cellIs" dxfId="2692" priority="9397" operator="equal">
      <formula>"EGP"</formula>
    </cfRule>
  </conditionalFormatting>
  <conditionalFormatting sqref="H302:H304">
    <cfRule type="cellIs" dxfId="2691" priority="12390" operator="equal">
      <formula>"GBP"</formula>
    </cfRule>
    <cfRule type="cellIs" dxfId="2690" priority="12391" operator="equal">
      <formula>"EUR"</formula>
    </cfRule>
    <cfRule type="cellIs" dxfId="2689" priority="12392" operator="equal">
      <formula>"USD"</formula>
    </cfRule>
    <cfRule type="cellIs" dxfId="2688" priority="12393" operator="equal">
      <formula>"EGP"</formula>
    </cfRule>
  </conditionalFormatting>
  <conditionalFormatting sqref="H308">
    <cfRule type="cellIs" dxfId="2687" priority="12336" operator="equal">
      <formula>"GBP"</formula>
    </cfRule>
    <cfRule type="cellIs" dxfId="2686" priority="12337" operator="equal">
      <formula>"USD"</formula>
    </cfRule>
    <cfRule type="cellIs" dxfId="2685" priority="12338" operator="equal">
      <formula>"EGP"</formula>
    </cfRule>
    <cfRule type="cellIs" dxfId="2684" priority="12339" operator="equal">
      <formula>"EUR"</formula>
    </cfRule>
  </conditionalFormatting>
  <conditionalFormatting sqref="H310:H313">
    <cfRule type="cellIs" dxfId="2683" priority="12216" operator="equal">
      <formula>"GBP"</formula>
    </cfRule>
    <cfRule type="cellIs" dxfId="2682" priority="12217" operator="equal">
      <formula>"EUR"</formula>
    </cfRule>
    <cfRule type="cellIs" dxfId="2681" priority="12218" operator="equal">
      <formula>"USD"</formula>
    </cfRule>
    <cfRule type="cellIs" dxfId="2680" priority="12219" operator="equal">
      <formula>"EGP"</formula>
    </cfRule>
  </conditionalFormatting>
  <conditionalFormatting sqref="H315:H323">
    <cfRule type="cellIs" dxfId="2679" priority="11986" operator="equal">
      <formula>"GBP"</formula>
    </cfRule>
    <cfRule type="cellIs" dxfId="2678" priority="11987" operator="equal">
      <formula>"EUR"</formula>
    </cfRule>
    <cfRule type="cellIs" dxfId="2677" priority="11988" operator="equal">
      <formula>"USD"</formula>
    </cfRule>
    <cfRule type="cellIs" dxfId="2676" priority="11989" operator="equal">
      <formula>"EGP"</formula>
    </cfRule>
  </conditionalFormatting>
  <conditionalFormatting sqref="H326">
    <cfRule type="cellIs" dxfId="2675" priority="11935" operator="equal">
      <formula>"GBP"</formula>
    </cfRule>
    <cfRule type="cellIs" dxfId="2674" priority="11936" operator="equal">
      <formula>"EUR"</formula>
    </cfRule>
    <cfRule type="cellIs" dxfId="2673" priority="11937" operator="equal">
      <formula>"USD"</formula>
    </cfRule>
    <cfRule type="cellIs" dxfId="2672" priority="11938" operator="equal">
      <formula>"EGP"</formula>
    </cfRule>
  </conditionalFormatting>
  <conditionalFormatting sqref="H330:H338">
    <cfRule type="cellIs" dxfId="2671" priority="11199" operator="equal">
      <formula>"GBP"</formula>
    </cfRule>
    <cfRule type="cellIs" dxfId="2670" priority="11200" operator="equal">
      <formula>"EUR"</formula>
    </cfRule>
    <cfRule type="cellIs" dxfId="2669" priority="11201" operator="equal">
      <formula>"USD"</formula>
    </cfRule>
    <cfRule type="cellIs" dxfId="2668" priority="11202" operator="equal">
      <formula>"EGP"</formula>
    </cfRule>
  </conditionalFormatting>
  <conditionalFormatting sqref="H340">
    <cfRule type="cellIs" dxfId="2667" priority="11746" operator="equal">
      <formula>"GBP"</formula>
    </cfRule>
    <cfRule type="cellIs" dxfId="2666" priority="11747" operator="equal">
      <formula>"USD"</formula>
    </cfRule>
    <cfRule type="cellIs" dxfId="2665" priority="11748" operator="equal">
      <formula>"EGP"</formula>
    </cfRule>
    <cfRule type="cellIs" dxfId="2664" priority="11749" operator="equal">
      <formula>"EUR"</formula>
    </cfRule>
  </conditionalFormatting>
  <conditionalFormatting sqref="H343:H344">
    <cfRule type="cellIs" dxfId="2663" priority="11665" operator="equal">
      <formula>"GBP"</formula>
    </cfRule>
    <cfRule type="cellIs" dxfId="2662" priority="11666" operator="equal">
      <formula>"EUR"</formula>
    </cfRule>
    <cfRule type="cellIs" dxfId="2661" priority="11667" operator="equal">
      <formula>"USD"</formula>
    </cfRule>
    <cfRule type="cellIs" dxfId="2660" priority="11668" operator="equal">
      <formula>"EGP"</formula>
    </cfRule>
  </conditionalFormatting>
  <conditionalFormatting sqref="H347">
    <cfRule type="cellIs" dxfId="2659" priority="11172" operator="equal">
      <formula>"GBP"</formula>
    </cfRule>
    <cfRule type="cellIs" dxfId="2658" priority="11173" operator="equal">
      <formula>"USD"</formula>
    </cfRule>
    <cfRule type="cellIs" dxfId="2657" priority="11174" operator="equal">
      <formula>"EGP"</formula>
    </cfRule>
    <cfRule type="cellIs" dxfId="2656" priority="11175" operator="equal">
      <formula>"EUR"</formula>
    </cfRule>
  </conditionalFormatting>
  <conditionalFormatting sqref="H349">
    <cfRule type="cellIs" dxfId="2655" priority="11617" operator="equal">
      <formula>"GBP"</formula>
    </cfRule>
    <cfRule type="cellIs" dxfId="2654" priority="11618" operator="equal">
      <formula>"EUR"</formula>
    </cfRule>
    <cfRule type="cellIs" dxfId="2653" priority="11619" operator="equal">
      <formula>"USD"</formula>
    </cfRule>
    <cfRule type="cellIs" dxfId="2652" priority="11620" operator="equal">
      <formula>"EGP"</formula>
    </cfRule>
  </conditionalFormatting>
  <conditionalFormatting sqref="H352">
    <cfRule type="cellIs" dxfId="2651" priority="11544" operator="equal">
      <formula>"GBP"</formula>
    </cfRule>
    <cfRule type="cellIs" dxfId="2650" priority="11545" operator="equal">
      <formula>"EUR"</formula>
    </cfRule>
    <cfRule type="cellIs" dxfId="2649" priority="11546" operator="equal">
      <formula>"USD"</formula>
    </cfRule>
    <cfRule type="cellIs" dxfId="2648" priority="11547" operator="equal">
      <formula>"EGP"</formula>
    </cfRule>
  </conditionalFormatting>
  <conditionalFormatting sqref="H354">
    <cfRule type="cellIs" dxfId="2647" priority="11527" operator="equal">
      <formula>"GBP"</formula>
    </cfRule>
    <cfRule type="cellIs" dxfId="2646" priority="11528" operator="equal">
      <formula>"USD"</formula>
    </cfRule>
    <cfRule type="cellIs" dxfId="2645" priority="11529" operator="equal">
      <formula>"EGP"</formula>
    </cfRule>
    <cfRule type="cellIs" dxfId="2644" priority="11530" operator="equal">
      <formula>"EUR"</formula>
    </cfRule>
  </conditionalFormatting>
  <conditionalFormatting sqref="H359:H360">
    <cfRule type="cellIs" dxfId="2643" priority="11453" operator="equal">
      <formula>"GBP"</formula>
    </cfRule>
    <cfRule type="cellIs" dxfId="2642" priority="11454" operator="equal">
      <formula>"EUR"</formula>
    </cfRule>
    <cfRule type="cellIs" dxfId="2641" priority="11455" operator="equal">
      <formula>"USD"</formula>
    </cfRule>
    <cfRule type="cellIs" dxfId="2640" priority="11456" operator="equal">
      <formula>"EGP"</formula>
    </cfRule>
  </conditionalFormatting>
  <conditionalFormatting sqref="H362">
    <cfRule type="cellIs" dxfId="2639" priority="11440" operator="equal">
      <formula>"GBP"</formula>
    </cfRule>
    <cfRule type="cellIs" dxfId="2638" priority="11441" operator="equal">
      <formula>"EUR"</formula>
    </cfRule>
    <cfRule type="cellIs" dxfId="2637" priority="11442" operator="equal">
      <formula>"USD"</formula>
    </cfRule>
    <cfRule type="cellIs" dxfId="2636" priority="11443" operator="equal">
      <formula>"EGP"</formula>
    </cfRule>
  </conditionalFormatting>
  <conditionalFormatting sqref="H364:H366">
    <cfRule type="cellIs" dxfId="2635" priority="11329" operator="equal">
      <formula>"GBP"</formula>
    </cfRule>
    <cfRule type="cellIs" dxfId="2634" priority="11330" operator="equal">
      <formula>"EUR"</formula>
    </cfRule>
    <cfRule type="cellIs" dxfId="2633" priority="11331" operator="equal">
      <formula>"USD"</formula>
    </cfRule>
    <cfRule type="cellIs" dxfId="2632" priority="11332" operator="equal">
      <formula>"EGP"</formula>
    </cfRule>
  </conditionalFormatting>
  <conditionalFormatting sqref="H368">
    <cfRule type="cellIs" dxfId="2631" priority="11325" operator="equal">
      <formula>"GBP"</formula>
    </cfRule>
    <cfRule type="cellIs" dxfId="2630" priority="11326" operator="equal">
      <formula>"USD"</formula>
    </cfRule>
    <cfRule type="cellIs" dxfId="2629" priority="11327" operator="equal">
      <formula>"EGP"</formula>
    </cfRule>
    <cfRule type="cellIs" dxfId="2628" priority="11328" operator="equal">
      <formula>"EUR"</formula>
    </cfRule>
  </conditionalFormatting>
  <conditionalFormatting sqref="H370:H373">
    <cfRule type="cellIs" dxfId="2627" priority="11231" operator="equal">
      <formula>"GBP"</formula>
    </cfRule>
    <cfRule type="cellIs" dxfId="2626" priority="11232" operator="equal">
      <formula>"EUR"</formula>
    </cfRule>
    <cfRule type="cellIs" dxfId="2625" priority="11233" operator="equal">
      <formula>"USD"</formula>
    </cfRule>
    <cfRule type="cellIs" dxfId="2624" priority="11234" operator="equal">
      <formula>"EGP"</formula>
    </cfRule>
  </conditionalFormatting>
  <conditionalFormatting sqref="H375">
    <cfRule type="cellIs" dxfId="2623" priority="11147" operator="equal">
      <formula>"GBP"</formula>
    </cfRule>
    <cfRule type="cellIs" dxfId="2622" priority="11148" operator="equal">
      <formula>"EUR"</formula>
    </cfRule>
    <cfRule type="cellIs" dxfId="2621" priority="11149" operator="equal">
      <formula>"USD"</formula>
    </cfRule>
    <cfRule type="cellIs" dxfId="2620" priority="11150" operator="equal">
      <formula>"EGP"</formula>
    </cfRule>
  </conditionalFormatting>
  <conditionalFormatting sqref="H377:H379">
    <cfRule type="cellIs" dxfId="2619" priority="11073" operator="equal">
      <formula>"GBP"</formula>
    </cfRule>
    <cfRule type="cellIs" dxfId="2618" priority="11074" operator="equal">
      <formula>"USD"</formula>
    </cfRule>
    <cfRule type="cellIs" dxfId="2617" priority="11075" operator="equal">
      <formula>"EGP"</formula>
    </cfRule>
    <cfRule type="cellIs" dxfId="2616" priority="11076" operator="equal">
      <formula>"EUR"</formula>
    </cfRule>
  </conditionalFormatting>
  <conditionalFormatting sqref="H382:H384">
    <cfRule type="cellIs" dxfId="2615" priority="9373" operator="equal">
      <formula>"GBP"</formula>
    </cfRule>
    <cfRule type="cellIs" dxfId="2614" priority="9374" operator="equal">
      <formula>"EUR"</formula>
    </cfRule>
    <cfRule type="cellIs" dxfId="2613" priority="9375" operator="equal">
      <formula>"USD"</formula>
    </cfRule>
    <cfRule type="cellIs" dxfId="2612" priority="9376" operator="equal">
      <formula>"EGP"</formula>
    </cfRule>
  </conditionalFormatting>
  <conditionalFormatting sqref="H386">
    <cfRule type="cellIs" dxfId="2611" priority="10948" operator="equal">
      <formula>"GBP"</formula>
    </cfRule>
    <cfRule type="cellIs" dxfId="2610" priority="10949" operator="equal">
      <formula>"USD"</formula>
    </cfRule>
    <cfRule type="cellIs" dxfId="2609" priority="10950" operator="equal">
      <formula>"EGP"</formula>
    </cfRule>
    <cfRule type="cellIs" dxfId="2608" priority="10951" operator="equal">
      <formula>"EUR"</formula>
    </cfRule>
  </conditionalFormatting>
  <conditionalFormatting sqref="H389:H390">
    <cfRule type="cellIs" dxfId="2607" priority="10869" operator="equal">
      <formula>"GBP"</formula>
    </cfRule>
    <cfRule type="cellIs" dxfId="2606" priority="10870" operator="equal">
      <formula>"EUR"</formula>
    </cfRule>
    <cfRule type="cellIs" dxfId="2605" priority="10871" operator="equal">
      <formula>"USD"</formula>
    </cfRule>
    <cfRule type="cellIs" dxfId="2604" priority="10872" operator="equal">
      <formula>"EGP"</formula>
    </cfRule>
  </conditionalFormatting>
  <conditionalFormatting sqref="H393:H398">
    <cfRule type="cellIs" dxfId="2603" priority="10664" operator="equal">
      <formula>"GBP"</formula>
    </cfRule>
    <cfRule type="cellIs" dxfId="2602" priority="10665" operator="equal">
      <formula>"EUR"</formula>
    </cfRule>
    <cfRule type="cellIs" dxfId="2601" priority="10666" operator="equal">
      <formula>"USD"</formula>
    </cfRule>
    <cfRule type="cellIs" dxfId="2600" priority="10667" operator="equal">
      <formula>"EGP"</formula>
    </cfRule>
  </conditionalFormatting>
  <conditionalFormatting sqref="H400:H408">
    <cfRule type="cellIs" dxfId="2599" priority="10592" operator="equal">
      <formula>"GBP"</formula>
    </cfRule>
    <cfRule type="cellIs" dxfId="2598" priority="10593" operator="equal">
      <formula>"USD"</formula>
    </cfRule>
    <cfRule type="cellIs" dxfId="2597" priority="10594" operator="equal">
      <formula>"EGP"</formula>
    </cfRule>
    <cfRule type="cellIs" dxfId="2596" priority="10595" operator="equal">
      <formula>"EUR"</formula>
    </cfRule>
  </conditionalFormatting>
  <conditionalFormatting sqref="H411:H417">
    <cfRule type="cellIs" dxfId="2595" priority="10505" operator="equal">
      <formula>"GBP"</formula>
    </cfRule>
    <cfRule type="cellIs" dxfId="2594" priority="10506" operator="equal">
      <formula>"EUR"</formula>
    </cfRule>
    <cfRule type="cellIs" dxfId="2593" priority="10507" operator="equal">
      <formula>"USD"</formula>
    </cfRule>
    <cfRule type="cellIs" dxfId="2592" priority="10508" operator="equal">
      <formula>"EGP"</formula>
    </cfRule>
  </conditionalFormatting>
  <conditionalFormatting sqref="H419:H433">
    <cfRule type="cellIs" dxfId="2591" priority="10178" operator="equal">
      <formula>"GBP"</formula>
    </cfRule>
    <cfRule type="cellIs" dxfId="2590" priority="10179" operator="equal">
      <formula>"EUR"</formula>
    </cfRule>
    <cfRule type="cellIs" dxfId="2589" priority="10180" operator="equal">
      <formula>"USD"</formula>
    </cfRule>
    <cfRule type="cellIs" dxfId="2588" priority="10181" operator="equal">
      <formula>"EGP"</formula>
    </cfRule>
  </conditionalFormatting>
  <conditionalFormatting sqref="H435">
    <cfRule type="cellIs" dxfId="2587" priority="10239" operator="equal">
      <formula>"GBP"</formula>
    </cfRule>
    <cfRule type="cellIs" dxfId="2586" priority="10240" operator="equal">
      <formula>"USD"</formula>
    </cfRule>
    <cfRule type="cellIs" dxfId="2585" priority="10241" operator="equal">
      <formula>"EGP"</formula>
    </cfRule>
    <cfRule type="cellIs" dxfId="2584" priority="10242" operator="equal">
      <formula>"EUR"</formula>
    </cfRule>
  </conditionalFormatting>
  <conditionalFormatting sqref="H438">
    <cfRule type="cellIs" dxfId="2583" priority="10235" operator="equal">
      <formula>"GBP"</formula>
    </cfRule>
    <cfRule type="cellIs" dxfId="2582" priority="10236" operator="equal">
      <formula>"USD"</formula>
    </cfRule>
    <cfRule type="cellIs" dxfId="2581" priority="10237" operator="equal">
      <formula>"EGP"</formula>
    </cfRule>
    <cfRule type="cellIs" dxfId="2580" priority="10238" operator="equal">
      <formula>"EUR"</formula>
    </cfRule>
  </conditionalFormatting>
  <conditionalFormatting sqref="H440">
    <cfRule type="cellIs" dxfId="2579" priority="10024" operator="equal">
      <formula>"GBP"</formula>
    </cfRule>
    <cfRule type="cellIs" dxfId="2578" priority="10025" operator="equal">
      <formula>"EUR"</formula>
    </cfRule>
    <cfRule type="cellIs" dxfId="2577" priority="10026" operator="equal">
      <formula>"USD"</formula>
    </cfRule>
    <cfRule type="cellIs" dxfId="2576" priority="10027" operator="equal">
      <formula>"EGP"</formula>
    </cfRule>
  </conditionalFormatting>
  <conditionalFormatting sqref="H443:H444">
    <cfRule type="cellIs" dxfId="2575" priority="10067" operator="equal">
      <formula>"GBP"</formula>
    </cfRule>
    <cfRule type="cellIs" dxfId="2574" priority="10068" operator="equal">
      <formula>"EUR"</formula>
    </cfRule>
    <cfRule type="cellIs" dxfId="2573" priority="10069" operator="equal">
      <formula>"USD"</formula>
    </cfRule>
    <cfRule type="cellIs" dxfId="2572" priority="10070" operator="equal">
      <formula>"EGP"</formula>
    </cfRule>
  </conditionalFormatting>
  <conditionalFormatting sqref="H446">
    <cfRule type="cellIs" dxfId="2571" priority="9993" operator="equal">
      <formula>"GBP"</formula>
    </cfRule>
    <cfRule type="cellIs" dxfId="2570" priority="9994" operator="equal">
      <formula>"EUR"</formula>
    </cfRule>
    <cfRule type="cellIs" dxfId="2569" priority="9995" operator="equal">
      <formula>"USD"</formula>
    </cfRule>
    <cfRule type="cellIs" dxfId="2568" priority="9996" operator="equal">
      <formula>"EGP"</formula>
    </cfRule>
  </conditionalFormatting>
  <conditionalFormatting sqref="H448:H449">
    <cfRule type="cellIs" dxfId="2567" priority="9925" operator="equal">
      <formula>"GBP"</formula>
    </cfRule>
    <cfRule type="cellIs" dxfId="2566" priority="9926" operator="equal">
      <formula>"EUR"</formula>
    </cfRule>
    <cfRule type="cellIs" dxfId="2565" priority="9927" operator="equal">
      <formula>"USD"</formula>
    </cfRule>
    <cfRule type="cellIs" dxfId="2564" priority="9928" operator="equal">
      <formula>"EGP"</formula>
    </cfRule>
  </conditionalFormatting>
  <conditionalFormatting sqref="H452:H461">
    <cfRule type="cellIs" dxfId="2563" priority="9616" operator="equal">
      <formula>"GBP"</formula>
    </cfRule>
    <cfRule type="cellIs" dxfId="2562" priority="9617" operator="equal">
      <formula>"EUR"</formula>
    </cfRule>
    <cfRule type="cellIs" dxfId="2561" priority="9618" operator="equal">
      <formula>"USD"</formula>
    </cfRule>
    <cfRule type="cellIs" dxfId="2560" priority="9619" operator="equal">
      <formula>"EGP"</formula>
    </cfRule>
  </conditionalFormatting>
  <conditionalFormatting sqref="H463">
    <cfRule type="cellIs" dxfId="2559" priority="9612" operator="equal">
      <formula>"GBP"</formula>
    </cfRule>
    <cfRule type="cellIs" dxfId="2558" priority="9613" operator="equal">
      <formula>"EUR"</formula>
    </cfRule>
    <cfRule type="cellIs" dxfId="2557" priority="9614" operator="equal">
      <formula>"USD"</formula>
    </cfRule>
    <cfRule type="cellIs" dxfId="2556" priority="9615" operator="equal">
      <formula>"EGP"</formula>
    </cfRule>
  </conditionalFormatting>
  <conditionalFormatting sqref="H465:H467">
    <cfRule type="cellIs" dxfId="2555" priority="9608" operator="equal">
      <formula>"GBP"</formula>
    </cfRule>
    <cfRule type="cellIs" dxfId="2554" priority="9609" operator="equal">
      <formula>"EUR"</formula>
    </cfRule>
    <cfRule type="cellIs" dxfId="2553" priority="9610" operator="equal">
      <formula>"USD"</formula>
    </cfRule>
    <cfRule type="cellIs" dxfId="2552" priority="9611" operator="equal">
      <formula>"EGP"</formula>
    </cfRule>
  </conditionalFormatting>
  <conditionalFormatting sqref="H469">
    <cfRule type="cellIs" dxfId="2551" priority="9604" operator="equal">
      <formula>"GBP"</formula>
    </cfRule>
    <cfRule type="cellIs" dxfId="2550" priority="9605" operator="equal">
      <formula>"USD"</formula>
    </cfRule>
    <cfRule type="cellIs" dxfId="2549" priority="9606" operator="equal">
      <formula>"EGP"</formula>
    </cfRule>
    <cfRule type="cellIs" dxfId="2548" priority="9607" operator="equal">
      <formula>"EUR"</formula>
    </cfRule>
  </conditionalFormatting>
  <conditionalFormatting sqref="H471:H476">
    <cfRule type="cellIs" dxfId="2547" priority="9352" operator="equal">
      <formula>"GBP"</formula>
    </cfRule>
    <cfRule type="cellIs" dxfId="2546" priority="9353" operator="equal">
      <formula>"EUR"</formula>
    </cfRule>
    <cfRule type="cellIs" dxfId="2545" priority="9354" operator="equal">
      <formula>"USD"</formula>
    </cfRule>
    <cfRule type="cellIs" dxfId="2544" priority="9355" operator="equal">
      <formula>"EGP"</formula>
    </cfRule>
  </conditionalFormatting>
  <conditionalFormatting sqref="H478:H481">
    <cfRule type="cellIs" dxfId="2543" priority="9507" operator="equal">
      <formula>"GBP"</formula>
    </cfRule>
    <cfRule type="cellIs" dxfId="2542" priority="9508" operator="equal">
      <formula>"EUR"</formula>
    </cfRule>
    <cfRule type="cellIs" dxfId="2541" priority="9509" operator="equal">
      <formula>"USD"</formula>
    </cfRule>
    <cfRule type="cellIs" dxfId="2540" priority="9510" operator="equal">
      <formula>"EGP"</formula>
    </cfRule>
  </conditionalFormatting>
  <conditionalFormatting sqref="H491">
    <cfRule type="cellIs" dxfId="2539" priority="9309" operator="equal">
      <formula>"GBP"</formula>
    </cfRule>
    <cfRule type="cellIs" dxfId="2538" priority="9310" operator="equal">
      <formula>"EUR"</formula>
    </cfRule>
    <cfRule type="cellIs" dxfId="2537" priority="9311" operator="equal">
      <formula>"USD"</formula>
    </cfRule>
    <cfRule type="cellIs" dxfId="2536" priority="9312" operator="equal">
      <formula>"EGP"</formula>
    </cfRule>
  </conditionalFormatting>
  <conditionalFormatting sqref="H493:H497">
    <cfRule type="cellIs" dxfId="2535" priority="9181" operator="equal">
      <formula>"GBP"</formula>
    </cfRule>
    <cfRule type="cellIs" dxfId="2534" priority="9182" operator="equal">
      <formula>"EUR"</formula>
    </cfRule>
    <cfRule type="cellIs" dxfId="2533" priority="9183" operator="equal">
      <formula>"USD"</formula>
    </cfRule>
    <cfRule type="cellIs" dxfId="2532" priority="9184" operator="equal">
      <formula>"EGP"</formula>
    </cfRule>
  </conditionalFormatting>
  <conditionalFormatting sqref="H499:H504 H510">
    <cfRule type="cellIs" dxfId="2531" priority="9044" operator="equal">
      <formula>"GBP"</formula>
    </cfRule>
    <cfRule type="cellIs" dxfId="2530" priority="9045" operator="equal">
      <formula>"EUR"</formula>
    </cfRule>
    <cfRule type="cellIs" dxfId="2529" priority="9046" operator="equal">
      <formula>"USD"</formula>
    </cfRule>
    <cfRule type="cellIs" dxfId="2528" priority="9047" operator="equal">
      <formula>"EGP"</formula>
    </cfRule>
  </conditionalFormatting>
  <conditionalFormatting sqref="H512:H520">
    <cfRule type="cellIs" dxfId="2527" priority="8796" operator="equal">
      <formula>"GBP"</formula>
    </cfRule>
    <cfRule type="cellIs" dxfId="2526" priority="8797" operator="equal">
      <formula>"EUR"</formula>
    </cfRule>
    <cfRule type="cellIs" dxfId="2525" priority="8798" operator="equal">
      <formula>"USD"</formula>
    </cfRule>
    <cfRule type="cellIs" dxfId="2524" priority="8799" operator="equal">
      <formula>"EGP"</formula>
    </cfRule>
  </conditionalFormatting>
  <conditionalFormatting sqref="H522:H532">
    <cfRule type="cellIs" dxfId="2523" priority="8655" operator="equal">
      <formula>"GBP"</formula>
    </cfRule>
    <cfRule type="cellIs" dxfId="2522" priority="8656" operator="equal">
      <formula>"EUR"</formula>
    </cfRule>
    <cfRule type="cellIs" dxfId="2521" priority="8657" operator="equal">
      <formula>"USD"</formula>
    </cfRule>
    <cfRule type="cellIs" dxfId="2520" priority="8658" operator="equal">
      <formula>"EGP"</formula>
    </cfRule>
  </conditionalFormatting>
  <conditionalFormatting sqref="H535:H539">
    <cfRule type="cellIs" dxfId="2519" priority="8510" operator="equal">
      <formula>"GBP"</formula>
    </cfRule>
    <cfRule type="cellIs" dxfId="2518" priority="8511" operator="equal">
      <formula>"EUR"</formula>
    </cfRule>
    <cfRule type="cellIs" dxfId="2517" priority="8512" operator="equal">
      <formula>"USD"</formula>
    </cfRule>
    <cfRule type="cellIs" dxfId="2516" priority="8513" operator="equal">
      <formula>"EGP"</formula>
    </cfRule>
  </conditionalFormatting>
  <conditionalFormatting sqref="H541:H547">
    <cfRule type="cellIs" dxfId="2515" priority="8378" operator="equal">
      <formula>"GBP"</formula>
    </cfRule>
    <cfRule type="cellIs" dxfId="2514" priority="8379" operator="equal">
      <formula>"EUR"</formula>
    </cfRule>
    <cfRule type="cellIs" dxfId="2513" priority="8380" operator="equal">
      <formula>"USD"</formula>
    </cfRule>
    <cfRule type="cellIs" dxfId="2512" priority="8381" operator="equal">
      <formula>"EGP"</formula>
    </cfRule>
  </conditionalFormatting>
  <conditionalFormatting sqref="H549">
    <cfRule type="cellIs" dxfId="2511" priority="8307" operator="equal">
      <formula>"GBP"</formula>
    </cfRule>
    <cfRule type="cellIs" dxfId="2510" priority="8308" operator="equal">
      <formula>"EUR"</formula>
    </cfRule>
    <cfRule type="cellIs" dxfId="2509" priority="8309" operator="equal">
      <formula>"USD"</formula>
    </cfRule>
    <cfRule type="cellIs" dxfId="2508" priority="8310" operator="equal">
      <formula>"EGP"</formula>
    </cfRule>
  </conditionalFormatting>
  <conditionalFormatting sqref="H551:H553">
    <cfRule type="cellIs" dxfId="2507" priority="8303" operator="equal">
      <formula>"GBP"</formula>
    </cfRule>
    <cfRule type="cellIs" dxfId="2506" priority="8304" operator="equal">
      <formula>"EUR"</formula>
    </cfRule>
    <cfRule type="cellIs" dxfId="2505" priority="8305" operator="equal">
      <formula>"USD"</formula>
    </cfRule>
    <cfRule type="cellIs" dxfId="2504" priority="8306" operator="equal">
      <formula>"EGP"</formula>
    </cfRule>
  </conditionalFormatting>
  <conditionalFormatting sqref="H556:H559">
    <cfRule type="cellIs" dxfId="2503" priority="8217" operator="equal">
      <formula>"GBP"</formula>
    </cfRule>
    <cfRule type="cellIs" dxfId="2502" priority="8218" operator="equal">
      <formula>"EUR"</formula>
    </cfRule>
    <cfRule type="cellIs" dxfId="2501" priority="8219" operator="equal">
      <formula>"USD"</formula>
    </cfRule>
    <cfRule type="cellIs" dxfId="2500" priority="8220" operator="equal">
      <formula>"EGP"</formula>
    </cfRule>
  </conditionalFormatting>
  <conditionalFormatting sqref="H561:H563">
    <cfRule type="cellIs" dxfId="2499" priority="8167" operator="equal">
      <formula>"GBP"</formula>
    </cfRule>
    <cfRule type="cellIs" dxfId="2498" priority="8168" operator="equal">
      <formula>"EUR"</formula>
    </cfRule>
    <cfRule type="cellIs" dxfId="2497" priority="8169" operator="equal">
      <formula>"USD"</formula>
    </cfRule>
    <cfRule type="cellIs" dxfId="2496" priority="8170" operator="equal">
      <formula>"EGP"</formula>
    </cfRule>
  </conditionalFormatting>
  <conditionalFormatting sqref="H565:H566">
    <cfRule type="cellIs" dxfId="2495" priority="8129" operator="equal">
      <formula>"GBP"</formula>
    </cfRule>
    <cfRule type="cellIs" dxfId="2494" priority="8130" operator="equal">
      <formula>"EUR"</formula>
    </cfRule>
    <cfRule type="cellIs" dxfId="2493" priority="8131" operator="equal">
      <formula>"USD"</formula>
    </cfRule>
    <cfRule type="cellIs" dxfId="2492" priority="8132" operator="equal">
      <formula>"EGP"</formula>
    </cfRule>
  </conditionalFormatting>
  <conditionalFormatting sqref="H568">
    <cfRule type="cellIs" dxfId="2491" priority="8090" operator="equal">
      <formula>"GBP"</formula>
    </cfRule>
    <cfRule type="cellIs" dxfId="2490" priority="8091" operator="equal">
      <formula>"EUR"</formula>
    </cfRule>
    <cfRule type="cellIs" dxfId="2489" priority="8092" operator="equal">
      <formula>"USD"</formula>
    </cfRule>
    <cfRule type="cellIs" dxfId="2488" priority="8093" operator="equal">
      <formula>"EGP"</formula>
    </cfRule>
  </conditionalFormatting>
  <conditionalFormatting sqref="H570:H571">
    <cfRule type="cellIs" dxfId="2487" priority="7990" operator="equal">
      <formula>"GBP"</formula>
    </cfRule>
    <cfRule type="cellIs" dxfId="2486" priority="7991" operator="equal">
      <formula>"EUR"</formula>
    </cfRule>
    <cfRule type="cellIs" dxfId="2485" priority="7992" operator="equal">
      <formula>"USD"</formula>
    </cfRule>
    <cfRule type="cellIs" dxfId="2484" priority="7993" operator="equal">
      <formula>"EGP"</formula>
    </cfRule>
  </conditionalFormatting>
  <conditionalFormatting sqref="H573:H578">
    <cfRule type="cellIs" dxfId="2483" priority="7890" operator="equal">
      <formula>"EUR"</formula>
    </cfRule>
    <cfRule type="cellIs" dxfId="2482" priority="7891" operator="equal">
      <formula>"GBP"</formula>
    </cfRule>
    <cfRule type="cellIs" dxfId="2481" priority="7892" operator="equal">
      <formula>"USD"</formula>
    </cfRule>
    <cfRule type="cellIs" dxfId="2480" priority="7893" operator="equal">
      <formula>"EGP"</formula>
    </cfRule>
  </conditionalFormatting>
  <conditionalFormatting sqref="H581:H584">
    <cfRule type="cellIs" dxfId="2479" priority="7817" operator="equal">
      <formula>"GBP"</formula>
    </cfRule>
    <cfRule type="cellIs" dxfId="2478" priority="7818" operator="equal">
      <formula>"EUR"</formula>
    </cfRule>
    <cfRule type="cellIs" dxfId="2477" priority="7819" operator="equal">
      <formula>"USD"</formula>
    </cfRule>
    <cfRule type="cellIs" dxfId="2476" priority="7820" operator="equal">
      <formula>"EGP"</formula>
    </cfRule>
  </conditionalFormatting>
  <conditionalFormatting sqref="H586:H591">
    <cfRule type="cellIs" dxfId="2475" priority="7695" operator="equal">
      <formula>"GBP"</formula>
    </cfRule>
    <cfRule type="cellIs" dxfId="2474" priority="7696" operator="equal">
      <formula>"EUR"</formula>
    </cfRule>
    <cfRule type="cellIs" dxfId="2473" priority="7697" operator="equal">
      <formula>"USD"</formula>
    </cfRule>
    <cfRule type="cellIs" dxfId="2472" priority="7698" operator="equal">
      <formula>"EGP"</formula>
    </cfRule>
  </conditionalFormatting>
  <conditionalFormatting sqref="H593:H595">
    <cfRule type="cellIs" dxfId="2471" priority="7656" operator="equal">
      <formula>"GBP"</formula>
    </cfRule>
    <cfRule type="cellIs" dxfId="2470" priority="7657" operator="equal">
      <formula>"EUR"</formula>
    </cfRule>
    <cfRule type="cellIs" dxfId="2469" priority="7658" operator="equal">
      <formula>"USD"</formula>
    </cfRule>
    <cfRule type="cellIs" dxfId="2468" priority="7659" operator="equal">
      <formula>"EGP"</formula>
    </cfRule>
  </conditionalFormatting>
  <conditionalFormatting sqref="H597">
    <cfRule type="cellIs" dxfId="2467" priority="7629" operator="equal">
      <formula>"GBP"</formula>
    </cfRule>
    <cfRule type="cellIs" dxfId="2466" priority="7630" operator="equal">
      <formula>"EUR"</formula>
    </cfRule>
    <cfRule type="cellIs" dxfId="2465" priority="7631" operator="equal">
      <formula>"USD"</formula>
    </cfRule>
    <cfRule type="cellIs" dxfId="2464" priority="7632" operator="equal">
      <formula>"EGP"</formula>
    </cfRule>
  </conditionalFormatting>
  <conditionalFormatting sqref="H599:H608">
    <cfRule type="cellIs" dxfId="2463" priority="7488" operator="equal">
      <formula>"GBP"</formula>
    </cfRule>
    <cfRule type="cellIs" dxfId="2462" priority="7489" operator="equal">
      <formula>"EUR"</formula>
    </cfRule>
    <cfRule type="cellIs" dxfId="2461" priority="7490" operator="equal">
      <formula>"USD"</formula>
    </cfRule>
    <cfRule type="cellIs" dxfId="2460" priority="7491" operator="equal">
      <formula>"EGP"</formula>
    </cfRule>
  </conditionalFormatting>
  <conditionalFormatting sqref="H610:H611">
    <cfRule type="cellIs" dxfId="2459" priority="7441" operator="equal">
      <formula>"GBP"</formula>
    </cfRule>
    <cfRule type="cellIs" dxfId="2458" priority="7442" operator="equal">
      <formula>"EUR"</formula>
    </cfRule>
    <cfRule type="cellIs" dxfId="2457" priority="7443" operator="equal">
      <formula>"USD"</formula>
    </cfRule>
    <cfRule type="cellIs" dxfId="2456" priority="7444" operator="equal">
      <formula>"EGP"</formula>
    </cfRule>
  </conditionalFormatting>
  <conditionalFormatting sqref="H614:H616">
    <cfRule type="cellIs" dxfId="2455" priority="7375" operator="equal">
      <formula>"GBP"</formula>
    </cfRule>
    <cfRule type="cellIs" dxfId="2454" priority="7376" operator="equal">
      <formula>"EUR"</formula>
    </cfRule>
    <cfRule type="cellIs" dxfId="2453" priority="7377" operator="equal">
      <formula>"USD"</formula>
    </cfRule>
    <cfRule type="cellIs" dxfId="2452" priority="7378" operator="equal">
      <formula>"EGP"</formula>
    </cfRule>
  </conditionalFormatting>
  <conditionalFormatting sqref="H634">
    <cfRule type="cellIs" dxfId="2451" priority="7149" operator="equal">
      <formula>"GBP"</formula>
    </cfRule>
    <cfRule type="cellIs" dxfId="2450" priority="7150" operator="equal">
      <formula>"EUR"</formula>
    </cfRule>
    <cfRule type="cellIs" dxfId="2449" priority="7151" operator="equal">
      <formula>"USD"</formula>
    </cfRule>
    <cfRule type="cellIs" dxfId="2448" priority="7152" operator="equal">
      <formula>"EGP"</formula>
    </cfRule>
  </conditionalFormatting>
  <conditionalFormatting sqref="H636:H639">
    <cfRule type="cellIs" dxfId="2447" priority="6995" operator="equal">
      <formula>"GBP"</formula>
    </cfRule>
    <cfRule type="cellIs" dxfId="2446" priority="6996" operator="equal">
      <formula>"EUR"</formula>
    </cfRule>
    <cfRule type="cellIs" dxfId="2445" priority="6997" operator="equal">
      <formula>"USD"</formula>
    </cfRule>
    <cfRule type="cellIs" dxfId="2444" priority="6998" operator="equal">
      <formula>"EGP"</formula>
    </cfRule>
  </conditionalFormatting>
  <conditionalFormatting sqref="H641:H643">
    <cfRule type="cellIs" dxfId="2443" priority="6909" operator="equal">
      <formula>"GBP"</formula>
    </cfRule>
    <cfRule type="cellIs" dxfId="2442" priority="6910" operator="equal">
      <formula>"EUR"</formula>
    </cfRule>
    <cfRule type="cellIs" dxfId="2441" priority="6911" operator="equal">
      <formula>"USD"</formula>
    </cfRule>
    <cfRule type="cellIs" dxfId="2440" priority="6912" operator="equal">
      <formula>"EGP"</formula>
    </cfRule>
  </conditionalFormatting>
  <conditionalFormatting sqref="H646:H652">
    <cfRule type="cellIs" dxfId="2439" priority="6786" operator="equal">
      <formula>"GBP"</formula>
    </cfRule>
    <cfRule type="cellIs" dxfId="2438" priority="6787" operator="equal">
      <formula>"EUR"</formula>
    </cfRule>
    <cfRule type="cellIs" dxfId="2437" priority="6788" operator="equal">
      <formula>"USD"</formula>
    </cfRule>
    <cfRule type="cellIs" dxfId="2436" priority="6789" operator="equal">
      <formula>"EGP"</formula>
    </cfRule>
  </conditionalFormatting>
  <conditionalFormatting sqref="H654">
    <cfRule type="cellIs" dxfId="2435" priority="6782" operator="equal">
      <formula>"GBP"</formula>
    </cfRule>
    <cfRule type="cellIs" dxfId="2434" priority="6783" operator="equal">
      <formula>"EUR"</formula>
    </cfRule>
    <cfRule type="cellIs" dxfId="2433" priority="6784" operator="equal">
      <formula>"USD"</formula>
    </cfRule>
    <cfRule type="cellIs" dxfId="2432" priority="6785" operator="equal">
      <formula>"EGP"</formula>
    </cfRule>
  </conditionalFormatting>
  <conditionalFormatting sqref="H656:H659">
    <cfRule type="cellIs" dxfId="2431" priority="6614" operator="equal">
      <formula>"GBP"</formula>
    </cfRule>
    <cfRule type="cellIs" dxfId="2430" priority="6615" operator="equal">
      <formula>"EUR"</formula>
    </cfRule>
    <cfRule type="cellIs" dxfId="2429" priority="6616" operator="equal">
      <formula>"USD"</formula>
    </cfRule>
    <cfRule type="cellIs" dxfId="2428" priority="6617" operator="equal">
      <formula>"EGP"</formula>
    </cfRule>
  </conditionalFormatting>
  <conditionalFormatting sqref="H661:H673">
    <cfRule type="cellIs" dxfId="2427" priority="6347" operator="equal">
      <formula>"GBP"</formula>
    </cfRule>
    <cfRule type="cellIs" dxfId="2426" priority="6348" operator="equal">
      <formula>"EUR"</formula>
    </cfRule>
    <cfRule type="cellIs" dxfId="2425" priority="6349" operator="equal">
      <formula>"USD"</formula>
    </cfRule>
    <cfRule type="cellIs" dxfId="2424" priority="6350" operator="equal">
      <formula>"EGP"</formula>
    </cfRule>
  </conditionalFormatting>
  <conditionalFormatting sqref="H675:H683">
    <cfRule type="cellIs" dxfId="2423" priority="6239" operator="equal">
      <formula>"GBP"</formula>
    </cfRule>
    <cfRule type="cellIs" dxfId="2422" priority="6240" operator="equal">
      <formula>"EUR"</formula>
    </cfRule>
    <cfRule type="cellIs" dxfId="2421" priority="6241" operator="equal">
      <formula>"USD"</formula>
    </cfRule>
    <cfRule type="cellIs" dxfId="2420" priority="6242" operator="equal">
      <formula>"EGP"</formula>
    </cfRule>
  </conditionalFormatting>
  <conditionalFormatting sqref="H685">
    <cfRule type="cellIs" dxfId="2419" priority="6157" operator="equal">
      <formula>"GBP"</formula>
    </cfRule>
    <cfRule type="cellIs" dxfId="2418" priority="6158" operator="equal">
      <formula>"EUR"</formula>
    </cfRule>
    <cfRule type="cellIs" dxfId="2417" priority="6159" operator="equal">
      <formula>"USD"</formula>
    </cfRule>
    <cfRule type="cellIs" dxfId="2416" priority="6160" operator="equal">
      <formula>"EGP"</formula>
    </cfRule>
  </conditionalFormatting>
  <conditionalFormatting sqref="H687:H692">
    <cfRule type="cellIs" dxfId="2415" priority="6043" operator="equal">
      <formula>"GBP"</formula>
    </cfRule>
    <cfRule type="cellIs" dxfId="2414" priority="6044" operator="equal">
      <formula>"EUR"</formula>
    </cfRule>
    <cfRule type="cellIs" dxfId="2413" priority="6045" operator="equal">
      <formula>"USD"</formula>
    </cfRule>
    <cfRule type="cellIs" dxfId="2412" priority="6046" operator="equal">
      <formula>"EGP"</formula>
    </cfRule>
  </conditionalFormatting>
  <conditionalFormatting sqref="H696">
    <cfRule type="cellIs" dxfId="2411" priority="6063" operator="equal">
      <formula>"GBP"</formula>
    </cfRule>
    <cfRule type="cellIs" dxfId="2410" priority="6064" operator="equal">
      <formula>"EUR"</formula>
    </cfRule>
    <cfRule type="cellIs" dxfId="2409" priority="6065" operator="equal">
      <formula>"USD"</formula>
    </cfRule>
    <cfRule type="cellIs" dxfId="2408" priority="6066" operator="equal">
      <formula>"EGP"</formula>
    </cfRule>
  </conditionalFormatting>
  <conditionalFormatting sqref="H699:H702">
    <cfRule type="cellIs" dxfId="2407" priority="5952" operator="equal">
      <formula>"GBP"</formula>
    </cfRule>
    <cfRule type="cellIs" dxfId="2406" priority="5953" operator="equal">
      <formula>"EUR"</formula>
    </cfRule>
    <cfRule type="cellIs" dxfId="2405" priority="5954" operator="equal">
      <formula>"USD"</formula>
    </cfRule>
    <cfRule type="cellIs" dxfId="2404" priority="5955" operator="equal">
      <formula>"EGP"</formula>
    </cfRule>
  </conditionalFormatting>
  <conditionalFormatting sqref="H704:H705">
    <cfRule type="cellIs" dxfId="2403" priority="5831" operator="equal">
      <formula>"GBP"</formula>
    </cfRule>
    <cfRule type="cellIs" dxfId="2402" priority="5832" operator="equal">
      <formula>"EUR"</formula>
    </cfRule>
    <cfRule type="cellIs" dxfId="2401" priority="5833" operator="equal">
      <formula>"USD"</formula>
    </cfRule>
    <cfRule type="cellIs" dxfId="2400" priority="5834" operator="equal">
      <formula>"EGP"</formula>
    </cfRule>
  </conditionalFormatting>
  <conditionalFormatting sqref="H708:H711">
    <cfRule type="cellIs" dxfId="2399" priority="5669" operator="equal">
      <formula>"GBP"</formula>
    </cfRule>
    <cfRule type="cellIs" dxfId="2398" priority="5670" operator="equal">
      <formula>"EUR"</formula>
    </cfRule>
    <cfRule type="cellIs" dxfId="2397" priority="5671" operator="equal">
      <formula>"USD"</formula>
    </cfRule>
    <cfRule type="cellIs" dxfId="2396" priority="5672" operator="equal">
      <formula>"EGP"</formula>
    </cfRule>
  </conditionalFormatting>
  <conditionalFormatting sqref="H713:H720">
    <cfRule type="cellIs" dxfId="2395" priority="5542" operator="equal">
      <formula>"GBP"</formula>
    </cfRule>
    <cfRule type="cellIs" dxfId="2394" priority="5543" operator="equal">
      <formula>"EUR"</formula>
    </cfRule>
    <cfRule type="cellIs" dxfId="2393" priority="5544" operator="equal">
      <formula>"USD"</formula>
    </cfRule>
    <cfRule type="cellIs" dxfId="2392" priority="5545" operator="equal">
      <formula>"EGP"</formula>
    </cfRule>
  </conditionalFormatting>
  <conditionalFormatting sqref="H722:H725">
    <cfRule type="cellIs" dxfId="2391" priority="5489" operator="equal">
      <formula>"GBP"</formula>
    </cfRule>
    <cfRule type="cellIs" dxfId="2390" priority="5490" operator="equal">
      <formula>"EUR"</formula>
    </cfRule>
    <cfRule type="cellIs" dxfId="2389" priority="5491" operator="equal">
      <formula>"USD"</formula>
    </cfRule>
    <cfRule type="cellIs" dxfId="2388" priority="5492" operator="equal">
      <formula>"EGP"</formula>
    </cfRule>
  </conditionalFormatting>
  <conditionalFormatting sqref="H727:H735">
    <cfRule type="cellIs" dxfId="2387" priority="5268" operator="equal">
      <formula>"GBP"</formula>
    </cfRule>
    <cfRule type="cellIs" dxfId="2386" priority="5269" operator="equal">
      <formula>"EUR"</formula>
    </cfRule>
    <cfRule type="cellIs" dxfId="2385" priority="5270" operator="equal">
      <formula>"USD"</formula>
    </cfRule>
    <cfRule type="cellIs" dxfId="2384" priority="5271" operator="equal">
      <formula>"EGP"</formula>
    </cfRule>
  </conditionalFormatting>
  <conditionalFormatting sqref="H737:H738">
    <cfRule type="cellIs" dxfId="2383" priority="5179" operator="equal">
      <formula>"GBP"</formula>
    </cfRule>
    <cfRule type="cellIs" dxfId="2382" priority="5180" operator="equal">
      <formula>"EUR"</formula>
    </cfRule>
    <cfRule type="cellIs" dxfId="2381" priority="5181" operator="equal">
      <formula>"USD"</formula>
    </cfRule>
    <cfRule type="cellIs" dxfId="2380" priority="5182" operator="equal">
      <formula>"EGP"</formula>
    </cfRule>
  </conditionalFormatting>
  <conditionalFormatting sqref="H740:H744">
    <cfRule type="cellIs" dxfId="2379" priority="4966" operator="equal">
      <formula>"GBP"</formula>
    </cfRule>
    <cfRule type="cellIs" dxfId="2378" priority="4967" operator="equal">
      <formula>"EUR"</formula>
    </cfRule>
    <cfRule type="cellIs" dxfId="2377" priority="4968" operator="equal">
      <formula>"USD"</formula>
    </cfRule>
    <cfRule type="cellIs" dxfId="2376" priority="4969" operator="equal">
      <formula>"EGP"</formula>
    </cfRule>
  </conditionalFormatting>
  <conditionalFormatting sqref="H747:H751">
    <cfRule type="cellIs" dxfId="2375" priority="4800" operator="equal">
      <formula>"GBP"</formula>
    </cfRule>
    <cfRule type="cellIs" dxfId="2374" priority="4801" operator="equal">
      <formula>"EUR"</formula>
    </cfRule>
    <cfRule type="cellIs" dxfId="2373" priority="4802" operator="equal">
      <formula>"USD"</formula>
    </cfRule>
    <cfRule type="cellIs" dxfId="2372" priority="4803" operator="equal">
      <formula>"EGP"</formula>
    </cfRule>
  </conditionalFormatting>
  <conditionalFormatting sqref="H753:H755">
    <cfRule type="cellIs" dxfId="2371" priority="4738" operator="equal">
      <formula>"GBP"</formula>
    </cfRule>
    <cfRule type="cellIs" dxfId="2370" priority="4739" operator="equal">
      <formula>"EUR"</formula>
    </cfRule>
    <cfRule type="cellIs" dxfId="2369" priority="4740" operator="equal">
      <formula>"USD"</formula>
    </cfRule>
    <cfRule type="cellIs" dxfId="2368" priority="4741" operator="equal">
      <formula>"EGP"</formula>
    </cfRule>
  </conditionalFormatting>
  <conditionalFormatting sqref="H757:H763">
    <cfRule type="cellIs" dxfId="2367" priority="4626" operator="equal">
      <formula>"GBP"</formula>
    </cfRule>
    <cfRule type="cellIs" dxfId="2366" priority="4627" operator="equal">
      <formula>"EUR"</formula>
    </cfRule>
    <cfRule type="cellIs" dxfId="2365" priority="4628" operator="equal">
      <formula>"USD"</formula>
    </cfRule>
    <cfRule type="cellIs" dxfId="2364" priority="4629" operator="equal">
      <formula>"EGP"</formula>
    </cfRule>
  </conditionalFormatting>
  <conditionalFormatting sqref="H765:H773">
    <cfRule type="cellIs" dxfId="2363" priority="4412" operator="equal">
      <formula>"GBP"</formula>
    </cfRule>
    <cfRule type="cellIs" dxfId="2362" priority="4413" operator="equal">
      <formula>"EUR"</formula>
    </cfRule>
    <cfRule type="cellIs" dxfId="2361" priority="4414" operator="equal">
      <formula>"USD"</formula>
    </cfRule>
    <cfRule type="cellIs" dxfId="2360" priority="4415" operator="equal">
      <formula>"EGP"</formula>
    </cfRule>
  </conditionalFormatting>
  <conditionalFormatting sqref="H775:H778">
    <cfRule type="cellIs" dxfId="2359" priority="4369" operator="equal">
      <formula>"GBP"</formula>
    </cfRule>
    <cfRule type="cellIs" dxfId="2358" priority="4370" operator="equal">
      <formula>"EUR"</formula>
    </cfRule>
    <cfRule type="cellIs" dxfId="2357" priority="4371" operator="equal">
      <formula>"USD"</formula>
    </cfRule>
    <cfRule type="cellIs" dxfId="2356" priority="4372" operator="equal">
      <formula>"EGP"</formula>
    </cfRule>
  </conditionalFormatting>
  <conditionalFormatting sqref="H784:H790">
    <cfRule type="cellIs" dxfId="2355" priority="4164" operator="equal">
      <formula>"GBP"</formula>
    </cfRule>
    <cfRule type="cellIs" dxfId="2354" priority="4165" operator="equal">
      <formula>"EUR"</formula>
    </cfRule>
    <cfRule type="cellIs" dxfId="2353" priority="4166" operator="equal">
      <formula>"USD"</formula>
    </cfRule>
    <cfRule type="cellIs" dxfId="2352" priority="4167" operator="equal">
      <formula>"EGP"</formula>
    </cfRule>
  </conditionalFormatting>
  <conditionalFormatting sqref="H794:H795">
    <cfRule type="cellIs" dxfId="2351" priority="4113" operator="equal">
      <formula>"GBP"</formula>
    </cfRule>
    <cfRule type="cellIs" dxfId="2350" priority="4114" operator="equal">
      <formula>"EUR"</formula>
    </cfRule>
    <cfRule type="cellIs" dxfId="2349" priority="4115" operator="equal">
      <formula>"USD"</formula>
    </cfRule>
    <cfRule type="cellIs" dxfId="2348" priority="4116" operator="equal">
      <formula>"EGP"</formula>
    </cfRule>
  </conditionalFormatting>
  <conditionalFormatting sqref="H797:H798">
    <cfRule type="cellIs" dxfId="2347" priority="4044" operator="equal">
      <formula>"GBP"</formula>
    </cfRule>
    <cfRule type="cellIs" dxfId="2346" priority="4045" operator="equal">
      <formula>"EUR"</formula>
    </cfRule>
    <cfRule type="cellIs" dxfId="2345" priority="4046" operator="equal">
      <formula>"USD"</formula>
    </cfRule>
    <cfRule type="cellIs" dxfId="2344" priority="4047" operator="equal">
      <formula>"EGP"</formula>
    </cfRule>
  </conditionalFormatting>
  <conditionalFormatting sqref="H800:H808">
    <cfRule type="cellIs" dxfId="2343" priority="3820" operator="equal">
      <formula>"GBP"</formula>
    </cfRule>
    <cfRule type="cellIs" dxfId="2342" priority="3821" operator="equal">
      <formula>"USD"</formula>
    </cfRule>
    <cfRule type="cellIs" dxfId="2341" priority="3822" operator="equal">
      <formula>"EGP"</formula>
    </cfRule>
    <cfRule type="cellIs" dxfId="2340" priority="3823" operator="equal">
      <formula>"EUR"</formula>
    </cfRule>
  </conditionalFormatting>
  <conditionalFormatting sqref="H811">
    <cfRule type="cellIs" dxfId="2339" priority="3768" operator="equal">
      <formula>"GBP"</formula>
    </cfRule>
    <cfRule type="cellIs" dxfId="2338" priority="3769" operator="equal">
      <formula>"EUR"</formula>
    </cfRule>
    <cfRule type="cellIs" dxfId="2337" priority="3770" operator="equal">
      <formula>"USD"</formula>
    </cfRule>
    <cfRule type="cellIs" dxfId="2336" priority="3771" operator="equal">
      <formula>"EGP"</formula>
    </cfRule>
  </conditionalFormatting>
  <conditionalFormatting sqref="H814:H816">
    <cfRule type="cellIs" dxfId="2335" priority="3620" operator="equal">
      <formula>"GBP"</formula>
    </cfRule>
    <cfRule type="cellIs" dxfId="2334" priority="3621" operator="equal">
      <formula>"EUR"</formula>
    </cfRule>
    <cfRule type="cellIs" dxfId="2333" priority="3622" operator="equal">
      <formula>"USD"</formula>
    </cfRule>
    <cfRule type="cellIs" dxfId="2332" priority="3623" operator="equal">
      <formula>"EGP"</formula>
    </cfRule>
  </conditionalFormatting>
  <conditionalFormatting sqref="H818:H823">
    <cfRule type="cellIs" dxfId="2331" priority="3473" operator="equal">
      <formula>"GBP"</formula>
    </cfRule>
    <cfRule type="cellIs" dxfId="2330" priority="3474" operator="equal">
      <formula>"EUR"</formula>
    </cfRule>
    <cfRule type="cellIs" dxfId="2329" priority="3475" operator="equal">
      <formula>"USD"</formula>
    </cfRule>
    <cfRule type="cellIs" dxfId="2328" priority="3476" operator="equal">
      <formula>"EGP"</formula>
    </cfRule>
  </conditionalFormatting>
  <conditionalFormatting sqref="H825:H835">
    <cfRule type="cellIs" dxfId="2327" priority="3158" operator="equal">
      <formula>"GBP"</formula>
    </cfRule>
    <cfRule type="cellIs" dxfId="2326" priority="3159" operator="equal">
      <formula>"EUR"</formula>
    </cfRule>
    <cfRule type="cellIs" dxfId="2325" priority="3160" operator="equal">
      <formula>"USD"</formula>
    </cfRule>
    <cfRule type="cellIs" dxfId="2324" priority="3161" operator="equal">
      <formula>"EGP"</formula>
    </cfRule>
  </conditionalFormatting>
  <conditionalFormatting sqref="H837:H840">
    <cfRule type="cellIs" dxfId="2323" priority="2911" operator="equal">
      <formula>"GBP"</formula>
    </cfRule>
    <cfRule type="cellIs" dxfId="2322" priority="2912" operator="equal">
      <formula>"EUR"</formula>
    </cfRule>
    <cfRule type="cellIs" dxfId="2321" priority="2913" operator="equal">
      <formula>"USD"</formula>
    </cfRule>
    <cfRule type="cellIs" dxfId="2320" priority="2914" operator="equal">
      <formula>"EGP"</formula>
    </cfRule>
  </conditionalFormatting>
  <conditionalFormatting sqref="H842:H845">
    <cfRule type="cellIs" dxfId="2319" priority="2966" operator="equal">
      <formula>"GBP"</formula>
    </cfRule>
    <cfRule type="cellIs" dxfId="2318" priority="2967" operator="equal">
      <formula>"EUR"</formula>
    </cfRule>
    <cfRule type="cellIs" dxfId="2317" priority="2968" operator="equal">
      <formula>"USD"</formula>
    </cfRule>
    <cfRule type="cellIs" dxfId="2316" priority="2969" operator="equal">
      <formula>"EGP"</formula>
    </cfRule>
  </conditionalFormatting>
  <conditionalFormatting sqref="H847:H848">
    <cfRule type="cellIs" dxfId="2315" priority="3122" operator="equal">
      <formula>"GBP"</formula>
    </cfRule>
    <cfRule type="cellIs" dxfId="2314" priority="3123" operator="equal">
      <formula>"EUR"</formula>
    </cfRule>
    <cfRule type="cellIs" dxfId="2313" priority="3124" operator="equal">
      <formula>"USD"</formula>
    </cfRule>
    <cfRule type="cellIs" dxfId="2312" priority="3125" operator="equal">
      <formula>"EGP"</formula>
    </cfRule>
  </conditionalFormatting>
  <conditionalFormatting sqref="H850 H852 H865:H866 H907 H888:H892">
    <cfRule type="cellIs" dxfId="2311" priority="3432" operator="equal">
      <formula>"GBP"</formula>
    </cfRule>
    <cfRule type="cellIs" dxfId="2310" priority="3433" operator="equal">
      <formula>"EUR"</formula>
    </cfRule>
    <cfRule type="cellIs" dxfId="2309" priority="3434" operator="equal">
      <formula>"USD"</formula>
    </cfRule>
    <cfRule type="cellIs" dxfId="2308" priority="3435" operator="equal">
      <formula>"EGP"</formula>
    </cfRule>
  </conditionalFormatting>
  <conditionalFormatting sqref="I15:I74 I207:I210 I854:I856 I809:I850 I900:I904 I907">
    <cfRule type="containsBlanks" dxfId="2307" priority="16703">
      <formula>LEN(TRIM(I15))=0</formula>
    </cfRule>
  </conditionalFormatting>
  <conditionalFormatting sqref="I73">
    <cfRule type="cellIs" dxfId="2306" priority="16699" operator="equal">
      <formula>"GBP"</formula>
    </cfRule>
    <cfRule type="cellIs" dxfId="2305" priority="16700" operator="equal">
      <formula>"EUR"</formula>
    </cfRule>
    <cfRule type="cellIs" dxfId="2304" priority="16701" operator="equal">
      <formula>"USD"</formula>
    </cfRule>
    <cfRule type="cellIs" dxfId="2303" priority="16702" operator="equal">
      <formula>"EGP"</formula>
    </cfRule>
  </conditionalFormatting>
  <conditionalFormatting sqref="I75:I85">
    <cfRule type="containsBlanks" dxfId="2302" priority="16458">
      <formula>LEN(TRIM(I75))=0</formula>
    </cfRule>
  </conditionalFormatting>
  <conditionalFormatting sqref="I85">
    <cfRule type="cellIs" dxfId="2301" priority="16454" operator="equal">
      <formula>"GBP"</formula>
    </cfRule>
    <cfRule type="cellIs" dxfId="2300" priority="16455" operator="equal">
      <formula>"EUR"</formula>
    </cfRule>
    <cfRule type="cellIs" dxfId="2299" priority="16456" operator="equal">
      <formula>"USD"</formula>
    </cfRule>
    <cfRule type="cellIs" dxfId="2298" priority="16457" operator="equal">
      <formula>"EGP"</formula>
    </cfRule>
  </conditionalFormatting>
  <conditionalFormatting sqref="I86:I197">
    <cfRule type="containsBlanks" dxfId="2297" priority="14038">
      <formula>LEN(TRIM(I86))=0</formula>
    </cfRule>
  </conditionalFormatting>
  <conditionalFormatting sqref="I199:I206">
    <cfRule type="containsBlanks" dxfId="2296" priority="13874">
      <formula>LEN(TRIM(I199))=0</formula>
    </cfRule>
  </conditionalFormatting>
  <conditionalFormatting sqref="I208">
    <cfRule type="cellIs" dxfId="2295" priority="13889" operator="equal">
      <formula>"GBP"</formula>
    </cfRule>
    <cfRule type="cellIs" dxfId="2294" priority="13890" operator="equal">
      <formula>"EUR"</formula>
    </cfRule>
    <cfRule type="cellIs" dxfId="2293" priority="13891" operator="equal">
      <formula>"USD"</formula>
    </cfRule>
    <cfRule type="cellIs" dxfId="2292" priority="13892" operator="equal">
      <formula>"EGP"</formula>
    </cfRule>
  </conditionalFormatting>
  <conditionalFormatting sqref="I211:I212">
    <cfRule type="containsBlanks" dxfId="2291" priority="13832">
      <formula>LEN(TRIM(I211))=0</formula>
    </cfRule>
  </conditionalFormatting>
  <conditionalFormatting sqref="I212">
    <cfRule type="cellIs" dxfId="2290" priority="13828" operator="equal">
      <formula>"GBP"</formula>
    </cfRule>
    <cfRule type="cellIs" dxfId="2289" priority="13829" operator="equal">
      <formula>"EUR"</formula>
    </cfRule>
    <cfRule type="cellIs" dxfId="2288" priority="13830" operator="equal">
      <formula>"USD"</formula>
    </cfRule>
    <cfRule type="cellIs" dxfId="2287" priority="13831" operator="equal">
      <formula>"EGP"</formula>
    </cfRule>
  </conditionalFormatting>
  <conditionalFormatting sqref="I213:I250">
    <cfRule type="containsBlanks" dxfId="2286" priority="9406">
      <formula>LEN(TRIM(I213))=0</formula>
    </cfRule>
  </conditionalFormatting>
  <conditionalFormatting sqref="I252:I265">
    <cfRule type="containsBlanks" dxfId="2285" priority="12718">
      <formula>LEN(TRIM(I252))=0</formula>
    </cfRule>
  </conditionalFormatting>
  <conditionalFormatting sqref="I266:I293">
    <cfRule type="containsBlanks" dxfId="2284" priority="12867">
      <formula>LEN(TRIM(I266))=0</formula>
    </cfRule>
  </conditionalFormatting>
  <conditionalFormatting sqref="I278">
    <cfRule type="cellIs" dxfId="2283" priority="12863" operator="equal">
      <formula>"GBP"</formula>
    </cfRule>
    <cfRule type="cellIs" dxfId="2282" priority="12864" operator="equal">
      <formula>"EUR"</formula>
    </cfRule>
    <cfRule type="cellIs" dxfId="2281" priority="12865" operator="equal">
      <formula>"USD"</formula>
    </cfRule>
    <cfRule type="cellIs" dxfId="2280" priority="12866" operator="equal">
      <formula>"EGP"</formula>
    </cfRule>
  </conditionalFormatting>
  <conditionalFormatting sqref="I294:I393">
    <cfRule type="containsBlanks" dxfId="2279" priority="9364">
      <formula>LEN(TRIM(I294))=0</formula>
    </cfRule>
  </conditionalFormatting>
  <conditionalFormatting sqref="I395:I523">
    <cfRule type="containsBlanks" dxfId="2278" priority="8741">
      <formula>LEN(TRIM(I395))=0</formula>
    </cfRule>
  </conditionalFormatting>
  <conditionalFormatting sqref="I525:I536">
    <cfRule type="containsBlanks" dxfId="2277" priority="8569">
      <formula>LEN(TRIM(I525))=0</formula>
    </cfRule>
  </conditionalFormatting>
  <conditionalFormatting sqref="I538:I614">
    <cfRule type="containsBlanks" dxfId="2276" priority="7396">
      <formula>LEN(TRIM(I538))=0</formula>
    </cfRule>
  </conditionalFormatting>
  <conditionalFormatting sqref="I616:I629">
    <cfRule type="containsBlanks" dxfId="2275" priority="7169">
      <formula>LEN(TRIM(I616))=0</formula>
    </cfRule>
  </conditionalFormatting>
  <conditionalFormatting sqref="I631:I690">
    <cfRule type="containsBlanks" dxfId="2274" priority="6050">
      <formula>LEN(TRIM(I631))=0</formula>
    </cfRule>
  </conditionalFormatting>
  <conditionalFormatting sqref="I692:I788">
    <cfRule type="containsBlanks" dxfId="2273" priority="4171">
      <formula>LEN(TRIM(I692))=0</formula>
    </cfRule>
  </conditionalFormatting>
  <conditionalFormatting sqref="I747">
    <cfRule type="cellIs" dxfId="2272" priority="4932" operator="equal">
      <formula>"GBP"</formula>
    </cfRule>
    <cfRule type="cellIs" dxfId="2271" priority="4933" operator="equal">
      <formula>"EUR"</formula>
    </cfRule>
    <cfRule type="cellIs" dxfId="2270" priority="4934" operator="equal">
      <formula>"USD"</formula>
    </cfRule>
    <cfRule type="cellIs" dxfId="2269" priority="4935" operator="equal">
      <formula>"EGP"</formula>
    </cfRule>
  </conditionalFormatting>
  <conditionalFormatting sqref="I790:I807">
    <cfRule type="containsBlanks" dxfId="2268" priority="3889">
      <formula>LEN(TRIM(I790))=0</formula>
    </cfRule>
  </conditionalFormatting>
  <conditionalFormatting sqref="I852 I865:I866 I888:I892 I907">
    <cfRule type="containsBlanks" dxfId="2267" priority="2910">
      <formula>LEN(TRIM(I852))=0</formula>
    </cfRule>
  </conditionalFormatting>
  <conditionalFormatting sqref="J852 J854:J856 J15:J850 J865:J866 J888:J892 J900:J904 J907">
    <cfRule type="cellIs" dxfId="2266" priority="2904" operator="equal">
      <formula>5</formula>
    </cfRule>
    <cfRule type="cellIs" dxfId="2265" priority="2905" operator="equal">
      <formula>0</formula>
    </cfRule>
    <cfRule type="cellIs" dxfId="2264" priority="2906" operator="equal">
      <formula>3</formula>
    </cfRule>
    <cfRule type="cellIs" dxfId="2263" priority="2907" operator="equal">
      <formula>2</formula>
    </cfRule>
    <cfRule type="cellIs" dxfId="2262" priority="2908" operator="equal">
      <formula>1</formula>
    </cfRule>
    <cfRule type="cellIs" dxfId="2261" priority="2909" operator="equal">
      <formula>4</formula>
    </cfRule>
  </conditionalFormatting>
  <conditionalFormatting sqref="K8:K11">
    <cfRule type="cellIs" dxfId="2260" priority="122712" operator="equal">
      <formula>$K$11</formula>
    </cfRule>
    <cfRule type="cellIs" dxfId="2259" priority="122713" operator="equal">
      <formula>$K$10</formula>
    </cfRule>
    <cfRule type="cellIs" dxfId="2258" priority="122714" operator="equal">
      <formula>$K$9</formula>
    </cfRule>
    <cfRule type="cellIs" dxfId="2257" priority="122715" operator="equal">
      <formula>$K$8</formula>
    </cfRule>
    <cfRule type="cellIs" dxfId="2256" priority="122716" operator="equal">
      <formula>"P"</formula>
    </cfRule>
    <cfRule type="cellIs" dxfId="2255" priority="122717" operator="equal">
      <formula>"D"</formula>
    </cfRule>
    <cfRule type="cellIs" dxfId="2254" priority="122718" operator="equal">
      <formula>"M"</formula>
    </cfRule>
    <cfRule type="cellIs" dxfId="2253" priority="122719" operator="equal">
      <formula>"N"</formula>
    </cfRule>
    <cfRule type="containsBlanks" dxfId="2252" priority="122720">
      <formula>LEN(TRIM(K8))=0</formula>
    </cfRule>
  </conditionalFormatting>
  <conditionalFormatting sqref="L15">
    <cfRule type="colorScale" priority="17724">
      <colorScale>
        <cfvo type="min"/>
        <cfvo type="percentile" val="50"/>
        <cfvo type="max"/>
        <color rgb="FFF8696B"/>
        <color rgb="FFFFEB84"/>
        <color rgb="FF63BE7B"/>
      </colorScale>
    </cfRule>
  </conditionalFormatting>
  <conditionalFormatting sqref="L16:L17">
    <cfRule type="colorScale" priority="191460">
      <colorScale>
        <cfvo type="min"/>
        <cfvo type="percentile" val="50"/>
        <cfvo type="max"/>
        <color rgb="FFF8696B"/>
        <color rgb="FFFFEB84"/>
        <color rgb="FF63BE7B"/>
      </colorScale>
    </cfRule>
  </conditionalFormatting>
  <conditionalFormatting sqref="L18">
    <cfRule type="colorScale" priority="17705">
      <colorScale>
        <cfvo type="min"/>
        <cfvo type="percentile" val="50"/>
        <cfvo type="max"/>
        <color rgb="FFF8696B"/>
        <color rgb="FFFFEB84"/>
        <color rgb="FF63BE7B"/>
      </colorScale>
    </cfRule>
  </conditionalFormatting>
  <conditionalFormatting sqref="L19:L20">
    <cfRule type="colorScale" priority="17683">
      <colorScale>
        <cfvo type="min"/>
        <cfvo type="percentile" val="50"/>
        <cfvo type="max"/>
        <color rgb="FFF8696B"/>
        <color rgb="FFFFEB84"/>
        <color rgb="FF63BE7B"/>
      </colorScale>
    </cfRule>
  </conditionalFormatting>
  <conditionalFormatting sqref="L21">
    <cfRule type="colorScale" priority="191515">
      <colorScale>
        <cfvo type="min"/>
        <cfvo type="percentile" val="50"/>
        <cfvo type="max"/>
        <color rgb="FFF8696B"/>
        <color rgb="FFFFEB84"/>
        <color rgb="FF63BE7B"/>
      </colorScale>
    </cfRule>
  </conditionalFormatting>
  <conditionalFormatting sqref="L23:L24">
    <cfRule type="colorScale" priority="17550">
      <colorScale>
        <cfvo type="min"/>
        <cfvo type="percentile" val="50"/>
        <cfvo type="max"/>
        <color rgb="FFF8696B"/>
        <color rgb="FFFFEB84"/>
        <color rgb="FF63BE7B"/>
      </colorScale>
    </cfRule>
  </conditionalFormatting>
  <conditionalFormatting sqref="L27">
    <cfRule type="colorScale" priority="17507">
      <colorScale>
        <cfvo type="min"/>
        <cfvo type="percentile" val="50"/>
        <cfvo type="max"/>
        <color rgb="FFF8696B"/>
        <color rgb="FFFFEB84"/>
        <color rgb="FF63BE7B"/>
      </colorScale>
    </cfRule>
  </conditionalFormatting>
  <conditionalFormatting sqref="L28:L29">
    <cfRule type="colorScale" priority="17485">
      <colorScale>
        <cfvo type="min"/>
        <cfvo type="percentile" val="50"/>
        <cfvo type="max"/>
        <color rgb="FFF8696B"/>
        <color rgb="FFFFEB84"/>
        <color rgb="FF63BE7B"/>
      </colorScale>
    </cfRule>
  </conditionalFormatting>
  <conditionalFormatting sqref="L30">
    <cfRule type="colorScale" priority="17463">
      <colorScale>
        <cfvo type="min"/>
        <cfvo type="percentile" val="50"/>
        <cfvo type="max"/>
        <color rgb="FFF8696B"/>
        <color rgb="FFFFEB84"/>
        <color rgb="FF63BE7B"/>
      </colorScale>
    </cfRule>
  </conditionalFormatting>
  <conditionalFormatting sqref="L31:L32">
    <cfRule type="colorScale" priority="17435">
      <colorScale>
        <cfvo type="min"/>
        <cfvo type="percentile" val="50"/>
        <cfvo type="max"/>
        <color rgb="FFF8696B"/>
        <color rgb="FFFFEB84"/>
        <color rgb="FF63BE7B"/>
      </colorScale>
    </cfRule>
  </conditionalFormatting>
  <conditionalFormatting sqref="L33">
    <cfRule type="colorScale" priority="17436">
      <colorScale>
        <cfvo type="min"/>
        <cfvo type="percentile" val="50"/>
        <cfvo type="max"/>
        <color rgb="FFF8696B"/>
        <color rgb="FFFFEB84"/>
        <color rgb="FF63BE7B"/>
      </colorScale>
    </cfRule>
  </conditionalFormatting>
  <conditionalFormatting sqref="L35">
    <cfRule type="colorScale" priority="17413">
      <colorScale>
        <cfvo type="min"/>
        <cfvo type="percentile" val="50"/>
        <cfvo type="max"/>
        <color rgb="FFF8696B"/>
        <color rgb="FFFFEB84"/>
        <color rgb="FF63BE7B"/>
      </colorScale>
    </cfRule>
  </conditionalFormatting>
  <conditionalFormatting sqref="L36">
    <cfRule type="colorScale" priority="17288">
      <colorScale>
        <cfvo type="min"/>
        <cfvo type="percentile" val="50"/>
        <cfvo type="max"/>
        <color rgb="FFF8696B"/>
        <color rgb="FFFFEB84"/>
        <color rgb="FF63BE7B"/>
      </colorScale>
    </cfRule>
  </conditionalFormatting>
  <conditionalFormatting sqref="L37:L40">
    <cfRule type="colorScale" priority="17289">
      <colorScale>
        <cfvo type="min"/>
        <cfvo type="percentile" val="50"/>
        <cfvo type="max"/>
        <color rgb="FFF8696B"/>
        <color rgb="FFFFEB84"/>
        <color rgb="FF63BE7B"/>
      </colorScale>
    </cfRule>
  </conditionalFormatting>
  <conditionalFormatting sqref="L41:L42">
    <cfRule type="colorScale" priority="17391">
      <colorScale>
        <cfvo type="min"/>
        <cfvo type="percentile" val="50"/>
        <cfvo type="max"/>
        <color rgb="FFF8696B"/>
        <color rgb="FFFFEB84"/>
        <color rgb="FF63BE7B"/>
      </colorScale>
    </cfRule>
  </conditionalFormatting>
  <conditionalFormatting sqref="L50:L51">
    <cfRule type="colorScale" priority="17082">
      <colorScale>
        <cfvo type="min"/>
        <cfvo type="percentile" val="50"/>
        <cfvo type="max"/>
        <color rgb="FFF8696B"/>
        <color rgb="FFFFEB84"/>
        <color rgb="FF63BE7B"/>
      </colorScale>
    </cfRule>
  </conditionalFormatting>
  <conditionalFormatting sqref="L57">
    <cfRule type="colorScale" priority="191514">
      <colorScale>
        <cfvo type="min"/>
        <cfvo type="percentile" val="50"/>
        <cfvo type="max"/>
        <color rgb="FFF8696B"/>
        <color rgb="FFFFEB84"/>
        <color rgb="FF63BE7B"/>
      </colorScale>
    </cfRule>
  </conditionalFormatting>
  <conditionalFormatting sqref="L58">
    <cfRule type="colorScale" priority="17020">
      <colorScale>
        <cfvo type="min"/>
        <cfvo type="percentile" val="50"/>
        <cfvo type="max"/>
        <color rgb="FFF8696B"/>
        <color rgb="FFFFEB84"/>
        <color rgb="FF63BE7B"/>
      </colorScale>
    </cfRule>
  </conditionalFormatting>
  <conditionalFormatting sqref="L59">
    <cfRule type="colorScale" priority="16978">
      <colorScale>
        <cfvo type="min"/>
        <cfvo type="percentile" val="50"/>
        <cfvo type="max"/>
        <color rgb="FFF8696B"/>
        <color rgb="FFFFEB84"/>
        <color rgb="FF63BE7B"/>
      </colorScale>
    </cfRule>
  </conditionalFormatting>
  <conditionalFormatting sqref="L60">
    <cfRule type="colorScale" priority="16959">
      <colorScale>
        <cfvo type="min"/>
        <cfvo type="percentile" val="50"/>
        <cfvo type="max"/>
        <color rgb="FFF8696B"/>
        <color rgb="FFFFEB84"/>
        <color rgb="FF63BE7B"/>
      </colorScale>
    </cfRule>
  </conditionalFormatting>
  <conditionalFormatting sqref="L62">
    <cfRule type="colorScale" priority="16921">
      <colorScale>
        <cfvo type="min"/>
        <cfvo type="percentile" val="50"/>
        <cfvo type="max"/>
        <color rgb="FFF8696B"/>
        <color rgb="FFFFEB84"/>
        <color rgb="FF63BE7B"/>
      </colorScale>
    </cfRule>
  </conditionalFormatting>
  <conditionalFormatting sqref="L92">
    <cfRule type="colorScale" priority="16329">
      <colorScale>
        <cfvo type="min"/>
        <cfvo type="percentile" val="50"/>
        <cfvo type="max"/>
        <color rgb="FFF8696B"/>
        <color rgb="FFFFEB84"/>
        <color rgb="FF63BE7B"/>
      </colorScale>
    </cfRule>
  </conditionalFormatting>
  <conditionalFormatting sqref="L93:L94">
    <cfRule type="colorScale" priority="16310">
      <colorScale>
        <cfvo type="min"/>
        <cfvo type="percentile" val="50"/>
        <cfvo type="max"/>
        <color rgb="FFF8696B"/>
        <color rgb="FFFFEB84"/>
        <color rgb="FF63BE7B"/>
      </colorScale>
    </cfRule>
  </conditionalFormatting>
  <conditionalFormatting sqref="L95">
    <cfRule type="colorScale" priority="16186">
      <colorScale>
        <cfvo type="min"/>
        <cfvo type="percentile" val="50"/>
        <cfvo type="max"/>
        <color rgb="FFF8696B"/>
        <color rgb="FFFFEB84"/>
        <color rgb="FF63BE7B"/>
      </colorScale>
    </cfRule>
  </conditionalFormatting>
  <conditionalFormatting sqref="L97:L98">
    <cfRule type="colorScale" priority="16187">
      <colorScale>
        <cfvo type="min"/>
        <cfvo type="percentile" val="50"/>
        <cfvo type="max"/>
        <color rgb="FFF8696B"/>
        <color rgb="FFFFEB84"/>
        <color rgb="FF63BE7B"/>
      </colorScale>
    </cfRule>
  </conditionalFormatting>
  <conditionalFormatting sqref="L96 L99">
    <cfRule type="colorScale" priority="16250">
      <colorScale>
        <cfvo type="min"/>
        <cfvo type="percentile" val="50"/>
        <cfvo type="max"/>
        <color rgb="FFF8696B"/>
        <color rgb="FFFFEB84"/>
        <color rgb="FF63BE7B"/>
      </colorScale>
    </cfRule>
  </conditionalFormatting>
  <conditionalFormatting sqref="L100:L101">
    <cfRule type="colorScale" priority="16163">
      <colorScale>
        <cfvo type="min"/>
        <cfvo type="percentile" val="50"/>
        <cfvo type="max"/>
        <color rgb="FFF8696B"/>
        <color rgb="FFFFEB84"/>
        <color rgb="FF63BE7B"/>
      </colorScale>
    </cfRule>
  </conditionalFormatting>
  <conditionalFormatting sqref="L102">
    <cfRule type="colorScale" priority="16141">
      <colorScale>
        <cfvo type="min"/>
        <cfvo type="percentile" val="50"/>
        <cfvo type="max"/>
        <color rgb="FFF8696B"/>
        <color rgb="FFFFEB84"/>
        <color rgb="FF63BE7B"/>
      </colorScale>
    </cfRule>
  </conditionalFormatting>
  <conditionalFormatting sqref="L103">
    <cfRule type="colorScale" priority="16098">
      <colorScale>
        <cfvo type="min"/>
        <cfvo type="percentile" val="50"/>
        <cfvo type="max"/>
        <color rgb="FFF8696B"/>
        <color rgb="FFFFEB84"/>
        <color rgb="FF63BE7B"/>
      </colorScale>
    </cfRule>
  </conditionalFormatting>
  <conditionalFormatting sqref="L115">
    <cfRule type="colorScale" priority="15776">
      <colorScale>
        <cfvo type="min"/>
        <cfvo type="percentile" val="50"/>
        <cfvo type="max"/>
        <color rgb="FFF8696B"/>
        <color rgb="FFFFEB84"/>
        <color rgb="FF63BE7B"/>
      </colorScale>
    </cfRule>
  </conditionalFormatting>
  <conditionalFormatting sqref="L116">
    <cfRule type="colorScale" priority="15743">
      <colorScale>
        <cfvo type="min"/>
        <cfvo type="percentile" val="50"/>
        <cfvo type="max"/>
        <color rgb="FFF8696B"/>
        <color rgb="FFFFEB84"/>
        <color rgb="FF63BE7B"/>
      </colorScale>
    </cfRule>
  </conditionalFormatting>
  <conditionalFormatting sqref="L117:L122 L128">
    <cfRule type="colorScale" priority="191635">
      <colorScale>
        <cfvo type="min"/>
        <cfvo type="percentile" val="50"/>
        <cfvo type="max"/>
        <color rgb="FFF8696B"/>
        <color rgb="FFFFEB84"/>
        <color rgb="FF63BE7B"/>
      </colorScale>
    </cfRule>
  </conditionalFormatting>
  <conditionalFormatting sqref="L137">
    <cfRule type="colorScale" priority="15354">
      <colorScale>
        <cfvo type="min"/>
        <cfvo type="percentile" val="50"/>
        <cfvo type="max"/>
        <color rgb="FFF8696B"/>
        <color rgb="FFFFEB84"/>
        <color rgb="FF63BE7B"/>
      </colorScale>
    </cfRule>
  </conditionalFormatting>
  <conditionalFormatting sqref="L140">
    <cfRule type="colorScale" priority="15311">
      <colorScale>
        <cfvo type="min"/>
        <cfvo type="percentile" val="50"/>
        <cfvo type="max"/>
        <color rgb="FFF8696B"/>
        <color rgb="FFFFEB84"/>
        <color rgb="FF63BE7B"/>
      </colorScale>
    </cfRule>
  </conditionalFormatting>
  <conditionalFormatting sqref="L141">
    <cfRule type="colorScale" priority="15254">
      <colorScale>
        <cfvo type="min"/>
        <cfvo type="percentile" val="50"/>
        <cfvo type="max"/>
        <color rgb="FFF8696B"/>
        <color rgb="FFFFEB84"/>
        <color rgb="FF63BE7B"/>
      </colorScale>
    </cfRule>
  </conditionalFormatting>
  <conditionalFormatting sqref="L142">
    <cfRule type="colorScale" priority="15272">
      <colorScale>
        <cfvo type="min"/>
        <cfvo type="percentile" val="50"/>
        <cfvo type="max"/>
        <color rgb="FFF8696B"/>
        <color rgb="FFFFEB84"/>
        <color rgb="FF63BE7B"/>
      </colorScale>
    </cfRule>
  </conditionalFormatting>
  <conditionalFormatting sqref="L146">
    <cfRule type="colorScale" priority="15129">
      <colorScale>
        <cfvo type="min"/>
        <cfvo type="percentile" val="50"/>
        <cfvo type="max"/>
        <color rgb="FFF8696B"/>
        <color rgb="FFFFEB84"/>
        <color rgb="FF63BE7B"/>
      </colorScale>
    </cfRule>
  </conditionalFormatting>
  <conditionalFormatting sqref="L147">
    <cfRule type="colorScale" priority="15172">
      <colorScale>
        <cfvo type="min"/>
        <cfvo type="percentile" val="50"/>
        <cfvo type="max"/>
        <color rgb="FFF8696B"/>
        <color rgb="FFFFEB84"/>
        <color rgb="FF63BE7B"/>
      </colorScale>
    </cfRule>
  </conditionalFormatting>
  <conditionalFormatting sqref="L148:L149">
    <cfRule type="colorScale" priority="15107">
      <colorScale>
        <cfvo type="min"/>
        <cfvo type="percentile" val="50"/>
        <cfvo type="max"/>
        <color rgb="FFF8696B"/>
        <color rgb="FFFFEB84"/>
        <color rgb="FF63BE7B"/>
      </colorScale>
    </cfRule>
  </conditionalFormatting>
  <conditionalFormatting sqref="L150">
    <cfRule type="colorScale" priority="15085">
      <colorScale>
        <cfvo type="min"/>
        <cfvo type="percentile" val="50"/>
        <cfvo type="max"/>
        <color rgb="FFF8696B"/>
        <color rgb="FFFFEB84"/>
        <color rgb="FF63BE7B"/>
      </colorScale>
    </cfRule>
  </conditionalFormatting>
  <conditionalFormatting sqref="L151">
    <cfRule type="colorScale" priority="15042">
      <colorScale>
        <cfvo type="min"/>
        <cfvo type="percentile" val="50"/>
        <cfvo type="max"/>
        <color rgb="FFF8696B"/>
        <color rgb="FFFFEB84"/>
        <color rgb="FF63BE7B"/>
      </colorScale>
    </cfRule>
  </conditionalFormatting>
  <conditionalFormatting sqref="L152:L153">
    <cfRule type="colorScale" priority="15173">
      <colorScale>
        <cfvo type="min"/>
        <cfvo type="percentile" val="50"/>
        <cfvo type="max"/>
        <color rgb="FFF8696B"/>
        <color rgb="FFFFEB84"/>
        <color rgb="FF63BE7B"/>
      </colorScale>
    </cfRule>
  </conditionalFormatting>
  <conditionalFormatting sqref="L155:L156">
    <cfRule type="colorScale" priority="14788">
      <colorScale>
        <cfvo type="min"/>
        <cfvo type="percentile" val="50"/>
        <cfvo type="max"/>
        <color rgb="FFF8696B"/>
        <color rgb="FFFFEB84"/>
        <color rgb="FF63BE7B"/>
      </colorScale>
    </cfRule>
  </conditionalFormatting>
  <conditionalFormatting sqref="L157:L159">
    <cfRule type="colorScale" priority="14743">
      <colorScale>
        <cfvo type="min"/>
        <cfvo type="percentile" val="50"/>
        <cfvo type="max"/>
        <color rgb="FFF8696B"/>
        <color rgb="FFFFEB84"/>
        <color rgb="FF63BE7B"/>
      </colorScale>
    </cfRule>
  </conditionalFormatting>
  <conditionalFormatting sqref="L162">
    <cfRule type="colorScale" priority="14601">
      <colorScale>
        <cfvo type="min"/>
        <cfvo type="percentile" val="50"/>
        <cfvo type="max"/>
        <color rgb="FFF8696B"/>
        <color rgb="FFFFEB84"/>
        <color rgb="FF63BE7B"/>
      </colorScale>
    </cfRule>
  </conditionalFormatting>
  <conditionalFormatting sqref="L167">
    <cfRule type="colorScale" priority="14401">
      <colorScale>
        <cfvo type="min"/>
        <cfvo type="percentile" val="50"/>
        <cfvo type="max"/>
        <color rgb="FFF8696B"/>
        <color rgb="FFFFEB84"/>
        <color rgb="FF63BE7B"/>
      </colorScale>
    </cfRule>
  </conditionalFormatting>
  <conditionalFormatting sqref="L168:L172">
    <cfRule type="colorScale" priority="14518">
      <colorScale>
        <cfvo type="min"/>
        <cfvo type="percentile" val="50"/>
        <cfvo type="max"/>
        <color rgb="FFF8696B"/>
        <color rgb="FFFFEB84"/>
        <color rgb="FF63BE7B"/>
      </colorScale>
    </cfRule>
  </conditionalFormatting>
  <conditionalFormatting sqref="L174:L180">
    <cfRule type="colorScale" priority="14377">
      <colorScale>
        <cfvo type="min"/>
        <cfvo type="percentile" val="50"/>
        <cfvo type="max"/>
        <color rgb="FFF8696B"/>
        <color rgb="FFFFEB84"/>
        <color rgb="FF63BE7B"/>
      </colorScale>
    </cfRule>
  </conditionalFormatting>
  <conditionalFormatting sqref="L181">
    <cfRule type="colorScale" priority="14254">
      <colorScale>
        <cfvo type="min"/>
        <cfvo type="percentile" val="50"/>
        <cfvo type="max"/>
        <color rgb="FFF8696B"/>
        <color rgb="FFFFEB84"/>
        <color rgb="FF63BE7B"/>
      </colorScale>
    </cfRule>
  </conditionalFormatting>
  <conditionalFormatting sqref="L213">
    <cfRule type="colorScale" priority="13827">
      <colorScale>
        <cfvo type="min"/>
        <cfvo type="percentile" val="50"/>
        <cfvo type="max"/>
        <color rgb="FFF8696B"/>
        <color rgb="FFFFEB84"/>
        <color rgb="FF63BE7B"/>
      </colorScale>
    </cfRule>
  </conditionalFormatting>
  <conditionalFormatting sqref="L214">
    <cfRule type="colorScale" priority="13805">
      <colorScale>
        <cfvo type="min"/>
        <cfvo type="percentile" val="50"/>
        <cfvo type="max"/>
        <color rgb="FFF8696B"/>
        <color rgb="FFFFEB84"/>
        <color rgb="FF63BE7B"/>
      </colorScale>
    </cfRule>
  </conditionalFormatting>
  <conditionalFormatting sqref="L217:L219">
    <cfRule type="colorScale" priority="13756">
      <colorScale>
        <cfvo type="min"/>
        <cfvo type="percentile" val="50"/>
        <cfvo type="max"/>
        <color rgb="FFF8696B"/>
        <color rgb="FFFFEB84"/>
        <color rgb="FF63BE7B"/>
      </colorScale>
    </cfRule>
  </conditionalFormatting>
  <conditionalFormatting sqref="L227:L229">
    <cfRule type="colorScale" priority="13646">
      <colorScale>
        <cfvo type="min"/>
        <cfvo type="percentile" val="50"/>
        <cfvo type="max"/>
        <color rgb="FFF8696B"/>
        <color rgb="FFFFEB84"/>
        <color rgb="FF63BE7B"/>
      </colorScale>
    </cfRule>
  </conditionalFormatting>
  <conditionalFormatting sqref="L236:L239">
    <cfRule type="colorScale" priority="13503">
      <colorScale>
        <cfvo type="min"/>
        <cfvo type="percentile" val="50"/>
        <cfvo type="max"/>
        <color rgb="FFF8696B"/>
        <color rgb="FFFFEB84"/>
        <color rgb="FF63BE7B"/>
      </colorScale>
    </cfRule>
  </conditionalFormatting>
  <conditionalFormatting sqref="L240">
    <cfRule type="colorScale" priority="13424">
      <colorScale>
        <cfvo type="min"/>
        <cfvo type="percentile" val="50"/>
        <cfvo type="max"/>
        <color rgb="FFF8696B"/>
        <color rgb="FFFFEB84"/>
        <color rgb="FF63BE7B"/>
      </colorScale>
    </cfRule>
  </conditionalFormatting>
  <conditionalFormatting sqref="L241">
    <cfRule type="colorScale" priority="13423">
      <colorScale>
        <cfvo type="min"/>
        <cfvo type="percentile" val="50"/>
        <cfvo type="max"/>
        <color rgb="FFF8696B"/>
        <color rgb="FFFFEB84"/>
        <color rgb="FF63BE7B"/>
      </colorScale>
    </cfRule>
  </conditionalFormatting>
  <conditionalFormatting sqref="L242">
    <cfRule type="colorScale" priority="13422">
      <colorScale>
        <cfvo type="min"/>
        <cfvo type="percentile" val="50"/>
        <cfvo type="max"/>
        <color rgb="FFF8696B"/>
        <color rgb="FFFFEB84"/>
        <color rgb="FF63BE7B"/>
      </colorScale>
    </cfRule>
  </conditionalFormatting>
  <conditionalFormatting sqref="L243">
    <cfRule type="colorScale" priority="13400">
      <colorScale>
        <cfvo type="min"/>
        <cfvo type="percentile" val="50"/>
        <cfvo type="max"/>
        <color rgb="FFF8696B"/>
        <color rgb="FFFFEB84"/>
        <color rgb="FF63BE7B"/>
      </colorScale>
    </cfRule>
  </conditionalFormatting>
  <conditionalFormatting sqref="L246">
    <cfRule type="colorScale" priority="13279">
      <colorScale>
        <cfvo type="min"/>
        <cfvo type="percentile" val="50"/>
        <cfvo type="max"/>
        <color rgb="FFF8696B"/>
        <color rgb="FFFFEB84"/>
        <color rgb="FF63BE7B"/>
      </colorScale>
    </cfRule>
  </conditionalFormatting>
  <conditionalFormatting sqref="L247">
    <cfRule type="colorScale" priority="13314">
      <colorScale>
        <cfvo type="min"/>
        <cfvo type="percentile" val="50"/>
        <cfvo type="max"/>
        <color rgb="FFF8696B"/>
        <color rgb="FFFFEB84"/>
        <color rgb="FF63BE7B"/>
      </colorScale>
    </cfRule>
  </conditionalFormatting>
  <conditionalFormatting sqref="L248">
    <cfRule type="colorScale" priority="13250">
      <colorScale>
        <cfvo type="min"/>
        <cfvo type="percentile" val="50"/>
        <cfvo type="max"/>
        <color rgb="FFF8696B"/>
        <color rgb="FFFFEB84"/>
        <color rgb="FF63BE7B"/>
      </colorScale>
    </cfRule>
  </conditionalFormatting>
  <conditionalFormatting sqref="L249">
    <cfRule type="colorScale" priority="13251">
      <colorScale>
        <cfvo type="min"/>
        <cfvo type="percentile" val="50"/>
        <cfvo type="max"/>
        <color rgb="FFF8696B"/>
        <color rgb="FFFFEB84"/>
        <color rgb="FF63BE7B"/>
      </colorScale>
    </cfRule>
  </conditionalFormatting>
  <conditionalFormatting sqref="L250">
    <cfRule type="colorScale" priority="191860">
      <colorScale>
        <cfvo type="min"/>
        <cfvo type="percentile" val="50"/>
        <cfvo type="max"/>
        <color rgb="FFF8696B"/>
        <color rgb="FFFFEB84"/>
        <color rgb="FF63BE7B"/>
      </colorScale>
    </cfRule>
  </conditionalFormatting>
  <conditionalFormatting sqref="L251:L257">
    <cfRule type="colorScale" priority="191876">
      <colorScale>
        <cfvo type="min"/>
        <cfvo type="percentile" val="50"/>
        <cfvo type="max"/>
        <color rgb="FFF8696B"/>
        <color rgb="FFFFEB84"/>
        <color rgb="FF63BE7B"/>
      </colorScale>
    </cfRule>
  </conditionalFormatting>
  <conditionalFormatting sqref="L258">
    <cfRule type="colorScale" priority="13132">
      <colorScale>
        <cfvo type="min"/>
        <cfvo type="percentile" val="50"/>
        <cfvo type="max"/>
        <color rgb="FFF8696B"/>
        <color rgb="FFFFEB84"/>
        <color rgb="FF63BE7B"/>
      </colorScale>
    </cfRule>
  </conditionalFormatting>
  <conditionalFormatting sqref="L263">
    <cfRule type="colorScale" priority="13069">
      <colorScale>
        <cfvo type="min"/>
        <cfvo type="percentile" val="50"/>
        <cfvo type="max"/>
        <color rgb="FFF8696B"/>
        <color rgb="FFFFEB84"/>
        <color rgb="FF63BE7B"/>
      </colorScale>
    </cfRule>
  </conditionalFormatting>
  <conditionalFormatting sqref="L264">
    <cfRule type="colorScale" priority="12753">
      <colorScale>
        <cfvo type="min"/>
        <cfvo type="percentile" val="50"/>
        <cfvo type="max"/>
        <color rgb="FFF8696B"/>
        <color rgb="FFFFEB84"/>
        <color rgb="FF63BE7B"/>
      </colorScale>
    </cfRule>
  </conditionalFormatting>
  <conditionalFormatting sqref="L265">
    <cfRule type="colorScale" priority="12711">
      <colorScale>
        <cfvo type="min"/>
        <cfvo type="percentile" val="50"/>
        <cfvo type="max"/>
        <color rgb="FFF8696B"/>
        <color rgb="FFFFEB84"/>
        <color rgb="FF63BE7B"/>
      </colorScale>
    </cfRule>
  </conditionalFormatting>
  <conditionalFormatting sqref="L275:L278">
    <cfRule type="colorScale" priority="12903">
      <colorScale>
        <cfvo type="min"/>
        <cfvo type="percentile" val="50"/>
        <cfvo type="max"/>
        <color rgb="FFF8696B"/>
        <color rgb="FFFFEB84"/>
        <color rgb="FF63BE7B"/>
      </colorScale>
    </cfRule>
  </conditionalFormatting>
  <conditionalFormatting sqref="L279">
    <cfRule type="colorScale" priority="12841">
      <colorScale>
        <cfvo type="min"/>
        <cfvo type="percentile" val="50"/>
        <cfvo type="max"/>
        <color rgb="FFF8696B"/>
        <color rgb="FFFFEB84"/>
        <color rgb="FF63BE7B"/>
      </colorScale>
    </cfRule>
  </conditionalFormatting>
  <conditionalFormatting sqref="L280">
    <cfRule type="colorScale" priority="12837">
      <colorScale>
        <cfvo type="min"/>
        <cfvo type="percentile" val="50"/>
        <cfvo type="max"/>
        <color rgb="FFF8696B"/>
        <color rgb="FFFFEB84"/>
        <color rgb="FF63BE7B"/>
      </colorScale>
    </cfRule>
  </conditionalFormatting>
  <conditionalFormatting sqref="L296:L297">
    <cfRule type="colorScale" priority="12507">
      <colorScale>
        <cfvo type="min"/>
        <cfvo type="percentile" val="50"/>
        <cfvo type="max"/>
        <color rgb="FFF8696B"/>
        <color rgb="FFFFEB84"/>
        <color rgb="FF63BE7B"/>
      </colorScale>
    </cfRule>
  </conditionalFormatting>
  <conditionalFormatting sqref="L306">
    <cfRule type="colorScale" priority="12357">
      <colorScale>
        <cfvo type="min"/>
        <cfvo type="percentile" val="50"/>
        <cfvo type="max"/>
        <color rgb="FFF8696B"/>
        <color rgb="FFFFEB84"/>
        <color rgb="FF63BE7B"/>
      </colorScale>
    </cfRule>
  </conditionalFormatting>
  <conditionalFormatting sqref="L308:L309">
    <cfRule type="colorScale" priority="191988">
      <colorScale>
        <cfvo type="min"/>
        <cfvo type="percentile" val="50"/>
        <cfvo type="max"/>
        <color rgb="FFF8696B"/>
        <color rgb="FFFFEB84"/>
        <color rgb="FF63BE7B"/>
      </colorScale>
    </cfRule>
  </conditionalFormatting>
  <conditionalFormatting sqref="L310">
    <cfRule type="colorScale" priority="12278">
      <colorScale>
        <cfvo type="min"/>
        <cfvo type="percentile" val="50"/>
        <cfvo type="max"/>
        <color rgb="FFF8696B"/>
        <color rgb="FFFFEB84"/>
        <color rgb="FF63BE7B"/>
      </colorScale>
    </cfRule>
  </conditionalFormatting>
  <conditionalFormatting sqref="L311">
    <cfRule type="colorScale" priority="12276">
      <colorScale>
        <cfvo type="min"/>
        <cfvo type="percentile" val="50"/>
        <cfvo type="max"/>
        <color rgb="FFF8696B"/>
        <color rgb="FFFFEB84"/>
        <color rgb="FF63BE7B"/>
      </colorScale>
    </cfRule>
  </conditionalFormatting>
  <conditionalFormatting sqref="L312">
    <cfRule type="colorScale" priority="12254">
      <colorScale>
        <cfvo type="min"/>
        <cfvo type="percentile" val="50"/>
        <cfvo type="max"/>
        <color rgb="FFF8696B"/>
        <color rgb="FFFFEB84"/>
        <color rgb="FF63BE7B"/>
      </colorScale>
    </cfRule>
  </conditionalFormatting>
  <conditionalFormatting sqref="L313:L314">
    <cfRule type="colorScale" priority="12222">
      <colorScale>
        <cfvo type="min"/>
        <cfvo type="percentile" val="50"/>
        <cfvo type="max"/>
        <color rgb="FFF8696B"/>
        <color rgb="FFFFEB84"/>
        <color rgb="FF63BE7B"/>
      </colorScale>
    </cfRule>
  </conditionalFormatting>
  <conditionalFormatting sqref="L316">
    <cfRule type="colorScale" priority="12147">
      <colorScale>
        <cfvo type="min"/>
        <cfvo type="percentile" val="50"/>
        <cfvo type="max"/>
        <color rgb="FFF8696B"/>
        <color rgb="FFFFEB84"/>
        <color rgb="FF63BE7B"/>
      </colorScale>
    </cfRule>
  </conditionalFormatting>
  <conditionalFormatting sqref="L322">
    <cfRule type="colorScale" priority="11978">
      <colorScale>
        <cfvo type="min"/>
        <cfvo type="percentile" val="50"/>
        <cfvo type="max"/>
        <color rgb="FFF8696B"/>
        <color rgb="FFFFEB84"/>
        <color rgb="FF63BE7B"/>
      </colorScale>
    </cfRule>
  </conditionalFormatting>
  <conditionalFormatting sqref="L323">
    <cfRule type="colorScale" priority="12010">
      <colorScale>
        <cfvo type="min"/>
        <cfvo type="percentile" val="50"/>
        <cfvo type="max"/>
        <color rgb="FFF8696B"/>
        <color rgb="FFFFEB84"/>
        <color rgb="FF63BE7B"/>
      </colorScale>
    </cfRule>
  </conditionalFormatting>
  <conditionalFormatting sqref="L324">
    <cfRule type="colorScale" priority="11960">
      <colorScale>
        <cfvo type="min"/>
        <cfvo type="percentile" val="50"/>
        <cfvo type="max"/>
        <color rgb="FFF8696B"/>
        <color rgb="FFFFEB84"/>
        <color rgb="FF63BE7B"/>
      </colorScale>
    </cfRule>
  </conditionalFormatting>
  <conditionalFormatting sqref="L326">
    <cfRule type="colorScale" priority="11959">
      <colorScale>
        <cfvo type="min"/>
        <cfvo type="percentile" val="50"/>
        <cfvo type="max"/>
        <color rgb="FFF8696B"/>
        <color rgb="FFFFEB84"/>
        <color rgb="FF63BE7B"/>
      </colorScale>
    </cfRule>
  </conditionalFormatting>
  <conditionalFormatting sqref="L328:L330 L345:L348 L350:L352 L332:L342">
    <cfRule type="colorScale" priority="11909">
      <colorScale>
        <cfvo type="min"/>
        <cfvo type="percentile" val="50"/>
        <cfvo type="max"/>
        <color rgb="FFF8696B"/>
        <color rgb="FFFFEB84"/>
        <color rgb="FF63BE7B"/>
      </colorScale>
    </cfRule>
  </conditionalFormatting>
  <conditionalFormatting sqref="L331">
    <cfRule type="colorScale" priority="11191">
      <colorScale>
        <cfvo type="min"/>
        <cfvo type="percentile" val="50"/>
        <cfvo type="max"/>
        <color rgb="FFF8696B"/>
        <color rgb="FFFFEB84"/>
        <color rgb="FF63BE7B"/>
      </colorScale>
    </cfRule>
  </conditionalFormatting>
  <conditionalFormatting sqref="L343">
    <cfRule type="colorScale" priority="11721">
      <colorScale>
        <cfvo type="min"/>
        <cfvo type="percentile" val="50"/>
        <cfvo type="max"/>
        <color rgb="FFF8696B"/>
        <color rgb="FFFFEB84"/>
        <color rgb="FF63BE7B"/>
      </colorScale>
    </cfRule>
  </conditionalFormatting>
  <conditionalFormatting sqref="L344">
    <cfRule type="colorScale" priority="11689">
      <colorScale>
        <cfvo type="min"/>
        <cfvo type="percentile" val="50"/>
        <cfvo type="max"/>
        <color rgb="FFF8696B"/>
        <color rgb="FFFFEB84"/>
        <color rgb="FF63BE7B"/>
      </colorScale>
    </cfRule>
  </conditionalFormatting>
  <conditionalFormatting sqref="L349">
    <cfRule type="colorScale" priority="11609">
      <colorScale>
        <cfvo type="min"/>
        <cfvo type="percentile" val="50"/>
        <cfvo type="max"/>
        <color rgb="FFF8696B"/>
        <color rgb="FFFFEB84"/>
        <color rgb="FF63BE7B"/>
      </colorScale>
    </cfRule>
  </conditionalFormatting>
  <conditionalFormatting sqref="L364:L369">
    <cfRule type="colorScale" priority="11312">
      <colorScale>
        <cfvo type="min"/>
        <cfvo type="percentile" val="50"/>
        <cfvo type="max"/>
        <color rgb="FFF8696B"/>
        <color rgb="FFFFEB84"/>
        <color rgb="FF63BE7B"/>
      </colorScale>
    </cfRule>
  </conditionalFormatting>
  <conditionalFormatting sqref="L370">
    <cfRule type="colorScale" priority="192438">
      <colorScale>
        <cfvo type="min"/>
        <cfvo type="percentile" val="50"/>
        <cfvo type="max"/>
        <color rgb="FFF8696B"/>
        <color rgb="FFFFEB84"/>
        <color rgb="FF63BE7B"/>
      </colorScale>
    </cfRule>
  </conditionalFormatting>
  <conditionalFormatting sqref="L371">
    <cfRule type="colorScale" priority="11274">
      <colorScale>
        <cfvo type="min"/>
        <cfvo type="percentile" val="50"/>
        <cfvo type="max"/>
        <color rgb="FFF8696B"/>
        <color rgb="FFFFEB84"/>
        <color rgb="FF63BE7B"/>
      </colorScale>
    </cfRule>
  </conditionalFormatting>
  <conditionalFormatting sqref="L372">
    <cfRule type="colorScale" priority="11242">
      <colorScale>
        <cfvo type="min"/>
        <cfvo type="percentile" val="50"/>
        <cfvo type="max"/>
        <color rgb="FFF8696B"/>
        <color rgb="FFFFEB84"/>
        <color rgb="FF63BE7B"/>
      </colorScale>
    </cfRule>
  </conditionalFormatting>
  <conditionalFormatting sqref="L373">
    <cfRule type="colorScale" priority="11218">
      <colorScale>
        <cfvo type="min"/>
        <cfvo type="percentile" val="50"/>
        <cfvo type="max"/>
        <color rgb="FFF8696B"/>
        <color rgb="FFFFEB84"/>
        <color rgb="FF63BE7B"/>
      </colorScale>
    </cfRule>
  </conditionalFormatting>
  <conditionalFormatting sqref="L395">
    <cfRule type="colorScale" priority="10485">
      <colorScale>
        <cfvo type="min"/>
        <cfvo type="percentile" val="50"/>
        <cfvo type="max"/>
        <color rgb="FFF8696B"/>
        <color rgb="FFFFEB84"/>
        <color rgb="FF63BE7B"/>
      </colorScale>
    </cfRule>
  </conditionalFormatting>
  <conditionalFormatting sqref="L396">
    <cfRule type="colorScale" priority="10651">
      <colorScale>
        <cfvo type="min"/>
        <cfvo type="percentile" val="50"/>
        <cfvo type="max"/>
        <color rgb="FFF8696B"/>
        <color rgb="FFFFEB84"/>
        <color rgb="FF63BE7B"/>
      </colorScale>
    </cfRule>
  </conditionalFormatting>
  <conditionalFormatting sqref="L397">
    <cfRule type="colorScale" priority="10650">
      <colorScale>
        <cfvo type="min"/>
        <cfvo type="percentile" val="50"/>
        <cfvo type="max"/>
        <color rgb="FFF8696B"/>
        <color rgb="FFFFEB84"/>
        <color rgb="FF63BE7B"/>
      </colorScale>
    </cfRule>
  </conditionalFormatting>
  <conditionalFormatting sqref="L398">
    <cfRule type="colorScale" priority="10649">
      <colorScale>
        <cfvo type="min"/>
        <cfvo type="percentile" val="50"/>
        <cfvo type="max"/>
        <color rgb="FFF8696B"/>
        <color rgb="FFFFEB84"/>
        <color rgb="FF63BE7B"/>
      </colorScale>
    </cfRule>
  </conditionalFormatting>
  <conditionalFormatting sqref="L399">
    <cfRule type="colorScale" priority="192597">
      <colorScale>
        <cfvo type="min"/>
        <cfvo type="percentile" val="50"/>
        <cfvo type="max"/>
        <color rgb="FFF8696B"/>
        <color rgb="FFFFEB84"/>
        <color rgb="FF63BE7B"/>
      </colorScale>
    </cfRule>
  </conditionalFormatting>
  <conditionalFormatting sqref="L401">
    <cfRule type="colorScale" priority="10647">
      <colorScale>
        <cfvo type="min"/>
        <cfvo type="percentile" val="50"/>
        <cfvo type="max"/>
        <color rgb="FFF8696B"/>
        <color rgb="FFFFEB84"/>
        <color rgb="FF63BE7B"/>
      </colorScale>
    </cfRule>
  </conditionalFormatting>
  <conditionalFormatting sqref="L402:L404 L400">
    <cfRule type="colorScale" priority="192747">
      <colorScale>
        <cfvo type="min"/>
        <cfvo type="percentile" val="50"/>
        <cfvo type="max"/>
        <color rgb="FFF8696B"/>
        <color rgb="FFFFEB84"/>
        <color rgb="FF63BE7B"/>
      </colorScale>
    </cfRule>
  </conditionalFormatting>
  <conditionalFormatting sqref="L405:L417 L381:L394 L419:L426 L430:L434 L439:L444">
    <cfRule type="colorScale" priority="11048">
      <colorScale>
        <cfvo type="min"/>
        <cfvo type="percentile" val="50"/>
        <cfvo type="max"/>
        <color rgb="FFF8696B"/>
        <color rgb="FFFFEB84"/>
        <color rgb="FF63BE7B"/>
      </colorScale>
    </cfRule>
  </conditionalFormatting>
  <conditionalFormatting sqref="L418">
    <cfRule type="colorScale" priority="10487">
      <colorScale>
        <cfvo type="min"/>
        <cfvo type="percentile" val="50"/>
        <cfvo type="max"/>
        <color rgb="FFF8696B"/>
        <color rgb="FFFFEB84"/>
        <color rgb="FF63BE7B"/>
      </colorScale>
    </cfRule>
  </conditionalFormatting>
  <conditionalFormatting sqref="L427">
    <cfRule type="colorScale" priority="10406">
      <colorScale>
        <cfvo type="min"/>
        <cfvo type="percentile" val="50"/>
        <cfvo type="max"/>
        <color rgb="FFF8696B"/>
        <color rgb="FFFFEB84"/>
        <color rgb="FF63BE7B"/>
      </colorScale>
    </cfRule>
  </conditionalFormatting>
  <conditionalFormatting sqref="L428">
    <cfRule type="colorScale" priority="10358">
      <colorScale>
        <cfvo type="min"/>
        <cfvo type="percentile" val="50"/>
        <cfvo type="max"/>
        <color rgb="FFF8696B"/>
        <color rgb="FFFFEB84"/>
        <color rgb="FF63BE7B"/>
      </colorScale>
    </cfRule>
  </conditionalFormatting>
  <conditionalFormatting sqref="L429">
    <cfRule type="colorScale" priority="10332">
      <colorScale>
        <cfvo type="min"/>
        <cfvo type="percentile" val="50"/>
        <cfvo type="max"/>
        <color rgb="FFF8696B"/>
        <color rgb="FFFFEB84"/>
        <color rgb="FF63BE7B"/>
      </colorScale>
    </cfRule>
  </conditionalFormatting>
  <conditionalFormatting sqref="L435:L438">
    <cfRule type="colorScale" priority="10227">
      <colorScale>
        <cfvo type="min"/>
        <cfvo type="percentile" val="50"/>
        <cfvo type="max"/>
        <color rgb="FFF8696B"/>
        <color rgb="FFFFEB84"/>
        <color rgb="FF63BE7B"/>
      </colorScale>
    </cfRule>
  </conditionalFormatting>
  <conditionalFormatting sqref="L460:L464 L475">
    <cfRule type="colorScale" priority="9587">
      <colorScale>
        <cfvo type="min"/>
        <cfvo type="percentile" val="50"/>
        <cfvo type="max"/>
        <color rgb="FFF8696B"/>
        <color rgb="FFFFEB84"/>
        <color rgb="FF63BE7B"/>
      </colorScale>
    </cfRule>
  </conditionalFormatting>
  <conditionalFormatting sqref="L465:L470">
    <cfRule type="colorScale" priority="9592">
      <colorScale>
        <cfvo type="min"/>
        <cfvo type="percentile" val="50"/>
        <cfvo type="max"/>
        <color rgb="FFF8696B"/>
        <color rgb="FFFFEB84"/>
        <color rgb="FF63BE7B"/>
      </colorScale>
    </cfRule>
  </conditionalFormatting>
  <conditionalFormatting sqref="L471">
    <cfRule type="colorScale" priority="9591">
      <colorScale>
        <cfvo type="min"/>
        <cfvo type="percentile" val="50"/>
        <cfvo type="max"/>
        <color rgb="FFF8696B"/>
        <color rgb="FFFFEB84"/>
        <color rgb="FF63BE7B"/>
      </colorScale>
    </cfRule>
  </conditionalFormatting>
  <conditionalFormatting sqref="L472">
    <cfRule type="colorScale" priority="9590">
      <colorScale>
        <cfvo type="min"/>
        <cfvo type="percentile" val="50"/>
        <cfvo type="max"/>
        <color rgb="FFF8696B"/>
        <color rgb="FFFFEB84"/>
        <color rgb="FF63BE7B"/>
      </colorScale>
    </cfRule>
  </conditionalFormatting>
  <conditionalFormatting sqref="L473">
    <cfRule type="colorScale" priority="9589">
      <colorScale>
        <cfvo type="min"/>
        <cfvo type="percentile" val="50"/>
        <cfvo type="max"/>
        <color rgb="FFF8696B"/>
        <color rgb="FFFFEB84"/>
        <color rgb="FF63BE7B"/>
      </colorScale>
    </cfRule>
  </conditionalFormatting>
  <conditionalFormatting sqref="L474">
    <cfRule type="colorScale" priority="9588">
      <colorScale>
        <cfvo type="min"/>
        <cfvo type="percentile" val="50"/>
        <cfvo type="max"/>
        <color rgb="FFF8696B"/>
        <color rgb="FFFFEB84"/>
        <color rgb="FF63BE7B"/>
      </colorScale>
    </cfRule>
  </conditionalFormatting>
  <conditionalFormatting sqref="L476:L477">
    <cfRule type="colorScale" priority="9572">
      <colorScale>
        <cfvo type="min"/>
        <cfvo type="percentile" val="50"/>
        <cfvo type="max"/>
        <color rgb="FFF8696B"/>
        <color rgb="FFFFEB84"/>
        <color rgb="FF63BE7B"/>
      </colorScale>
    </cfRule>
  </conditionalFormatting>
  <conditionalFormatting sqref="L486:L488">
    <cfRule type="colorScale" priority="9421">
      <colorScale>
        <cfvo type="min"/>
        <cfvo type="percentile" val="50"/>
        <cfvo type="max"/>
        <color rgb="FFF8696B"/>
        <color rgb="FFFFEB84"/>
        <color rgb="FF63BE7B"/>
      </colorScale>
    </cfRule>
  </conditionalFormatting>
  <conditionalFormatting sqref="L492:L493">
    <cfRule type="colorScale" priority="9270">
      <colorScale>
        <cfvo type="min"/>
        <cfvo type="percentile" val="50"/>
        <cfvo type="max"/>
        <color rgb="FFF8696B"/>
        <color rgb="FFFFEB84"/>
        <color rgb="FF63BE7B"/>
      </colorScale>
    </cfRule>
  </conditionalFormatting>
  <conditionalFormatting sqref="L498:L501">
    <cfRule type="colorScale" priority="9114">
      <colorScale>
        <cfvo type="min"/>
        <cfvo type="percentile" val="50"/>
        <cfvo type="max"/>
        <color rgb="FFF8696B"/>
        <color rgb="FFFFEB84"/>
        <color rgb="FF63BE7B"/>
      </colorScale>
    </cfRule>
  </conditionalFormatting>
  <conditionalFormatting sqref="L502:L503">
    <cfRule type="colorScale" priority="9110">
      <colorScale>
        <cfvo type="min"/>
        <cfvo type="percentile" val="50"/>
        <cfvo type="max"/>
        <color rgb="FFF8696B"/>
        <color rgb="FFFFEB84"/>
        <color rgb="FF63BE7B"/>
      </colorScale>
    </cfRule>
  </conditionalFormatting>
  <conditionalFormatting sqref="L504">
    <cfRule type="colorScale" priority="9068">
      <colorScale>
        <cfvo type="min"/>
        <cfvo type="percentile" val="50"/>
        <cfvo type="max"/>
        <color rgb="FFF8696B"/>
        <color rgb="FFFFEB84"/>
        <color rgb="FF63BE7B"/>
      </colorScale>
    </cfRule>
  </conditionalFormatting>
  <conditionalFormatting sqref="L513">
    <cfRule type="colorScale" priority="8918">
      <colorScale>
        <cfvo type="min"/>
        <cfvo type="percentile" val="50"/>
        <cfvo type="max"/>
        <color rgb="FFF8696B"/>
        <color rgb="FFFFEB84"/>
        <color rgb="FF63BE7B"/>
      </colorScale>
    </cfRule>
  </conditionalFormatting>
  <conditionalFormatting sqref="L526:L530">
    <cfRule type="colorScale" priority="8646">
      <colorScale>
        <cfvo type="min"/>
        <cfvo type="percentile" val="50"/>
        <cfvo type="max"/>
        <color rgb="FFF8696B"/>
        <color rgb="FFFFEB84"/>
        <color rgb="FF63BE7B"/>
      </colorScale>
    </cfRule>
  </conditionalFormatting>
  <conditionalFormatting sqref="L531:L532">
    <cfRule type="colorScale" priority="8647">
      <colorScale>
        <cfvo type="min"/>
        <cfvo type="percentile" val="50"/>
        <cfvo type="max"/>
        <color rgb="FFF8696B"/>
        <color rgb="FFFFEB84"/>
        <color rgb="FF63BE7B"/>
      </colorScale>
    </cfRule>
  </conditionalFormatting>
  <conditionalFormatting sqref="L533">
    <cfRule type="colorScale" priority="8612">
      <colorScale>
        <cfvo type="min"/>
        <cfvo type="percentile" val="50"/>
        <cfvo type="max"/>
        <color rgb="FFF8696B"/>
        <color rgb="FFFFEB84"/>
        <color rgb="FF63BE7B"/>
      </colorScale>
    </cfRule>
  </conditionalFormatting>
  <conditionalFormatting sqref="L534">
    <cfRule type="colorScale" priority="8611">
      <colorScale>
        <cfvo type="min"/>
        <cfvo type="percentile" val="50"/>
        <cfvo type="max"/>
        <color rgb="FFF8696B"/>
        <color rgb="FFFFEB84"/>
        <color rgb="FF63BE7B"/>
      </colorScale>
    </cfRule>
  </conditionalFormatting>
  <conditionalFormatting sqref="L538">
    <cfRule type="colorScale" priority="8498">
      <colorScale>
        <cfvo type="min"/>
        <cfvo type="percentile" val="50"/>
        <cfvo type="max"/>
        <color rgb="FFF8696B"/>
        <color rgb="FFFFEB84"/>
        <color rgb="FF63BE7B"/>
      </colorScale>
    </cfRule>
  </conditionalFormatting>
  <conditionalFormatting sqref="L539">
    <cfRule type="colorScale" priority="8497">
      <colorScale>
        <cfvo type="min"/>
        <cfvo type="percentile" val="50"/>
        <cfvo type="max"/>
        <color rgb="FFF8696B"/>
        <color rgb="FFFFEB84"/>
        <color rgb="FF63BE7B"/>
      </colorScale>
    </cfRule>
  </conditionalFormatting>
  <conditionalFormatting sqref="L540">
    <cfRule type="colorScale" priority="8496">
      <colorScale>
        <cfvo type="min"/>
        <cfvo type="percentile" val="50"/>
        <cfvo type="max"/>
        <color rgb="FFF8696B"/>
        <color rgb="FFFFEB84"/>
        <color rgb="FF63BE7B"/>
      </colorScale>
    </cfRule>
  </conditionalFormatting>
  <conditionalFormatting sqref="L541">
    <cfRule type="colorScale" priority="8495">
      <colorScale>
        <cfvo type="min"/>
        <cfvo type="percentile" val="50"/>
        <cfvo type="max"/>
        <color rgb="FFF8696B"/>
        <color rgb="FFFFEB84"/>
        <color rgb="FF63BE7B"/>
      </colorScale>
    </cfRule>
  </conditionalFormatting>
  <conditionalFormatting sqref="L542">
    <cfRule type="colorScale" priority="8443">
      <colorScale>
        <cfvo type="min"/>
        <cfvo type="percentile" val="50"/>
        <cfvo type="max"/>
        <color rgb="FFF8696B"/>
        <color rgb="FFFFEB84"/>
        <color rgb="FF63BE7B"/>
      </colorScale>
    </cfRule>
  </conditionalFormatting>
  <conditionalFormatting sqref="L543">
    <cfRule type="colorScale" priority="8442">
      <colorScale>
        <cfvo type="min"/>
        <cfvo type="percentile" val="50"/>
        <cfvo type="max"/>
        <color rgb="FFF8696B"/>
        <color rgb="FFFFEB84"/>
        <color rgb="FF63BE7B"/>
      </colorScale>
    </cfRule>
  </conditionalFormatting>
  <conditionalFormatting sqref="L544">
    <cfRule type="colorScale" priority="8441">
      <colorScale>
        <cfvo type="min"/>
        <cfvo type="percentile" val="50"/>
        <cfvo type="max"/>
        <color rgb="FFF8696B"/>
        <color rgb="FFFFEB84"/>
        <color rgb="FF63BE7B"/>
      </colorScale>
    </cfRule>
  </conditionalFormatting>
  <conditionalFormatting sqref="L545">
    <cfRule type="colorScale" priority="8440">
      <colorScale>
        <cfvo type="min"/>
        <cfvo type="percentile" val="50"/>
        <cfvo type="max"/>
        <color rgb="FFF8696B"/>
        <color rgb="FFFFEB84"/>
        <color rgb="FF63BE7B"/>
      </colorScale>
    </cfRule>
  </conditionalFormatting>
  <conditionalFormatting sqref="L548:L550">
    <cfRule type="colorScale" priority="8301">
      <colorScale>
        <cfvo type="min"/>
        <cfvo type="percentile" val="50"/>
        <cfvo type="max"/>
        <color rgb="FFF8696B"/>
        <color rgb="FFFFEB84"/>
        <color rgb="FF63BE7B"/>
      </colorScale>
    </cfRule>
  </conditionalFormatting>
  <conditionalFormatting sqref="L551:L553">
    <cfRule type="colorScale" priority="8302">
      <colorScale>
        <cfvo type="min"/>
        <cfvo type="percentile" val="50"/>
        <cfvo type="max"/>
        <color rgb="FFF8696B"/>
        <color rgb="FFFFEB84"/>
        <color rgb="FF63BE7B"/>
      </colorScale>
    </cfRule>
  </conditionalFormatting>
  <conditionalFormatting sqref="L565">
    <cfRule type="colorScale" priority="8121">
      <colorScale>
        <cfvo type="min"/>
        <cfvo type="percentile" val="50"/>
        <cfvo type="max"/>
        <color rgb="FFF8696B"/>
        <color rgb="FFFFEB84"/>
        <color rgb="FF63BE7B"/>
      </colorScale>
    </cfRule>
  </conditionalFormatting>
  <conditionalFormatting sqref="L569">
    <cfRule type="colorScale" priority="8060">
      <colorScale>
        <cfvo type="min"/>
        <cfvo type="percentile" val="50"/>
        <cfvo type="max"/>
        <color rgb="FFF8696B"/>
        <color rgb="FFFFEB84"/>
        <color rgb="FF63BE7B"/>
      </colorScale>
    </cfRule>
  </conditionalFormatting>
  <conditionalFormatting sqref="L570">
    <cfRule type="colorScale" priority="8059">
      <colorScale>
        <cfvo type="min"/>
        <cfvo type="percentile" val="50"/>
        <cfvo type="max"/>
        <color rgb="FFF8696B"/>
        <color rgb="FFFFEB84"/>
        <color rgb="FF63BE7B"/>
      </colorScale>
    </cfRule>
  </conditionalFormatting>
  <conditionalFormatting sqref="L571">
    <cfRule type="colorScale" priority="8047">
      <colorScale>
        <cfvo type="min"/>
        <cfvo type="percentile" val="50"/>
        <cfvo type="max"/>
        <color rgb="FFF8696B"/>
        <color rgb="FFFFEB84"/>
        <color rgb="FF63BE7B"/>
      </colorScale>
    </cfRule>
  </conditionalFormatting>
  <conditionalFormatting sqref="L572:L575 L489:L491 L445:L459 L374:L380 L281:L295 L315 L259:L262 L129:L136 L123:L127 L25:L26 L61 L22 L34 L43:L49 L52:L56 L63:L91 L104:L114 L138:L139 L143:L145 L154 L160:L161 L163:L166 L173 L182:L212 L215:L216 L220:L226 L230:L235 L244:L245 L266:L274 L298:L304 R305 L307 L317:L321 L325 L327 L353:L363 L478:L485 L494:L497 L505:L512 L514:L525 L535:L537 L546:L547 L554:L564 L566:L568 L582:L584 L589:L598 L606:L616 L621:L628 L630">
    <cfRule type="colorScale" priority="193077">
      <colorScale>
        <cfvo type="min"/>
        <cfvo type="percentile" val="50"/>
        <cfvo type="max"/>
        <color rgb="FFF8696B"/>
        <color rgb="FFFFEB84"/>
        <color rgb="FF63BE7B"/>
      </colorScale>
    </cfRule>
  </conditionalFormatting>
  <conditionalFormatting sqref="L576:L577">
    <cfRule type="colorScale" priority="7904">
      <colorScale>
        <cfvo type="min"/>
        <cfvo type="percentile" val="50"/>
        <cfvo type="max"/>
        <color rgb="FFF8696B"/>
        <color rgb="FFFFEB84"/>
        <color rgb="FF63BE7B"/>
      </colorScale>
    </cfRule>
  </conditionalFormatting>
  <conditionalFormatting sqref="L578">
    <cfRule type="colorScale" priority="7889">
      <colorScale>
        <cfvo type="min"/>
        <cfvo type="percentile" val="50"/>
        <cfvo type="max"/>
        <color rgb="FFF8696B"/>
        <color rgb="FFFFEB84"/>
        <color rgb="FF63BE7B"/>
      </colorScale>
    </cfRule>
  </conditionalFormatting>
  <conditionalFormatting sqref="L579">
    <cfRule type="colorScale" priority="7888">
      <colorScale>
        <cfvo type="min"/>
        <cfvo type="percentile" val="50"/>
        <cfvo type="max"/>
        <color rgb="FFF8696B"/>
        <color rgb="FFFFEB84"/>
        <color rgb="FF63BE7B"/>
      </colorScale>
    </cfRule>
  </conditionalFormatting>
  <conditionalFormatting sqref="L580">
    <cfRule type="colorScale" priority="7860">
      <colorScale>
        <cfvo type="min"/>
        <cfvo type="percentile" val="50"/>
        <cfvo type="max"/>
        <color rgb="FFF8696B"/>
        <color rgb="FFFFEB84"/>
        <color rgb="FF63BE7B"/>
      </colorScale>
    </cfRule>
  </conditionalFormatting>
  <conditionalFormatting sqref="L581">
    <cfRule type="colorScale" priority="7831">
      <colorScale>
        <cfvo type="min"/>
        <cfvo type="percentile" val="50"/>
        <cfvo type="max"/>
        <color rgb="FFF8696B"/>
        <color rgb="FFFFEB84"/>
        <color rgb="FF63BE7B"/>
      </colorScale>
    </cfRule>
  </conditionalFormatting>
  <conditionalFormatting sqref="L585">
    <cfRule type="colorScale" priority="7746">
      <colorScale>
        <cfvo type="min"/>
        <cfvo type="percentile" val="50"/>
        <cfvo type="max"/>
        <color rgb="FFF8696B"/>
        <color rgb="FFFFEB84"/>
        <color rgb="FF63BE7B"/>
      </colorScale>
    </cfRule>
  </conditionalFormatting>
  <conditionalFormatting sqref="L586:L587">
    <cfRule type="colorScale" priority="7809">
      <colorScale>
        <cfvo type="min"/>
        <cfvo type="percentile" val="50"/>
        <cfvo type="max"/>
        <color rgb="FFF8696B"/>
        <color rgb="FFFFEB84"/>
        <color rgb="FF63BE7B"/>
      </colorScale>
    </cfRule>
  </conditionalFormatting>
  <conditionalFormatting sqref="L588">
    <cfRule type="colorScale" priority="7764">
      <colorScale>
        <cfvo type="min"/>
        <cfvo type="percentile" val="50"/>
        <cfvo type="max"/>
        <color rgb="FFF8696B"/>
        <color rgb="FFFFEB84"/>
        <color rgb="FF63BE7B"/>
      </colorScale>
    </cfRule>
  </conditionalFormatting>
  <conditionalFormatting sqref="L599:L603">
    <cfRule type="colorScale" priority="7528">
      <colorScale>
        <cfvo type="min"/>
        <cfvo type="percentile" val="50"/>
        <cfvo type="max"/>
        <color rgb="FFF8696B"/>
        <color rgb="FFFFEB84"/>
        <color rgb="FF63BE7B"/>
      </colorScale>
    </cfRule>
  </conditionalFormatting>
  <conditionalFormatting sqref="L604">
    <cfRule type="colorScale" priority="7527">
      <colorScale>
        <cfvo type="min"/>
        <cfvo type="percentile" val="50"/>
        <cfvo type="max"/>
        <color rgb="FFF8696B"/>
        <color rgb="FFFFEB84"/>
        <color rgb="FF63BE7B"/>
      </colorScale>
    </cfRule>
  </conditionalFormatting>
  <conditionalFormatting sqref="L605">
    <cfRule type="colorScale" priority="7526">
      <colorScale>
        <cfvo type="min"/>
        <cfvo type="percentile" val="50"/>
        <cfvo type="max"/>
        <color rgb="FFF8696B"/>
        <color rgb="FFFFEB84"/>
        <color rgb="FF63BE7B"/>
      </colorScale>
    </cfRule>
  </conditionalFormatting>
  <conditionalFormatting sqref="L617:L620">
    <cfRule type="colorScale" priority="7316">
      <colorScale>
        <cfvo type="min"/>
        <cfvo type="percentile" val="50"/>
        <cfvo type="max"/>
        <color rgb="FFF8696B"/>
        <color rgb="FFFFEB84"/>
        <color rgb="FF63BE7B"/>
      </colorScale>
    </cfRule>
  </conditionalFormatting>
  <conditionalFormatting sqref="L629">
    <cfRule type="colorScale" priority="7206">
      <colorScale>
        <cfvo type="min"/>
        <cfvo type="percentile" val="50"/>
        <cfvo type="max"/>
        <color rgb="FFF8696B"/>
        <color rgb="FFFFEB84"/>
        <color rgb="FF63BE7B"/>
      </colorScale>
    </cfRule>
  </conditionalFormatting>
  <conditionalFormatting sqref="L639">
    <cfRule type="colorScale" priority="6994">
      <colorScale>
        <cfvo type="min"/>
        <cfvo type="percentile" val="50"/>
        <cfvo type="max"/>
        <color rgb="FFF8696B"/>
        <color rgb="FFFFEB84"/>
        <color rgb="FF63BE7B"/>
      </colorScale>
    </cfRule>
  </conditionalFormatting>
  <conditionalFormatting sqref="L640:L641">
    <cfRule type="colorScale" priority="6975">
      <colorScale>
        <cfvo type="min"/>
        <cfvo type="percentile" val="50"/>
        <cfvo type="max"/>
        <color rgb="FFF8696B"/>
        <color rgb="FFFFEB84"/>
        <color rgb="FF63BE7B"/>
      </colorScale>
    </cfRule>
  </conditionalFormatting>
  <conditionalFormatting sqref="L644:L653">
    <cfRule type="colorScale" priority="193265">
      <colorScale>
        <cfvo type="min"/>
        <cfvo type="percentile" val="50"/>
        <cfvo type="max"/>
        <color rgb="FFF8696B"/>
        <color rgb="FFFFEB84"/>
        <color rgb="FF63BE7B"/>
      </colorScale>
    </cfRule>
  </conditionalFormatting>
  <conditionalFormatting sqref="L654">
    <cfRule type="colorScale" priority="6774">
      <colorScale>
        <cfvo type="min"/>
        <cfvo type="percentile" val="50"/>
        <cfvo type="max"/>
        <color rgb="FFF8696B"/>
        <color rgb="FFFFEB84"/>
        <color rgb="FF63BE7B"/>
      </colorScale>
    </cfRule>
  </conditionalFormatting>
  <conditionalFormatting sqref="L655">
    <cfRule type="colorScale" priority="6769">
      <colorScale>
        <cfvo type="min"/>
        <cfvo type="percentile" val="50"/>
        <cfvo type="max"/>
        <color rgb="FFF8696B"/>
        <color rgb="FFFFEB84"/>
        <color rgb="FF63BE7B"/>
      </colorScale>
    </cfRule>
  </conditionalFormatting>
  <conditionalFormatting sqref="L656:L657 L631:L638 L642:L643">
    <cfRule type="colorScale" priority="7141">
      <colorScale>
        <cfvo type="min"/>
        <cfvo type="percentile" val="50"/>
        <cfvo type="max"/>
        <color rgb="FFF8696B"/>
        <color rgb="FFFFEB84"/>
        <color rgb="FF63BE7B"/>
      </colorScale>
    </cfRule>
  </conditionalFormatting>
  <conditionalFormatting sqref="L659">
    <cfRule type="colorScale" priority="6602">
      <colorScale>
        <cfvo type="min"/>
        <cfvo type="percentile" val="50"/>
        <cfvo type="max"/>
        <color rgb="FFF8696B"/>
        <color rgb="FFFFEB84"/>
        <color rgb="FF63BE7B"/>
      </colorScale>
    </cfRule>
  </conditionalFormatting>
  <conditionalFormatting sqref="L660:L661">
    <cfRule type="colorScale" priority="6601">
      <colorScale>
        <cfvo type="min"/>
        <cfvo type="percentile" val="50"/>
        <cfvo type="max"/>
        <color rgb="FFF8696B"/>
        <color rgb="FFFFEB84"/>
        <color rgb="FF63BE7B"/>
      </colorScale>
    </cfRule>
  </conditionalFormatting>
  <conditionalFormatting sqref="L662">
    <cfRule type="colorScale" priority="6590">
      <colorScale>
        <cfvo type="min"/>
        <cfvo type="percentile" val="50"/>
        <cfvo type="max"/>
        <color rgb="FFF8696B"/>
        <color rgb="FFFFEB84"/>
        <color rgb="FF63BE7B"/>
      </colorScale>
    </cfRule>
  </conditionalFormatting>
  <conditionalFormatting sqref="L658 L663 L665:L666">
    <cfRule type="colorScale" priority="6660">
      <colorScale>
        <cfvo type="min"/>
        <cfvo type="percentile" val="50"/>
        <cfvo type="max"/>
        <color rgb="FFF8696B"/>
        <color rgb="FFFFEB84"/>
        <color rgb="FF63BE7B"/>
      </colorScale>
    </cfRule>
  </conditionalFormatting>
  <conditionalFormatting sqref="L664">
    <cfRule type="colorScale" priority="6578">
      <colorScale>
        <cfvo type="min"/>
        <cfvo type="percentile" val="50"/>
        <cfvo type="max"/>
        <color rgb="FFF8696B"/>
        <color rgb="FFFFEB84"/>
        <color rgb="FF63BE7B"/>
      </colorScale>
    </cfRule>
  </conditionalFormatting>
  <conditionalFormatting sqref="L667">
    <cfRule type="colorScale" priority="6463">
      <colorScale>
        <cfvo type="min"/>
        <cfvo type="percentile" val="50"/>
        <cfvo type="max"/>
        <color rgb="FFF8696B"/>
        <color rgb="FFFFEB84"/>
        <color rgb="FF63BE7B"/>
      </colorScale>
    </cfRule>
  </conditionalFormatting>
  <conditionalFormatting sqref="L668">
    <cfRule type="colorScale" priority="6452">
      <colorScale>
        <cfvo type="min"/>
        <cfvo type="percentile" val="50"/>
        <cfvo type="max"/>
        <color rgb="FFF8696B"/>
        <color rgb="FFFFEB84"/>
        <color rgb="FF63BE7B"/>
      </colorScale>
    </cfRule>
  </conditionalFormatting>
  <conditionalFormatting sqref="L669">
    <cfRule type="colorScale" priority="6430">
      <colorScale>
        <cfvo type="min"/>
        <cfvo type="percentile" val="50"/>
        <cfvo type="max"/>
        <color rgb="FFF8696B"/>
        <color rgb="FFFFEB84"/>
        <color rgb="FF63BE7B"/>
      </colorScale>
    </cfRule>
  </conditionalFormatting>
  <conditionalFormatting sqref="L670:L675">
    <cfRule type="colorScale" priority="193326">
      <colorScale>
        <cfvo type="min"/>
        <cfvo type="percentile" val="50"/>
        <cfvo type="max"/>
        <color rgb="FFF8696B"/>
        <color rgb="FFFFEB84"/>
        <color rgb="FF63BE7B"/>
      </colorScale>
    </cfRule>
  </conditionalFormatting>
  <conditionalFormatting sqref="L676:L696 L699:L704">
    <cfRule type="colorScale" priority="6316">
      <colorScale>
        <cfvo type="min"/>
        <cfvo type="percentile" val="50"/>
        <cfvo type="max"/>
        <color rgb="FFF8696B"/>
        <color rgb="FFFFEB84"/>
        <color rgb="FF63BE7B"/>
      </colorScale>
    </cfRule>
  </conditionalFormatting>
  <conditionalFormatting sqref="L697:L698">
    <cfRule type="colorScale" priority="5966">
      <colorScale>
        <cfvo type="min"/>
        <cfvo type="percentile" val="50"/>
        <cfvo type="max"/>
        <color rgb="FFF8696B"/>
        <color rgb="FFFFEB84"/>
        <color rgb="FF63BE7B"/>
      </colorScale>
    </cfRule>
  </conditionalFormatting>
  <conditionalFormatting sqref="L705:L714 L720 L722:L724">
    <cfRule type="colorScale" priority="5830">
      <colorScale>
        <cfvo type="min"/>
        <cfvo type="percentile" val="50"/>
        <cfvo type="max"/>
        <color rgb="FFF8696B"/>
        <color rgb="FFFFEB84"/>
        <color rgb="FF63BE7B"/>
      </colorScale>
    </cfRule>
  </conditionalFormatting>
  <conditionalFormatting sqref="L715">
    <cfRule type="colorScale" priority="5615">
      <colorScale>
        <cfvo type="min"/>
        <cfvo type="percentile" val="50"/>
        <cfvo type="max"/>
        <color rgb="FFF8696B"/>
        <color rgb="FFFFEB84"/>
        <color rgb="FF63BE7B"/>
      </colorScale>
    </cfRule>
  </conditionalFormatting>
  <conditionalFormatting sqref="L716:L718">
    <cfRule type="colorScale" priority="5619">
      <colorScale>
        <cfvo type="min"/>
        <cfvo type="percentile" val="50"/>
        <cfvo type="max"/>
        <color rgb="FFF8696B"/>
        <color rgb="FFFFEB84"/>
        <color rgb="FF63BE7B"/>
      </colorScale>
    </cfRule>
  </conditionalFormatting>
  <conditionalFormatting sqref="L719">
    <cfRule type="colorScale" priority="5608">
      <colorScale>
        <cfvo type="min"/>
        <cfvo type="percentile" val="50"/>
        <cfvo type="max"/>
        <color rgb="FFF8696B"/>
        <color rgb="FFFFEB84"/>
        <color rgb="FF63BE7B"/>
      </colorScale>
    </cfRule>
  </conditionalFormatting>
  <conditionalFormatting sqref="L721">
    <cfRule type="colorScale" priority="5586">
      <colorScale>
        <cfvo type="min"/>
        <cfvo type="percentile" val="50"/>
        <cfvo type="max"/>
        <color rgb="FFF8696B"/>
        <color rgb="FFFFEB84"/>
        <color rgb="FF63BE7B"/>
      </colorScale>
    </cfRule>
  </conditionalFormatting>
  <conditionalFormatting sqref="L725">
    <cfRule type="colorScale" priority="5488">
      <colorScale>
        <cfvo type="min"/>
        <cfvo type="percentile" val="50"/>
        <cfvo type="max"/>
        <color rgb="FFF8696B"/>
        <color rgb="FFFFEB84"/>
        <color rgb="FF63BE7B"/>
      </colorScale>
    </cfRule>
  </conditionalFormatting>
  <conditionalFormatting sqref="L726">
    <cfRule type="colorScale" priority="5470">
      <colorScale>
        <cfvo type="min"/>
        <cfvo type="percentile" val="50"/>
        <cfvo type="max"/>
        <color rgb="FFF8696B"/>
        <color rgb="FFFFEB84"/>
        <color rgb="FF63BE7B"/>
      </colorScale>
    </cfRule>
  </conditionalFormatting>
  <conditionalFormatting sqref="L727:L729">
    <cfRule type="colorScale" priority="5506">
      <colorScale>
        <cfvo type="min"/>
        <cfvo type="percentile" val="50"/>
        <cfvo type="max"/>
        <color rgb="FFF8696B"/>
        <color rgb="FFFFEB84"/>
        <color rgb="FF63BE7B"/>
      </colorScale>
    </cfRule>
  </conditionalFormatting>
  <conditionalFormatting sqref="L730">
    <cfRule type="colorScale" priority="5357">
      <colorScale>
        <cfvo type="min"/>
        <cfvo type="percentile" val="50"/>
        <cfvo type="max"/>
        <color rgb="FFF8696B"/>
        <color rgb="FFFFEB84"/>
        <color rgb="FF63BE7B"/>
      </colorScale>
    </cfRule>
  </conditionalFormatting>
  <conditionalFormatting sqref="L731">
    <cfRule type="colorScale" priority="5335">
      <colorScale>
        <cfvo type="min"/>
        <cfvo type="percentile" val="50"/>
        <cfvo type="max"/>
        <color rgb="FFF8696B"/>
        <color rgb="FFFFEB84"/>
        <color rgb="FF63BE7B"/>
      </colorScale>
    </cfRule>
  </conditionalFormatting>
  <conditionalFormatting sqref="L732:L738 L768 L745 L780:L782">
    <cfRule type="colorScale" priority="193693">
      <colorScale>
        <cfvo type="min"/>
        <cfvo type="percentile" val="50"/>
        <cfvo type="max"/>
        <color rgb="FFF8696B"/>
        <color rgb="FFFFEB84"/>
        <color rgb="FF63BE7B"/>
      </colorScale>
    </cfRule>
  </conditionalFormatting>
  <conditionalFormatting sqref="L739:L740">
    <cfRule type="colorScale" priority="5138">
      <colorScale>
        <cfvo type="min"/>
        <cfvo type="percentile" val="50"/>
        <cfvo type="max"/>
        <color rgb="FFF8696B"/>
        <color rgb="FFFFEB84"/>
        <color rgb="FF63BE7B"/>
      </colorScale>
    </cfRule>
  </conditionalFormatting>
  <conditionalFormatting sqref="L741">
    <cfRule type="colorScale" priority="5082">
      <colorScale>
        <cfvo type="min"/>
        <cfvo type="percentile" val="50"/>
        <cfvo type="max"/>
        <color rgb="FFF8696B"/>
        <color rgb="FFFFEB84"/>
        <color rgb="FF63BE7B"/>
      </colorScale>
    </cfRule>
  </conditionalFormatting>
  <conditionalFormatting sqref="L742">
    <cfRule type="colorScale" priority="5071">
      <colorScale>
        <cfvo type="min"/>
        <cfvo type="percentile" val="50"/>
        <cfvo type="max"/>
        <color rgb="FFF8696B"/>
        <color rgb="FFFFEB84"/>
        <color rgb="FF63BE7B"/>
      </colorScale>
    </cfRule>
  </conditionalFormatting>
  <conditionalFormatting sqref="L743:L744">
    <cfRule type="colorScale" priority="193448">
      <colorScale>
        <cfvo type="min"/>
        <cfvo type="percentile" val="50"/>
        <cfvo type="max"/>
        <color rgb="FFF8696B"/>
        <color rgb="FFFFEB84"/>
        <color rgb="FF63BE7B"/>
      </colorScale>
    </cfRule>
  </conditionalFormatting>
  <conditionalFormatting sqref="L746">
    <cfRule type="colorScale" priority="4948">
      <colorScale>
        <cfvo type="min"/>
        <cfvo type="percentile" val="50"/>
        <cfvo type="max"/>
        <color rgb="FFF8696B"/>
        <color rgb="FFFFEB84"/>
        <color rgb="FF63BE7B"/>
      </colorScale>
    </cfRule>
  </conditionalFormatting>
  <conditionalFormatting sqref="L747">
    <cfRule type="colorScale" priority="4931">
      <colorScale>
        <cfvo type="min"/>
        <cfvo type="percentile" val="50"/>
        <cfvo type="max"/>
        <color rgb="FFF8696B"/>
        <color rgb="FFFFEB84"/>
        <color rgb="FF63BE7B"/>
      </colorScale>
    </cfRule>
  </conditionalFormatting>
  <conditionalFormatting sqref="L762:L763">
    <cfRule type="colorScale" priority="4650">
      <colorScale>
        <cfvo type="min"/>
        <cfvo type="percentile" val="50"/>
        <cfvo type="max"/>
        <color rgb="FFF8696B"/>
        <color rgb="FFFFEB84"/>
        <color rgb="FF63BE7B"/>
      </colorScale>
    </cfRule>
  </conditionalFormatting>
  <conditionalFormatting sqref="L764:L767 L748:L761">
    <cfRule type="colorScale" priority="193541">
      <colorScale>
        <cfvo type="min"/>
        <cfvo type="percentile" val="50"/>
        <cfvo type="max"/>
        <color rgb="FFF8696B"/>
        <color rgb="FFFFEB84"/>
        <color rgb="FF63BE7B"/>
      </colorScale>
    </cfRule>
  </conditionalFormatting>
  <conditionalFormatting sqref="L769">
    <cfRule type="colorScale" priority="4517">
      <colorScale>
        <cfvo type="min"/>
        <cfvo type="percentile" val="50"/>
        <cfvo type="max"/>
        <color rgb="FFF8696B"/>
        <color rgb="FFFFEB84"/>
        <color rgb="FF63BE7B"/>
      </colorScale>
    </cfRule>
  </conditionalFormatting>
  <conditionalFormatting sqref="L770:L775">
    <cfRule type="colorScale" priority="4405">
      <colorScale>
        <cfvo type="min"/>
        <cfvo type="percentile" val="50"/>
        <cfvo type="max"/>
        <color rgb="FFF8696B"/>
        <color rgb="FFFFEB84"/>
        <color rgb="FF63BE7B"/>
      </colorScale>
    </cfRule>
  </conditionalFormatting>
  <conditionalFormatting sqref="L776:L778">
    <cfRule type="colorScale" priority="193654">
      <colorScale>
        <cfvo type="min"/>
        <cfvo type="percentile" val="50"/>
        <cfvo type="max"/>
        <color rgb="FFF8696B"/>
        <color rgb="FFFFEB84"/>
        <color rgb="FF63BE7B"/>
      </colorScale>
    </cfRule>
  </conditionalFormatting>
  <conditionalFormatting sqref="L779">
    <cfRule type="colorScale" priority="4300">
      <colorScale>
        <cfvo type="min"/>
        <cfvo type="percentile" val="50"/>
        <cfvo type="max"/>
        <color rgb="FFF8696B"/>
        <color rgb="FFFFEB84"/>
        <color rgb="FF63BE7B"/>
      </colorScale>
    </cfRule>
  </conditionalFormatting>
  <conditionalFormatting sqref="L783">
    <cfRule type="colorScale" priority="4261">
      <colorScale>
        <cfvo type="min"/>
        <cfvo type="percentile" val="50"/>
        <cfvo type="max"/>
        <color rgb="FFF8696B"/>
        <color rgb="FFFFEB84"/>
        <color rgb="FF63BE7B"/>
      </colorScale>
    </cfRule>
  </conditionalFormatting>
  <conditionalFormatting sqref="L784:L785 L820 L788:L794 L796:L797">
    <cfRule type="colorScale" priority="4247">
      <colorScale>
        <cfvo type="min"/>
        <cfvo type="percentile" val="50"/>
        <cfvo type="max"/>
        <color rgb="FFF8696B"/>
        <color rgb="FFFFEB84"/>
        <color rgb="FF63BE7B"/>
      </colorScale>
    </cfRule>
  </conditionalFormatting>
  <conditionalFormatting sqref="L786:L787">
    <cfRule type="colorScale" priority="4231">
      <colorScale>
        <cfvo type="min"/>
        <cfvo type="percentile" val="50"/>
        <cfvo type="max"/>
        <color rgb="FFF8696B"/>
        <color rgb="FFFFEB84"/>
        <color rgb="FF63BE7B"/>
      </colorScale>
    </cfRule>
  </conditionalFormatting>
  <conditionalFormatting sqref="L795">
    <cfRule type="colorScale" priority="4117">
      <colorScale>
        <cfvo type="min"/>
        <cfvo type="percentile" val="50"/>
        <cfvo type="max"/>
        <color rgb="FFF8696B"/>
        <color rgb="FFFFEB84"/>
        <color rgb="FF63BE7B"/>
      </colorScale>
    </cfRule>
  </conditionalFormatting>
  <conditionalFormatting sqref="L799">
    <cfRule type="colorScale" priority="3943">
      <colorScale>
        <cfvo type="min"/>
        <cfvo type="percentile" val="50"/>
        <cfvo type="max"/>
        <color rgb="FFF8696B"/>
        <color rgb="FFFFEB84"/>
        <color rgb="FF63BE7B"/>
      </colorScale>
    </cfRule>
  </conditionalFormatting>
  <conditionalFormatting sqref="L800">
    <cfRule type="colorScale" priority="3942">
      <colorScale>
        <cfvo type="min"/>
        <cfvo type="percentile" val="50"/>
        <cfvo type="max"/>
        <color rgb="FFF8696B"/>
        <color rgb="FFFFEB84"/>
        <color rgb="FF63BE7B"/>
      </colorScale>
    </cfRule>
  </conditionalFormatting>
  <conditionalFormatting sqref="L801">
    <cfRule type="colorScale" priority="3941">
      <colorScale>
        <cfvo type="min"/>
        <cfvo type="percentile" val="50"/>
        <cfvo type="max"/>
        <color rgb="FFF8696B"/>
        <color rgb="FFFFEB84"/>
        <color rgb="FF63BE7B"/>
      </colorScale>
    </cfRule>
  </conditionalFormatting>
  <conditionalFormatting sqref="L802">
    <cfRule type="colorScale" priority="3940">
      <colorScale>
        <cfvo type="min"/>
        <cfvo type="percentile" val="50"/>
        <cfvo type="max"/>
        <color rgb="FFF8696B"/>
        <color rgb="FFFFEB84"/>
        <color rgb="FF63BE7B"/>
      </colorScale>
    </cfRule>
  </conditionalFormatting>
  <conditionalFormatting sqref="L803">
    <cfRule type="colorScale" priority="3939">
      <colorScale>
        <cfvo type="min"/>
        <cfvo type="percentile" val="50"/>
        <cfvo type="max"/>
        <color rgb="FFF8696B"/>
        <color rgb="FFFFEB84"/>
        <color rgb="FF63BE7B"/>
      </colorScale>
    </cfRule>
  </conditionalFormatting>
  <conditionalFormatting sqref="L804">
    <cfRule type="colorScale" priority="3882">
      <colorScale>
        <cfvo type="min"/>
        <cfvo type="percentile" val="50"/>
        <cfvo type="max"/>
        <color rgb="FFF8696B"/>
        <color rgb="FFFFEB84"/>
        <color rgb="FF63BE7B"/>
      </colorScale>
    </cfRule>
  </conditionalFormatting>
  <conditionalFormatting sqref="L805">
    <cfRule type="colorScale" priority="3878">
      <colorScale>
        <cfvo type="min"/>
        <cfvo type="percentile" val="50"/>
        <cfvo type="max"/>
        <color rgb="FFF8696B"/>
        <color rgb="FFFFEB84"/>
        <color rgb="FF63BE7B"/>
      </colorScale>
    </cfRule>
  </conditionalFormatting>
  <conditionalFormatting sqref="L806:L808 L813">
    <cfRule type="colorScale" priority="3840">
      <colorScale>
        <cfvo type="min"/>
        <cfvo type="percentile" val="50"/>
        <cfvo type="max"/>
        <color rgb="FFF8696B"/>
        <color rgb="FFFFEB84"/>
        <color rgb="FF63BE7B"/>
      </colorScale>
    </cfRule>
  </conditionalFormatting>
  <conditionalFormatting sqref="L809">
    <cfRule type="colorScale" priority="3756">
      <colorScale>
        <cfvo type="min"/>
        <cfvo type="percentile" val="50"/>
        <cfvo type="max"/>
        <color rgb="FFF8696B"/>
        <color rgb="FFFFEB84"/>
        <color rgb="FF63BE7B"/>
      </colorScale>
    </cfRule>
  </conditionalFormatting>
  <conditionalFormatting sqref="L810:L812">
    <cfRule type="colorScale" priority="3760">
      <colorScale>
        <cfvo type="min"/>
        <cfvo type="percentile" val="50"/>
        <cfvo type="max"/>
        <color rgb="FFF8696B"/>
        <color rgb="FFFFEB84"/>
        <color rgb="FF63BE7B"/>
      </colorScale>
    </cfRule>
  </conditionalFormatting>
  <conditionalFormatting sqref="L814:L819 L798">
    <cfRule type="colorScale" priority="193770">
      <colorScale>
        <cfvo type="min"/>
        <cfvo type="percentile" val="50"/>
        <cfvo type="max"/>
        <color rgb="FFF8696B"/>
        <color rgb="FFFFEB84"/>
        <color rgb="FF63BE7B"/>
      </colorScale>
    </cfRule>
  </conditionalFormatting>
  <conditionalFormatting sqref="L833">
    <cfRule type="colorScale" priority="3199">
      <colorScale>
        <cfvo type="min"/>
        <cfvo type="percentile" val="50"/>
        <cfvo type="max"/>
        <color rgb="FFF8696B"/>
        <color rgb="FFFFEB84"/>
        <color rgb="FF63BE7B"/>
      </colorScale>
    </cfRule>
  </conditionalFormatting>
  <conditionalFormatting sqref="L834:L835">
    <cfRule type="colorScale" priority="3157">
      <colorScale>
        <cfvo type="min"/>
        <cfvo type="percentile" val="50"/>
        <cfvo type="max"/>
        <color rgb="FFF8696B"/>
        <color rgb="FFFFEB84"/>
        <color rgb="FF63BE7B"/>
      </colorScale>
    </cfRule>
  </conditionalFormatting>
  <conditionalFormatting sqref="L839">
    <cfRule type="colorScale" priority="3069">
      <colorScale>
        <cfvo type="min"/>
        <cfvo type="percentile" val="50"/>
        <cfvo type="max"/>
        <color rgb="FFF8696B"/>
        <color rgb="FFFFEB84"/>
        <color rgb="FF63BE7B"/>
      </colorScale>
    </cfRule>
  </conditionalFormatting>
  <conditionalFormatting sqref="L840:L842">
    <cfRule type="colorScale" priority="193857">
      <colorScale>
        <cfvo type="min"/>
        <cfvo type="percentile" val="50"/>
        <cfvo type="max"/>
        <color rgb="FFF8696B"/>
        <color rgb="FFFFEB84"/>
        <color rgb="FF63BE7B"/>
      </colorScale>
    </cfRule>
  </conditionalFormatting>
  <conditionalFormatting sqref="L843:L845">
    <cfRule type="colorScale" priority="2945">
      <colorScale>
        <cfvo type="min"/>
        <cfvo type="percentile" val="50"/>
        <cfvo type="max"/>
        <color rgb="FFF8696B"/>
        <color rgb="FFFFEB84"/>
        <color rgb="FF63BE7B"/>
      </colorScale>
    </cfRule>
  </conditionalFormatting>
  <conditionalFormatting sqref="L846">
    <cfRule type="colorScale" priority="2927">
      <colorScale>
        <cfvo type="min"/>
        <cfvo type="percentile" val="50"/>
        <cfvo type="max"/>
        <color rgb="FFF8696B"/>
        <color rgb="FFFFEB84"/>
        <color rgb="FF63BE7B"/>
      </colorScale>
    </cfRule>
  </conditionalFormatting>
  <conditionalFormatting sqref="L847:L849">
    <cfRule type="colorScale" priority="2926">
      <colorScale>
        <cfvo type="min"/>
        <cfvo type="percentile" val="50"/>
        <cfvo type="max"/>
        <color rgb="FFF8696B"/>
        <color rgb="FFFFEB84"/>
        <color rgb="FF63BE7B"/>
      </colorScale>
    </cfRule>
  </conditionalFormatting>
  <conditionalFormatting sqref="L994:S994">
    <cfRule type="colorScale" priority="122706">
      <colorScale>
        <cfvo type="min"/>
        <cfvo type="percentile" val="50"/>
        <cfvo type="max"/>
        <color rgb="FFF8696B"/>
        <color rgb="FFFFEB84"/>
        <color rgb="FF63BE7B"/>
      </colorScale>
    </cfRule>
  </conditionalFormatting>
  <conditionalFormatting sqref="M31:P32">
    <cfRule type="colorScale" priority="17434">
      <colorScale>
        <cfvo type="min"/>
        <cfvo type="percentile" val="50"/>
        <cfvo type="max"/>
        <color rgb="FFF8696B"/>
        <color rgb="FFFFEB84"/>
        <color rgb="FF63BE7B"/>
      </colorScale>
    </cfRule>
  </conditionalFormatting>
  <conditionalFormatting sqref="M33:P33">
    <cfRule type="colorScale" priority="17433">
      <colorScale>
        <cfvo type="min"/>
        <cfvo type="percentile" val="50"/>
        <cfvo type="max"/>
        <color rgb="FFF8696B"/>
        <color rgb="FFFFEB84"/>
        <color rgb="FF63BE7B"/>
      </colorScale>
    </cfRule>
  </conditionalFormatting>
  <conditionalFormatting sqref="M50:P51">
    <cfRule type="colorScale" priority="17081">
      <colorScale>
        <cfvo type="min"/>
        <cfvo type="percentile" val="50"/>
        <cfvo type="max"/>
        <color rgb="FFF8696B"/>
        <color rgb="FFFFEB84"/>
        <color rgb="FF63BE7B"/>
      </colorScale>
    </cfRule>
  </conditionalFormatting>
  <conditionalFormatting sqref="M59:P59">
    <cfRule type="colorScale" priority="16983">
      <colorScale>
        <cfvo type="min"/>
        <cfvo type="percentile" val="50"/>
        <cfvo type="max"/>
        <color rgb="FFF8696B"/>
        <color rgb="FFFFEB84"/>
        <color rgb="FF63BE7B"/>
      </colorScale>
    </cfRule>
  </conditionalFormatting>
  <conditionalFormatting sqref="M60:P60">
    <cfRule type="colorScale" priority="16958">
      <colorScale>
        <cfvo type="min"/>
        <cfvo type="percentile" val="50"/>
        <cfvo type="max"/>
        <color rgb="FFF8696B"/>
        <color rgb="FFFFEB84"/>
        <color rgb="FF63BE7B"/>
      </colorScale>
    </cfRule>
  </conditionalFormatting>
  <conditionalFormatting sqref="M62:P62">
    <cfRule type="colorScale" priority="16920">
      <colorScale>
        <cfvo type="min"/>
        <cfvo type="percentile" val="50"/>
        <cfvo type="max"/>
        <color rgb="FFF8696B"/>
        <color rgb="FFFFEB84"/>
        <color rgb="FF63BE7B"/>
      </colorScale>
    </cfRule>
  </conditionalFormatting>
  <conditionalFormatting sqref="M155:P156">
    <cfRule type="colorScale" priority="14787">
      <colorScale>
        <cfvo type="min"/>
        <cfvo type="percentile" val="50"/>
        <cfvo type="max"/>
        <color rgb="FFF8696B"/>
        <color rgb="FFFFEB84"/>
        <color rgb="FF63BE7B"/>
      </colorScale>
    </cfRule>
  </conditionalFormatting>
  <conditionalFormatting sqref="M157:P159">
    <cfRule type="colorScale" priority="14742">
      <colorScale>
        <cfvo type="min"/>
        <cfvo type="percentile" val="50"/>
        <cfvo type="max"/>
        <color rgb="FFF8696B"/>
        <color rgb="FFFFEB84"/>
        <color rgb="FF63BE7B"/>
      </colorScale>
    </cfRule>
  </conditionalFormatting>
  <conditionalFormatting sqref="M162:P162">
    <cfRule type="colorScale" priority="14600">
      <colorScale>
        <cfvo type="min"/>
        <cfvo type="percentile" val="50"/>
        <cfvo type="max"/>
        <color rgb="FFF8696B"/>
        <color rgb="FFFFEB84"/>
        <color rgb="FF63BE7B"/>
      </colorScale>
    </cfRule>
  </conditionalFormatting>
  <conditionalFormatting sqref="M167:P172">
    <cfRule type="colorScale" priority="14403">
      <colorScale>
        <cfvo type="min"/>
        <cfvo type="percentile" val="50"/>
        <cfvo type="max"/>
        <color rgb="FFF8696B"/>
        <color rgb="FFFFEB84"/>
        <color rgb="FF63BE7B"/>
      </colorScale>
    </cfRule>
  </conditionalFormatting>
  <conditionalFormatting sqref="M174:P180">
    <cfRule type="colorScale" priority="14279">
      <colorScale>
        <cfvo type="min"/>
        <cfvo type="percentile" val="50"/>
        <cfvo type="max"/>
        <color rgb="FFF8696B"/>
        <color rgb="FFFFEB84"/>
        <color rgb="FF63BE7B"/>
      </colorScale>
    </cfRule>
  </conditionalFormatting>
  <conditionalFormatting sqref="M181:P181">
    <cfRule type="colorScale" priority="14253">
      <colorScale>
        <cfvo type="min"/>
        <cfvo type="percentile" val="50"/>
        <cfvo type="max"/>
        <color rgb="FFF8696B"/>
        <color rgb="FFFFEB84"/>
        <color rgb="FF63BE7B"/>
      </colorScale>
    </cfRule>
  </conditionalFormatting>
  <conditionalFormatting sqref="M236:P239">
    <cfRule type="colorScale" priority="13465">
      <colorScale>
        <cfvo type="min"/>
        <cfvo type="percentile" val="50"/>
        <cfvo type="max"/>
        <color rgb="FFF8696B"/>
        <color rgb="FFFFEB84"/>
        <color rgb="FF63BE7B"/>
      </colorScale>
    </cfRule>
  </conditionalFormatting>
  <conditionalFormatting sqref="M246:P247">
    <cfRule type="colorScale" priority="13313">
      <colorScale>
        <cfvo type="min"/>
        <cfvo type="percentile" val="50"/>
        <cfvo type="max"/>
        <color rgb="FFF8696B"/>
        <color rgb="FFFFEB84"/>
        <color rgb="FF63BE7B"/>
      </colorScale>
    </cfRule>
  </conditionalFormatting>
  <conditionalFormatting sqref="M248:P248">
    <cfRule type="colorScale" priority="13248">
      <colorScale>
        <cfvo type="min"/>
        <cfvo type="percentile" val="50"/>
        <cfvo type="max"/>
        <color rgb="FFF8696B"/>
        <color rgb="FFFFEB84"/>
        <color rgb="FF63BE7B"/>
      </colorScale>
    </cfRule>
  </conditionalFormatting>
  <conditionalFormatting sqref="M249:P249">
    <cfRule type="colorScale" priority="13249">
      <colorScale>
        <cfvo type="min"/>
        <cfvo type="percentile" val="50"/>
        <cfvo type="max"/>
        <color rgb="FFF8696B"/>
        <color rgb="FFFFEB84"/>
        <color rgb="FF63BE7B"/>
      </colorScale>
    </cfRule>
  </conditionalFormatting>
  <conditionalFormatting sqref="M250:P250">
    <cfRule type="colorScale" priority="191861">
      <colorScale>
        <cfvo type="min"/>
        <cfvo type="percentile" val="50"/>
        <cfvo type="max"/>
        <color rgb="FFF8696B"/>
        <color rgb="FFFFEB84"/>
        <color rgb="FF63BE7B"/>
      </colorScale>
    </cfRule>
  </conditionalFormatting>
  <conditionalFormatting sqref="M251:P257">
    <cfRule type="colorScale" priority="191877">
      <colorScale>
        <cfvo type="min"/>
        <cfvo type="percentile" val="50"/>
        <cfvo type="max"/>
        <color rgb="FFF8696B"/>
        <color rgb="FFFFEB84"/>
        <color rgb="FF63BE7B"/>
      </colorScale>
    </cfRule>
  </conditionalFormatting>
  <conditionalFormatting sqref="M264:P264">
    <cfRule type="colorScale" priority="12752">
      <colorScale>
        <cfvo type="min"/>
        <cfvo type="percentile" val="50"/>
        <cfvo type="max"/>
        <color rgb="FFF8696B"/>
        <color rgb="FFFFEB84"/>
        <color rgb="FF63BE7B"/>
      </colorScale>
    </cfRule>
  </conditionalFormatting>
  <conditionalFormatting sqref="M265:P265">
    <cfRule type="colorScale" priority="12710">
      <colorScale>
        <cfvo type="min"/>
        <cfvo type="percentile" val="50"/>
        <cfvo type="max"/>
        <color rgb="FFF8696B"/>
        <color rgb="FFFFEB84"/>
        <color rgb="FF63BE7B"/>
      </colorScale>
    </cfRule>
  </conditionalFormatting>
  <conditionalFormatting sqref="M275:P279">
    <cfRule type="colorScale" priority="12840">
      <colorScale>
        <cfvo type="min"/>
        <cfvo type="percentile" val="50"/>
        <cfvo type="max"/>
        <color rgb="FFF8696B"/>
        <color rgb="FFFFEB84"/>
        <color rgb="FF63BE7B"/>
      </colorScale>
    </cfRule>
  </conditionalFormatting>
  <conditionalFormatting sqref="M296:P297">
    <cfRule type="colorScale" priority="12506">
      <colorScale>
        <cfvo type="min"/>
        <cfvo type="percentile" val="50"/>
        <cfvo type="max"/>
        <color rgb="FFF8696B"/>
        <color rgb="FFFFEB84"/>
        <color rgb="FF63BE7B"/>
      </colorScale>
    </cfRule>
  </conditionalFormatting>
  <conditionalFormatting sqref="M316:P316">
    <cfRule type="colorScale" priority="12146">
      <colorScale>
        <cfvo type="min"/>
        <cfvo type="percentile" val="50"/>
        <cfvo type="max"/>
        <color rgb="FFF8696B"/>
        <color rgb="FFFFEB84"/>
        <color rgb="FF63BE7B"/>
      </colorScale>
    </cfRule>
  </conditionalFormatting>
  <conditionalFormatting sqref="M328:P330 M332:P352">
    <cfRule type="colorScale" priority="11908">
      <colorScale>
        <cfvo type="min"/>
        <cfvo type="percentile" val="50"/>
        <cfvo type="max"/>
        <color rgb="FFF8696B"/>
        <color rgb="FFFFEB84"/>
        <color rgb="FF63BE7B"/>
      </colorScale>
    </cfRule>
  </conditionalFormatting>
  <conditionalFormatting sqref="M331:P331">
    <cfRule type="colorScale" priority="11190">
      <colorScale>
        <cfvo type="min"/>
        <cfvo type="percentile" val="50"/>
        <cfvo type="max"/>
        <color rgb="FFF8696B"/>
        <color rgb="FFFFEB84"/>
        <color rgb="FF63BE7B"/>
      </colorScale>
    </cfRule>
  </conditionalFormatting>
  <conditionalFormatting sqref="M364:P369">
    <cfRule type="colorScale" priority="11310">
      <colorScale>
        <cfvo type="min"/>
        <cfvo type="percentile" val="50"/>
        <cfvo type="max"/>
        <color rgb="FFF8696B"/>
        <color rgb="FFFFEB84"/>
        <color rgb="FF63BE7B"/>
      </colorScale>
    </cfRule>
  </conditionalFormatting>
  <conditionalFormatting sqref="M370:P370">
    <cfRule type="colorScale" priority="192439">
      <colorScale>
        <cfvo type="min"/>
        <cfvo type="percentile" val="50"/>
        <cfvo type="max"/>
        <color rgb="FFF8696B"/>
        <color rgb="FFFFEB84"/>
        <color rgb="FF63BE7B"/>
      </colorScale>
    </cfRule>
  </conditionalFormatting>
  <conditionalFormatting sqref="M373:P373">
    <cfRule type="colorScale" priority="11217">
      <colorScale>
        <cfvo type="min"/>
        <cfvo type="percentile" val="50"/>
        <cfvo type="max"/>
        <color rgb="FFF8696B"/>
        <color rgb="FFFFEB84"/>
        <color rgb="FF63BE7B"/>
      </colorScale>
    </cfRule>
  </conditionalFormatting>
  <conditionalFormatting sqref="M401:P401">
    <cfRule type="colorScale" priority="10646">
      <colorScale>
        <cfvo type="min"/>
        <cfvo type="percentile" val="50"/>
        <cfvo type="max"/>
        <color rgb="FFF8696B"/>
        <color rgb="FFFFEB84"/>
        <color rgb="FF63BE7B"/>
      </colorScale>
    </cfRule>
  </conditionalFormatting>
  <conditionalFormatting sqref="M402:P404 M396:P400">
    <cfRule type="colorScale" priority="192750">
      <colorScale>
        <cfvo type="min"/>
        <cfvo type="percentile" val="50"/>
        <cfvo type="max"/>
        <color rgb="FFF8696B"/>
        <color rgb="FFFFEB84"/>
        <color rgb="FF63BE7B"/>
      </colorScale>
    </cfRule>
  </conditionalFormatting>
  <conditionalFormatting sqref="M435:P438">
    <cfRule type="colorScale" priority="10226">
      <colorScale>
        <cfvo type="min"/>
        <cfvo type="percentile" val="50"/>
        <cfvo type="max"/>
        <color rgb="FFF8696B"/>
        <color rgb="FFFFEB84"/>
        <color rgb="FF63BE7B"/>
      </colorScale>
    </cfRule>
  </conditionalFormatting>
  <conditionalFormatting sqref="M465:P470">
    <cfRule type="colorScale" priority="9586">
      <colorScale>
        <cfvo type="min"/>
        <cfvo type="percentile" val="50"/>
        <cfvo type="max"/>
        <color rgb="FFF8696B"/>
        <color rgb="FFFFEB84"/>
        <color rgb="FF63BE7B"/>
      </colorScale>
    </cfRule>
  </conditionalFormatting>
  <conditionalFormatting sqref="M471:P471">
    <cfRule type="colorScale" priority="9585">
      <colorScale>
        <cfvo type="min"/>
        <cfvo type="percentile" val="50"/>
        <cfvo type="max"/>
        <color rgb="FFF8696B"/>
        <color rgb="FFFFEB84"/>
        <color rgb="FF63BE7B"/>
      </colorScale>
    </cfRule>
  </conditionalFormatting>
  <conditionalFormatting sqref="M472:P473 M460:P464 M475:P475">
    <cfRule type="colorScale" priority="9583">
      <colorScale>
        <cfvo type="min"/>
        <cfvo type="percentile" val="50"/>
        <cfvo type="max"/>
        <color rgb="FFF8696B"/>
        <color rgb="FFFFEB84"/>
        <color rgb="FF63BE7B"/>
      </colorScale>
    </cfRule>
  </conditionalFormatting>
  <conditionalFormatting sqref="M474:P474">
    <cfRule type="colorScale" priority="9584">
      <colorScale>
        <cfvo type="min"/>
        <cfvo type="percentile" val="50"/>
        <cfvo type="max"/>
        <color rgb="FFF8696B"/>
        <color rgb="FFFFEB84"/>
        <color rgb="FF63BE7B"/>
      </colorScale>
    </cfRule>
  </conditionalFormatting>
  <conditionalFormatting sqref="M492:P493">
    <cfRule type="colorScale" priority="9218">
      <colorScale>
        <cfvo type="min"/>
        <cfvo type="percentile" val="50"/>
        <cfvo type="max"/>
        <color rgb="FFF8696B"/>
        <color rgb="FFFFEB84"/>
        <color rgb="FF63BE7B"/>
      </colorScale>
    </cfRule>
  </conditionalFormatting>
  <conditionalFormatting sqref="M494:P497 M405:P434 M371:P372 M317:P327 M258:P263 M160:P161 M34:P49 M15:P30 M52:P58 M61:P61 M63:P154 M163:P166 M173:P173 M182:P235 M240:P245 M280:P295 M266:P274 M298:P315 M353:P363 M374:P395 M439:P459 M476:P491 M502:P512 M514:P525 M533:P537 M546:P547 M554:P598 M606:P630">
    <cfRule type="colorScale" priority="193127">
      <colorScale>
        <cfvo type="min"/>
        <cfvo type="percentile" val="50"/>
        <cfvo type="max"/>
        <color rgb="FFF8696B"/>
        <color rgb="FFFFEB84"/>
        <color rgb="FF63BE7B"/>
      </colorScale>
    </cfRule>
  </conditionalFormatting>
  <conditionalFormatting sqref="M498:P501">
    <cfRule type="colorScale" priority="9113">
      <colorScale>
        <cfvo type="min"/>
        <cfvo type="percentile" val="50"/>
        <cfvo type="max"/>
        <color rgb="FFF8696B"/>
        <color rgb="FFFFEB84"/>
        <color rgb="FF63BE7B"/>
      </colorScale>
    </cfRule>
  </conditionalFormatting>
  <conditionalFormatting sqref="M513:P513">
    <cfRule type="colorScale" priority="8917">
      <colorScale>
        <cfvo type="min"/>
        <cfvo type="percentile" val="50"/>
        <cfvo type="max"/>
        <color rgb="FFF8696B"/>
        <color rgb="FFFFEB84"/>
        <color rgb="FF63BE7B"/>
      </colorScale>
    </cfRule>
  </conditionalFormatting>
  <conditionalFormatting sqref="M526:P530">
    <cfRule type="colorScale" priority="8644">
      <colorScale>
        <cfvo type="min"/>
        <cfvo type="percentile" val="50"/>
        <cfvo type="max"/>
        <color rgb="FFF8696B"/>
        <color rgb="FFFFEB84"/>
        <color rgb="FF63BE7B"/>
      </colorScale>
    </cfRule>
  </conditionalFormatting>
  <conditionalFormatting sqref="M531:P532">
    <cfRule type="colorScale" priority="8645">
      <colorScale>
        <cfvo type="min"/>
        <cfvo type="percentile" val="50"/>
        <cfvo type="max"/>
        <color rgb="FFF8696B"/>
        <color rgb="FFFFEB84"/>
        <color rgb="FF63BE7B"/>
      </colorScale>
    </cfRule>
  </conditionalFormatting>
  <conditionalFormatting sqref="M538:P541">
    <cfRule type="colorScale" priority="8494">
      <colorScale>
        <cfvo type="min"/>
        <cfvo type="percentile" val="50"/>
        <cfvo type="max"/>
        <color rgb="FFF8696B"/>
        <color rgb="FFFFEB84"/>
        <color rgb="FF63BE7B"/>
      </colorScale>
    </cfRule>
  </conditionalFormatting>
  <conditionalFormatting sqref="M542:P543 M545:P545">
    <cfRule type="colorScale" priority="8438">
      <colorScale>
        <cfvo type="min"/>
        <cfvo type="percentile" val="50"/>
        <cfvo type="max"/>
        <color rgb="FFF8696B"/>
        <color rgb="FFFFEB84"/>
        <color rgb="FF63BE7B"/>
      </colorScale>
    </cfRule>
  </conditionalFormatting>
  <conditionalFormatting sqref="M544:P544">
    <cfRule type="colorScale" priority="8439">
      <colorScale>
        <cfvo type="min"/>
        <cfvo type="percentile" val="50"/>
        <cfvo type="max"/>
        <color rgb="FFF8696B"/>
        <color rgb="FFFFEB84"/>
        <color rgb="FF63BE7B"/>
      </colorScale>
    </cfRule>
  </conditionalFormatting>
  <conditionalFormatting sqref="M548:P550">
    <cfRule type="colorScale" priority="8299">
      <colorScale>
        <cfvo type="min"/>
        <cfvo type="percentile" val="50"/>
        <cfvo type="max"/>
        <color rgb="FFF8696B"/>
        <color rgb="FFFFEB84"/>
        <color rgb="FF63BE7B"/>
      </colorScale>
    </cfRule>
  </conditionalFormatting>
  <conditionalFormatting sqref="M551:P553">
    <cfRule type="colorScale" priority="8300">
      <colorScale>
        <cfvo type="min"/>
        <cfvo type="percentile" val="50"/>
        <cfvo type="max"/>
        <color rgb="FFF8696B"/>
        <color rgb="FFFFEB84"/>
        <color rgb="FF63BE7B"/>
      </colorScale>
    </cfRule>
  </conditionalFormatting>
  <conditionalFormatting sqref="M599:P605">
    <cfRule type="colorScale" priority="7525">
      <colorScale>
        <cfvo type="min"/>
        <cfvo type="percentile" val="50"/>
        <cfvo type="max"/>
        <color rgb="FFF8696B"/>
        <color rgb="FFFFEB84"/>
        <color rgb="FF63BE7B"/>
      </colorScale>
    </cfRule>
  </conditionalFormatting>
  <conditionalFormatting sqref="M640:P641">
    <cfRule type="colorScale" priority="6974">
      <colorScale>
        <cfvo type="min"/>
        <cfvo type="percentile" val="50"/>
        <cfvo type="max"/>
        <color rgb="FFF8696B"/>
        <color rgb="FFFFEB84"/>
        <color rgb="FF63BE7B"/>
      </colorScale>
    </cfRule>
  </conditionalFormatting>
  <conditionalFormatting sqref="M644:P654">
    <cfRule type="colorScale" priority="193267">
      <colorScale>
        <cfvo type="min"/>
        <cfvo type="percentile" val="50"/>
        <cfvo type="max"/>
        <color rgb="FFF8696B"/>
        <color rgb="FFFFEB84"/>
        <color rgb="FF63BE7B"/>
      </colorScale>
    </cfRule>
  </conditionalFormatting>
  <conditionalFormatting sqref="M655:P655">
    <cfRule type="colorScale" priority="6768">
      <colorScale>
        <cfvo type="min"/>
        <cfvo type="percentile" val="50"/>
        <cfvo type="max"/>
        <color rgb="FFF8696B"/>
        <color rgb="FFFFEB84"/>
        <color rgb="FF63BE7B"/>
      </colorScale>
    </cfRule>
  </conditionalFormatting>
  <conditionalFormatting sqref="M658:P674">
    <cfRule type="colorScale" priority="193300">
      <colorScale>
        <cfvo type="min"/>
        <cfvo type="percentile" val="50"/>
        <cfvo type="max"/>
        <color rgb="FFF8696B"/>
        <color rgb="FFFFEB84"/>
        <color rgb="FF63BE7B"/>
      </colorScale>
    </cfRule>
  </conditionalFormatting>
  <conditionalFormatting sqref="M675:P714 M656:P657 M631:P639 M642:P643 M720:P720 M722:P724">
    <cfRule type="colorScale" priority="7140">
      <colorScale>
        <cfvo type="min"/>
        <cfvo type="percentile" val="50"/>
        <cfvo type="max"/>
        <color rgb="FFF8696B"/>
        <color rgb="FFFFEB84"/>
        <color rgb="FF63BE7B"/>
      </colorScale>
    </cfRule>
  </conditionalFormatting>
  <conditionalFormatting sqref="M715:P715">
    <cfRule type="colorScale" priority="5614">
      <colorScale>
        <cfvo type="min"/>
        <cfvo type="percentile" val="50"/>
        <cfvo type="max"/>
        <color rgb="FFF8696B"/>
        <color rgb="FFFFEB84"/>
        <color rgb="FF63BE7B"/>
      </colorScale>
    </cfRule>
  </conditionalFormatting>
  <conditionalFormatting sqref="M716:P718">
    <cfRule type="colorScale" priority="5618">
      <colorScale>
        <cfvo type="min"/>
        <cfvo type="percentile" val="50"/>
        <cfvo type="max"/>
        <color rgb="FFF8696B"/>
        <color rgb="FFFFEB84"/>
        <color rgb="FF63BE7B"/>
      </colorScale>
    </cfRule>
  </conditionalFormatting>
  <conditionalFormatting sqref="M719:P719">
    <cfRule type="colorScale" priority="5611">
      <colorScale>
        <cfvo type="min"/>
        <cfvo type="percentile" val="50"/>
        <cfvo type="max"/>
        <color rgb="FFF8696B"/>
        <color rgb="FFFFEB84"/>
        <color rgb="FF63BE7B"/>
      </colorScale>
    </cfRule>
  </conditionalFormatting>
  <conditionalFormatting sqref="M721:P721">
    <cfRule type="colorScale" priority="5585">
      <colorScale>
        <cfvo type="min"/>
        <cfvo type="percentile" val="50"/>
        <cfvo type="max"/>
        <color rgb="FFF8696B"/>
        <color rgb="FFFFEB84"/>
        <color rgb="FF63BE7B"/>
      </colorScale>
    </cfRule>
  </conditionalFormatting>
  <conditionalFormatting sqref="M725:P725">
    <cfRule type="colorScale" priority="5466">
      <colorScale>
        <cfvo type="min"/>
        <cfvo type="percentile" val="50"/>
        <cfvo type="max"/>
        <color rgb="FFF8696B"/>
        <color rgb="FFFFEB84"/>
        <color rgb="FF63BE7B"/>
      </colorScale>
    </cfRule>
  </conditionalFormatting>
  <conditionalFormatting sqref="M726:P726">
    <cfRule type="colorScale" priority="5469">
      <colorScale>
        <cfvo type="min"/>
        <cfvo type="percentile" val="50"/>
        <cfvo type="max"/>
        <color rgb="FFF8696B"/>
        <color rgb="FFFFEB84"/>
        <color rgb="FF63BE7B"/>
      </colorScale>
    </cfRule>
  </conditionalFormatting>
  <conditionalFormatting sqref="M730:P731">
    <cfRule type="colorScale" priority="5334">
      <colorScale>
        <cfvo type="min"/>
        <cfvo type="percentile" val="50"/>
        <cfvo type="max"/>
        <color rgb="FFF8696B"/>
        <color rgb="FFFFEB84"/>
        <color rgb="FF63BE7B"/>
      </colorScale>
    </cfRule>
  </conditionalFormatting>
  <conditionalFormatting sqref="M739:P740">
    <cfRule type="colorScale" priority="5137">
      <colorScale>
        <cfvo type="min"/>
        <cfvo type="percentile" val="50"/>
        <cfvo type="max"/>
        <color rgb="FFF8696B"/>
        <color rgb="FFFFEB84"/>
        <color rgb="FF63BE7B"/>
      </colorScale>
    </cfRule>
  </conditionalFormatting>
  <conditionalFormatting sqref="M762:P763">
    <cfRule type="colorScale" priority="4653">
      <colorScale>
        <cfvo type="min"/>
        <cfvo type="percentile" val="50"/>
        <cfvo type="max"/>
        <color rgb="FFF8696B"/>
        <color rgb="FFFFEB84"/>
        <color rgb="FF63BE7B"/>
      </colorScale>
    </cfRule>
  </conditionalFormatting>
  <conditionalFormatting sqref="M764:P784 M732:P738 M741:P761">
    <cfRule type="colorScale" priority="193704">
      <colorScale>
        <cfvo type="min"/>
        <cfvo type="percentile" val="50"/>
        <cfvo type="max"/>
        <color rgb="FFF8696B"/>
        <color rgb="FFFFEB84"/>
        <color rgb="FF63BE7B"/>
      </colorScale>
    </cfRule>
  </conditionalFormatting>
  <conditionalFormatting sqref="M786:P787">
    <cfRule type="colorScale" priority="4234">
      <colorScale>
        <cfvo type="min"/>
        <cfvo type="percentile" val="50"/>
        <cfvo type="max"/>
        <color rgb="FFF8696B"/>
        <color rgb="FFFFEB84"/>
        <color rgb="FF63BE7B"/>
      </colorScale>
    </cfRule>
  </conditionalFormatting>
  <conditionalFormatting sqref="M799:P800">
    <cfRule type="colorScale" priority="3937">
      <colorScale>
        <cfvo type="min"/>
        <cfvo type="percentile" val="50"/>
        <cfvo type="max"/>
        <color rgb="FFF8696B"/>
        <color rgb="FFFFEB84"/>
        <color rgb="FF63BE7B"/>
      </colorScale>
    </cfRule>
  </conditionalFormatting>
  <conditionalFormatting sqref="M801:P802">
    <cfRule type="colorScale" priority="3936">
      <colorScale>
        <cfvo type="min"/>
        <cfvo type="percentile" val="50"/>
        <cfvo type="max"/>
        <color rgb="FFF8696B"/>
        <color rgb="FFFFEB84"/>
        <color rgb="FF63BE7B"/>
      </colorScale>
    </cfRule>
  </conditionalFormatting>
  <conditionalFormatting sqref="M803:P803">
    <cfRule type="colorScale" priority="3935">
      <colorScale>
        <cfvo type="min"/>
        <cfvo type="percentile" val="50"/>
        <cfvo type="max"/>
        <color rgb="FFF8696B"/>
        <color rgb="FFFFEB84"/>
        <color rgb="FF63BE7B"/>
      </colorScale>
    </cfRule>
  </conditionalFormatting>
  <conditionalFormatting sqref="M804:P804">
    <cfRule type="colorScale" priority="3881">
      <colorScale>
        <cfvo type="min"/>
        <cfvo type="percentile" val="50"/>
        <cfvo type="max"/>
        <color rgb="FFF8696B"/>
        <color rgb="FFFFEB84"/>
        <color rgb="FF63BE7B"/>
      </colorScale>
    </cfRule>
  </conditionalFormatting>
  <conditionalFormatting sqref="M805:P805">
    <cfRule type="colorScale" priority="3877">
      <colorScale>
        <cfvo type="min"/>
        <cfvo type="percentile" val="50"/>
        <cfvo type="max"/>
        <color rgb="FFF8696B"/>
        <color rgb="FFFFEB84"/>
        <color rgb="FF63BE7B"/>
      </colorScale>
    </cfRule>
  </conditionalFormatting>
  <conditionalFormatting sqref="M809:P809">
    <cfRule type="colorScale" priority="3755">
      <colorScale>
        <cfvo type="min"/>
        <cfvo type="percentile" val="50"/>
        <cfvo type="max"/>
        <color rgb="FFF8696B"/>
        <color rgb="FFFFEB84"/>
        <color rgb="FF63BE7B"/>
      </colorScale>
    </cfRule>
  </conditionalFormatting>
  <conditionalFormatting sqref="M810:P812">
    <cfRule type="colorScale" priority="3759">
      <colorScale>
        <cfvo type="min"/>
        <cfvo type="percentile" val="50"/>
        <cfvo type="max"/>
        <color rgb="FFF8696B"/>
        <color rgb="FFFFEB84"/>
        <color rgb="FF63BE7B"/>
      </colorScale>
    </cfRule>
  </conditionalFormatting>
  <conditionalFormatting sqref="M813:P813 M806:P808">
    <cfRule type="colorScale" priority="3843">
      <colorScale>
        <cfvo type="min"/>
        <cfvo type="percentile" val="50"/>
        <cfvo type="max"/>
        <color rgb="FFF8696B"/>
        <color rgb="FFFFEB84"/>
        <color rgb="FF63BE7B"/>
      </colorScale>
    </cfRule>
  </conditionalFormatting>
  <conditionalFormatting sqref="P9">
    <cfRule type="colorScale" priority="84488">
      <colorScale>
        <cfvo type="min"/>
        <cfvo type="percentile" val="50"/>
        <cfvo type="max"/>
        <color rgb="FFF8696B"/>
        <color rgb="FFFFEB84"/>
        <color rgb="FF63BE7B"/>
      </colorScale>
    </cfRule>
  </conditionalFormatting>
  <conditionalFormatting sqref="Q31:Q32">
    <cfRule type="colorScale" priority="17432">
      <colorScale>
        <cfvo type="min"/>
        <cfvo type="percentile" val="50"/>
        <cfvo type="max"/>
        <color rgb="FFF8696B"/>
        <color rgb="FFFFEB84"/>
        <color rgb="FF63BE7B"/>
      </colorScale>
    </cfRule>
  </conditionalFormatting>
  <conditionalFormatting sqref="Q33">
    <cfRule type="colorScale" priority="17431">
      <colorScale>
        <cfvo type="min"/>
        <cfvo type="percentile" val="50"/>
        <cfvo type="max"/>
        <color rgb="FFF8696B"/>
        <color rgb="FFFFEB84"/>
        <color rgb="FF63BE7B"/>
      </colorScale>
    </cfRule>
  </conditionalFormatting>
  <conditionalFormatting sqref="Q50:Q51">
    <cfRule type="colorScale" priority="17080">
      <colorScale>
        <cfvo type="min"/>
        <cfvo type="percentile" val="50"/>
        <cfvo type="max"/>
        <color rgb="FFF8696B"/>
        <color rgb="FFFFEB84"/>
        <color rgb="FF63BE7B"/>
      </colorScale>
    </cfRule>
  </conditionalFormatting>
  <conditionalFormatting sqref="Q59">
    <cfRule type="colorScale" priority="16984">
      <colorScale>
        <cfvo type="min"/>
        <cfvo type="percentile" val="50"/>
        <cfvo type="max"/>
        <color rgb="FFF8696B"/>
        <color rgb="FFFFEB84"/>
        <color rgb="FF63BE7B"/>
      </colorScale>
    </cfRule>
  </conditionalFormatting>
  <conditionalFormatting sqref="Q60">
    <cfRule type="colorScale" priority="16957">
      <colorScale>
        <cfvo type="min"/>
        <cfvo type="percentile" val="50"/>
        <cfvo type="max"/>
        <color rgb="FFF8696B"/>
        <color rgb="FFFFEB84"/>
        <color rgb="FF63BE7B"/>
      </colorScale>
    </cfRule>
  </conditionalFormatting>
  <conditionalFormatting sqref="Q62">
    <cfRule type="colorScale" priority="16919">
      <colorScale>
        <cfvo type="min"/>
        <cfvo type="percentile" val="50"/>
        <cfvo type="max"/>
        <color rgb="FFF8696B"/>
        <color rgb="FFFFEB84"/>
        <color rgb="FF63BE7B"/>
      </colorScale>
    </cfRule>
  </conditionalFormatting>
  <conditionalFormatting sqref="Q107:Q113">
    <cfRule type="colorScale" priority="15777">
      <colorScale>
        <cfvo type="min"/>
        <cfvo type="percentile" val="50"/>
        <cfvo type="max"/>
        <color rgb="FFF8696B"/>
        <color rgb="FFFFEB84"/>
        <color rgb="FF63BE7B"/>
      </colorScale>
    </cfRule>
  </conditionalFormatting>
  <conditionalFormatting sqref="Q155:Q156">
    <cfRule type="colorScale" priority="14786">
      <colorScale>
        <cfvo type="min"/>
        <cfvo type="percentile" val="50"/>
        <cfvo type="max"/>
        <color rgb="FFF8696B"/>
        <color rgb="FFFFEB84"/>
        <color rgb="FF63BE7B"/>
      </colorScale>
    </cfRule>
  </conditionalFormatting>
  <conditionalFormatting sqref="Q157:Q159">
    <cfRule type="colorScale" priority="14741">
      <colorScale>
        <cfvo type="min"/>
        <cfvo type="percentile" val="50"/>
        <cfvo type="max"/>
        <color rgb="FFF8696B"/>
        <color rgb="FFFFEB84"/>
        <color rgb="FF63BE7B"/>
      </colorScale>
    </cfRule>
  </conditionalFormatting>
  <conditionalFormatting sqref="Q162">
    <cfRule type="colorScale" priority="14599">
      <colorScale>
        <cfvo type="min"/>
        <cfvo type="percentile" val="50"/>
        <cfvo type="max"/>
        <color rgb="FFF8696B"/>
        <color rgb="FFFFEB84"/>
        <color rgb="FF63BE7B"/>
      </colorScale>
    </cfRule>
  </conditionalFormatting>
  <conditionalFormatting sqref="Q167:Q172">
    <cfRule type="colorScale" priority="14402">
      <colorScale>
        <cfvo type="min"/>
        <cfvo type="percentile" val="50"/>
        <cfvo type="max"/>
        <color rgb="FFF8696B"/>
        <color rgb="FFFFEB84"/>
        <color rgb="FF63BE7B"/>
      </colorScale>
    </cfRule>
  </conditionalFormatting>
  <conditionalFormatting sqref="Q174:Q180">
    <cfRule type="colorScale" priority="14278">
      <colorScale>
        <cfvo type="min"/>
        <cfvo type="percentile" val="50"/>
        <cfvo type="max"/>
        <color rgb="FFF8696B"/>
        <color rgb="FFFFEB84"/>
        <color rgb="FF63BE7B"/>
      </colorScale>
    </cfRule>
  </conditionalFormatting>
  <conditionalFormatting sqref="Q181">
    <cfRule type="colorScale" priority="14252">
      <colorScale>
        <cfvo type="min"/>
        <cfvo type="percentile" val="50"/>
        <cfvo type="max"/>
        <color rgb="FFF8696B"/>
        <color rgb="FFFFEB84"/>
        <color rgb="FF63BE7B"/>
      </colorScale>
    </cfRule>
  </conditionalFormatting>
  <conditionalFormatting sqref="Q236:Q239">
    <cfRule type="colorScale" priority="13464">
      <colorScale>
        <cfvo type="min"/>
        <cfvo type="percentile" val="50"/>
        <cfvo type="max"/>
        <color rgb="FFF8696B"/>
        <color rgb="FFFFEB84"/>
        <color rgb="FF63BE7B"/>
      </colorScale>
    </cfRule>
  </conditionalFormatting>
  <conditionalFormatting sqref="Q246:Q247">
    <cfRule type="colorScale" priority="13312">
      <colorScale>
        <cfvo type="min"/>
        <cfvo type="percentile" val="50"/>
        <cfvo type="max"/>
        <color rgb="FFF8696B"/>
        <color rgb="FFFFEB84"/>
        <color rgb="FF63BE7B"/>
      </colorScale>
    </cfRule>
  </conditionalFormatting>
  <conditionalFormatting sqref="Q248">
    <cfRule type="colorScale" priority="13246">
      <colorScale>
        <cfvo type="min"/>
        <cfvo type="percentile" val="50"/>
        <cfvo type="max"/>
        <color rgb="FFF8696B"/>
        <color rgb="FFFFEB84"/>
        <color rgb="FF63BE7B"/>
      </colorScale>
    </cfRule>
  </conditionalFormatting>
  <conditionalFormatting sqref="Q249">
    <cfRule type="colorScale" priority="13247">
      <colorScale>
        <cfvo type="min"/>
        <cfvo type="percentile" val="50"/>
        <cfvo type="max"/>
        <color rgb="FFF8696B"/>
        <color rgb="FFFFEB84"/>
        <color rgb="FF63BE7B"/>
      </colorScale>
    </cfRule>
  </conditionalFormatting>
  <conditionalFormatting sqref="Q250">
    <cfRule type="colorScale" priority="191862">
      <colorScale>
        <cfvo type="min"/>
        <cfvo type="percentile" val="50"/>
        <cfvo type="max"/>
        <color rgb="FFF8696B"/>
        <color rgb="FFFFEB84"/>
        <color rgb="FF63BE7B"/>
      </colorScale>
    </cfRule>
  </conditionalFormatting>
  <conditionalFormatting sqref="Q251:Q257">
    <cfRule type="colorScale" priority="191878">
      <colorScale>
        <cfvo type="min"/>
        <cfvo type="percentile" val="50"/>
        <cfvo type="max"/>
        <color rgb="FFF8696B"/>
        <color rgb="FFFFEB84"/>
        <color rgb="FF63BE7B"/>
      </colorScale>
    </cfRule>
  </conditionalFormatting>
  <conditionalFormatting sqref="Q264">
    <cfRule type="colorScale" priority="12751">
      <colorScale>
        <cfvo type="min"/>
        <cfvo type="percentile" val="50"/>
        <cfvo type="max"/>
        <color rgb="FFF8696B"/>
        <color rgb="FFFFEB84"/>
        <color rgb="FF63BE7B"/>
      </colorScale>
    </cfRule>
  </conditionalFormatting>
  <conditionalFormatting sqref="Q265">
    <cfRule type="colorScale" priority="12709">
      <colorScale>
        <cfvo type="min"/>
        <cfvo type="percentile" val="50"/>
        <cfvo type="max"/>
        <color rgb="FFF8696B"/>
        <color rgb="FFFFEB84"/>
        <color rgb="FF63BE7B"/>
      </colorScale>
    </cfRule>
  </conditionalFormatting>
  <conditionalFormatting sqref="Q275:Q279">
    <cfRule type="colorScale" priority="12839">
      <colorScale>
        <cfvo type="min"/>
        <cfvo type="percentile" val="50"/>
        <cfvo type="max"/>
        <color rgb="FFF8696B"/>
        <color rgb="FFFFEB84"/>
        <color rgb="FF63BE7B"/>
      </colorScale>
    </cfRule>
  </conditionalFormatting>
  <conditionalFormatting sqref="Q296:Q297">
    <cfRule type="colorScale" priority="12505">
      <colorScale>
        <cfvo type="min"/>
        <cfvo type="percentile" val="50"/>
        <cfvo type="max"/>
        <color rgb="FFF8696B"/>
        <color rgb="FFFFEB84"/>
        <color rgb="FF63BE7B"/>
      </colorScale>
    </cfRule>
  </conditionalFormatting>
  <conditionalFormatting sqref="Q316">
    <cfRule type="colorScale" priority="12145">
      <colorScale>
        <cfvo type="min"/>
        <cfvo type="percentile" val="50"/>
        <cfvo type="max"/>
        <color rgb="FFF8696B"/>
        <color rgb="FFFFEB84"/>
        <color rgb="FF63BE7B"/>
      </colorScale>
    </cfRule>
  </conditionalFormatting>
  <conditionalFormatting sqref="Q328:Q330 Q332:Q352">
    <cfRule type="colorScale" priority="11907">
      <colorScale>
        <cfvo type="min"/>
        <cfvo type="percentile" val="50"/>
        <cfvo type="max"/>
        <color rgb="FFF8696B"/>
        <color rgb="FFFFEB84"/>
        <color rgb="FF63BE7B"/>
      </colorScale>
    </cfRule>
  </conditionalFormatting>
  <conditionalFormatting sqref="Q331">
    <cfRule type="colorScale" priority="11189">
      <colorScale>
        <cfvo type="min"/>
        <cfvo type="percentile" val="50"/>
        <cfvo type="max"/>
        <color rgb="FFF8696B"/>
        <color rgb="FFFFEB84"/>
        <color rgb="FF63BE7B"/>
      </colorScale>
    </cfRule>
  </conditionalFormatting>
  <conditionalFormatting sqref="Q364:Q369">
    <cfRule type="colorScale" priority="11308">
      <colorScale>
        <cfvo type="min"/>
        <cfvo type="percentile" val="50"/>
        <cfvo type="max"/>
        <color rgb="FFF8696B"/>
        <color rgb="FFFFEB84"/>
        <color rgb="FF63BE7B"/>
      </colorScale>
    </cfRule>
  </conditionalFormatting>
  <conditionalFormatting sqref="Q370">
    <cfRule type="colorScale" priority="192440">
      <colorScale>
        <cfvo type="min"/>
        <cfvo type="percentile" val="50"/>
        <cfvo type="max"/>
        <color rgb="FFF8696B"/>
        <color rgb="FFFFEB84"/>
        <color rgb="FF63BE7B"/>
      </colorScale>
    </cfRule>
  </conditionalFormatting>
  <conditionalFormatting sqref="Q373">
    <cfRule type="colorScale" priority="11216">
      <colorScale>
        <cfvo type="min"/>
        <cfvo type="percentile" val="50"/>
        <cfvo type="max"/>
        <color rgb="FFF8696B"/>
        <color rgb="FFFFEB84"/>
        <color rgb="FF63BE7B"/>
      </colorScale>
    </cfRule>
  </conditionalFormatting>
  <conditionalFormatting sqref="Q401">
    <cfRule type="colorScale" priority="10644">
      <colorScale>
        <cfvo type="min"/>
        <cfvo type="percentile" val="50"/>
        <cfvo type="max"/>
        <color rgb="FFF8696B"/>
        <color rgb="FFFFEB84"/>
        <color rgb="FF63BE7B"/>
      </colorScale>
    </cfRule>
  </conditionalFormatting>
  <conditionalFormatting sqref="Q402:Q404 Q396:Q400">
    <cfRule type="colorScale" priority="192753">
      <colorScale>
        <cfvo type="min"/>
        <cfvo type="percentile" val="50"/>
        <cfvo type="max"/>
        <color rgb="FFF8696B"/>
        <color rgb="FFFFEB84"/>
        <color rgb="FF63BE7B"/>
      </colorScale>
    </cfRule>
  </conditionalFormatting>
  <conditionalFormatting sqref="Q435:Q438">
    <cfRule type="colorScale" priority="10225">
      <colorScale>
        <cfvo type="min"/>
        <cfvo type="percentile" val="50"/>
        <cfvo type="max"/>
        <color rgb="FFF8696B"/>
        <color rgb="FFFFEB84"/>
        <color rgb="FF63BE7B"/>
      </colorScale>
    </cfRule>
  </conditionalFormatting>
  <conditionalFormatting sqref="Q465:Q470">
    <cfRule type="colorScale" priority="9582">
      <colorScale>
        <cfvo type="min"/>
        <cfvo type="percentile" val="50"/>
        <cfvo type="max"/>
        <color rgb="FFF8696B"/>
        <color rgb="FFFFEB84"/>
        <color rgb="FF63BE7B"/>
      </colorScale>
    </cfRule>
  </conditionalFormatting>
  <conditionalFormatting sqref="Q471">
    <cfRule type="colorScale" priority="9581">
      <colorScale>
        <cfvo type="min"/>
        <cfvo type="percentile" val="50"/>
        <cfvo type="max"/>
        <color rgb="FFF8696B"/>
        <color rgb="FFFFEB84"/>
        <color rgb="FF63BE7B"/>
      </colorScale>
    </cfRule>
  </conditionalFormatting>
  <conditionalFormatting sqref="Q472:Q473 Q460:Q464 Q475">
    <cfRule type="colorScale" priority="9579">
      <colorScale>
        <cfvo type="min"/>
        <cfvo type="percentile" val="50"/>
        <cfvo type="max"/>
        <color rgb="FFF8696B"/>
        <color rgb="FFFFEB84"/>
        <color rgb="FF63BE7B"/>
      </colorScale>
    </cfRule>
  </conditionalFormatting>
  <conditionalFormatting sqref="Q474">
    <cfRule type="colorScale" priority="9580">
      <colorScale>
        <cfvo type="min"/>
        <cfvo type="percentile" val="50"/>
        <cfvo type="max"/>
        <color rgb="FFF8696B"/>
        <color rgb="FFFFEB84"/>
        <color rgb="FF63BE7B"/>
      </colorScale>
    </cfRule>
  </conditionalFormatting>
  <conditionalFormatting sqref="Q492:Q493">
    <cfRule type="colorScale" priority="9217">
      <colorScale>
        <cfvo type="min"/>
        <cfvo type="percentile" val="50"/>
        <cfvo type="max"/>
        <color rgb="FFF8696B"/>
        <color rgb="FFFFEB84"/>
        <color rgb="FF63BE7B"/>
      </colorScale>
    </cfRule>
  </conditionalFormatting>
  <conditionalFormatting sqref="Q494:Q497 Q405:Q434 Q371:Q372 Q317:Q327 Q258:Q263 Q160:Q161 Q34:Q49 Q15:Q30 Q52:Q58 Q61 Q63:Q106 Q114:Q154 Q163:Q166 Q173 Q182:Q235 Q240:Q245 Q280:Q295 Q266:Q274 Q353:Q363 Q298:Q315 Q374:Q395 Q439:Q459 Q476:Q491 Q502:Q512 Q514:Q525 Q533:Q537 Q546:Q547 Q554:Q598 Q606 Q616:Q630">
    <cfRule type="colorScale" priority="193157">
      <colorScale>
        <cfvo type="min"/>
        <cfvo type="percentile" val="50"/>
        <cfvo type="max"/>
        <color rgb="FFF8696B"/>
        <color rgb="FFFFEB84"/>
        <color rgb="FF63BE7B"/>
      </colorScale>
    </cfRule>
  </conditionalFormatting>
  <conditionalFormatting sqref="Q498:Q501">
    <cfRule type="colorScale" priority="9112">
      <colorScale>
        <cfvo type="min"/>
        <cfvo type="percentile" val="50"/>
        <cfvo type="max"/>
        <color rgb="FFF8696B"/>
        <color rgb="FFFFEB84"/>
        <color rgb="FF63BE7B"/>
      </colorScale>
    </cfRule>
  </conditionalFormatting>
  <conditionalFormatting sqref="Q513">
    <cfRule type="colorScale" priority="8916">
      <colorScale>
        <cfvo type="min"/>
        <cfvo type="percentile" val="50"/>
        <cfvo type="max"/>
        <color rgb="FFF8696B"/>
        <color rgb="FFFFEB84"/>
        <color rgb="FF63BE7B"/>
      </colorScale>
    </cfRule>
  </conditionalFormatting>
  <conditionalFormatting sqref="Q526:Q530">
    <cfRule type="colorScale" priority="8642">
      <colorScale>
        <cfvo type="min"/>
        <cfvo type="percentile" val="50"/>
        <cfvo type="max"/>
        <color rgb="FFF8696B"/>
        <color rgb="FFFFEB84"/>
        <color rgb="FF63BE7B"/>
      </colorScale>
    </cfRule>
  </conditionalFormatting>
  <conditionalFormatting sqref="Q531:Q532">
    <cfRule type="colorScale" priority="8643">
      <colorScale>
        <cfvo type="min"/>
        <cfvo type="percentile" val="50"/>
        <cfvo type="max"/>
        <color rgb="FFF8696B"/>
        <color rgb="FFFFEB84"/>
        <color rgb="FF63BE7B"/>
      </colorScale>
    </cfRule>
  </conditionalFormatting>
  <conditionalFormatting sqref="Q538:Q541">
    <cfRule type="colorScale" priority="8493">
      <colorScale>
        <cfvo type="min"/>
        <cfvo type="percentile" val="50"/>
        <cfvo type="max"/>
        <color rgb="FFF8696B"/>
        <color rgb="FFFFEB84"/>
        <color rgb="FF63BE7B"/>
      </colorScale>
    </cfRule>
  </conditionalFormatting>
  <conditionalFormatting sqref="Q542:Q543 Q545">
    <cfRule type="colorScale" priority="8436">
      <colorScale>
        <cfvo type="min"/>
        <cfvo type="percentile" val="50"/>
        <cfvo type="max"/>
        <color rgb="FFF8696B"/>
        <color rgb="FFFFEB84"/>
        <color rgb="FF63BE7B"/>
      </colorScale>
    </cfRule>
  </conditionalFormatting>
  <conditionalFormatting sqref="Q544">
    <cfRule type="colorScale" priority="8437">
      <colorScale>
        <cfvo type="min"/>
        <cfvo type="percentile" val="50"/>
        <cfvo type="max"/>
        <color rgb="FFF8696B"/>
        <color rgb="FFFFEB84"/>
        <color rgb="FF63BE7B"/>
      </colorScale>
    </cfRule>
  </conditionalFormatting>
  <conditionalFormatting sqref="Q548:Q550">
    <cfRule type="colorScale" priority="8297">
      <colorScale>
        <cfvo type="min"/>
        <cfvo type="percentile" val="50"/>
        <cfvo type="max"/>
        <color rgb="FFF8696B"/>
        <color rgb="FFFFEB84"/>
        <color rgb="FF63BE7B"/>
      </colorScale>
    </cfRule>
  </conditionalFormatting>
  <conditionalFormatting sqref="Q551:Q553">
    <cfRule type="colorScale" priority="8298">
      <colorScale>
        <cfvo type="min"/>
        <cfvo type="percentile" val="50"/>
        <cfvo type="max"/>
        <color rgb="FFF8696B"/>
        <color rgb="FFFFEB84"/>
        <color rgb="FF63BE7B"/>
      </colorScale>
    </cfRule>
  </conditionalFormatting>
  <conditionalFormatting sqref="Q599:Q605">
    <cfRule type="colorScale" priority="7524">
      <colorScale>
        <cfvo type="min"/>
        <cfvo type="percentile" val="50"/>
        <cfvo type="max"/>
        <color rgb="FFF8696B"/>
        <color rgb="FFFFEB84"/>
        <color rgb="FF63BE7B"/>
      </colorScale>
    </cfRule>
  </conditionalFormatting>
  <conditionalFormatting sqref="Q607:Q615">
    <cfRule type="colorScale" priority="7389">
      <colorScale>
        <cfvo type="min"/>
        <cfvo type="percentile" val="50"/>
        <cfvo type="max"/>
        <color rgb="FFF8696B"/>
        <color rgb="FFFFEB84"/>
        <color rgb="FF63BE7B"/>
      </colorScale>
    </cfRule>
  </conditionalFormatting>
  <conditionalFormatting sqref="Q640:Q641">
    <cfRule type="colorScale" priority="6973">
      <colorScale>
        <cfvo type="min"/>
        <cfvo type="percentile" val="50"/>
        <cfvo type="max"/>
        <color rgb="FFF8696B"/>
        <color rgb="FFFFEB84"/>
        <color rgb="FF63BE7B"/>
      </colorScale>
    </cfRule>
  </conditionalFormatting>
  <conditionalFormatting sqref="Q644:Q654">
    <cfRule type="colorScale" priority="193269">
      <colorScale>
        <cfvo type="min"/>
        <cfvo type="percentile" val="50"/>
        <cfvo type="max"/>
        <color rgb="FFF8696B"/>
        <color rgb="FFFFEB84"/>
        <color rgb="FF63BE7B"/>
      </colorScale>
    </cfRule>
  </conditionalFormatting>
  <conditionalFormatting sqref="Q655">
    <cfRule type="colorScale" priority="6767">
      <colorScale>
        <cfvo type="min"/>
        <cfvo type="percentile" val="50"/>
        <cfvo type="max"/>
        <color rgb="FFF8696B"/>
        <color rgb="FFFFEB84"/>
        <color rgb="FF63BE7B"/>
      </colorScale>
    </cfRule>
  </conditionalFormatting>
  <conditionalFormatting sqref="Q656:Q657 Q631:Q639 Q642:Q643 Q675:Q714 Q720 Q722:Q724">
    <cfRule type="colorScale" priority="7139">
      <colorScale>
        <cfvo type="min"/>
        <cfvo type="percentile" val="50"/>
        <cfvo type="max"/>
        <color rgb="FFF8696B"/>
        <color rgb="FFFFEB84"/>
        <color rgb="FF63BE7B"/>
      </colorScale>
    </cfRule>
  </conditionalFormatting>
  <conditionalFormatting sqref="Q658:Q674">
    <cfRule type="colorScale" priority="193302">
      <colorScale>
        <cfvo type="min"/>
        <cfvo type="percentile" val="50"/>
        <cfvo type="max"/>
        <color rgb="FFF8696B"/>
        <color rgb="FFFFEB84"/>
        <color rgb="FF63BE7B"/>
      </colorScale>
    </cfRule>
  </conditionalFormatting>
  <conditionalFormatting sqref="Q715">
    <cfRule type="colorScale" priority="5613">
      <colorScale>
        <cfvo type="min"/>
        <cfvo type="percentile" val="50"/>
        <cfvo type="max"/>
        <color rgb="FFF8696B"/>
        <color rgb="FFFFEB84"/>
        <color rgb="FF63BE7B"/>
      </colorScale>
    </cfRule>
  </conditionalFormatting>
  <conditionalFormatting sqref="Q716:Q718">
    <cfRule type="colorScale" priority="5617">
      <colorScale>
        <cfvo type="min"/>
        <cfvo type="percentile" val="50"/>
        <cfvo type="max"/>
        <color rgb="FFF8696B"/>
        <color rgb="FFFFEB84"/>
        <color rgb="FF63BE7B"/>
      </colorScale>
    </cfRule>
  </conditionalFormatting>
  <conditionalFormatting sqref="Q719">
    <cfRule type="colorScale" priority="5610">
      <colorScale>
        <cfvo type="min"/>
        <cfvo type="percentile" val="50"/>
        <cfvo type="max"/>
        <color rgb="FFF8696B"/>
        <color rgb="FFFFEB84"/>
        <color rgb="FF63BE7B"/>
      </colorScale>
    </cfRule>
  </conditionalFormatting>
  <conditionalFormatting sqref="Q721">
    <cfRule type="colorScale" priority="5584">
      <colorScale>
        <cfvo type="min"/>
        <cfvo type="percentile" val="50"/>
        <cfvo type="max"/>
        <color rgb="FFF8696B"/>
        <color rgb="FFFFEB84"/>
        <color rgb="FF63BE7B"/>
      </colorScale>
    </cfRule>
  </conditionalFormatting>
  <conditionalFormatting sqref="Q725">
    <cfRule type="colorScale" priority="5465">
      <colorScale>
        <cfvo type="min"/>
        <cfvo type="percentile" val="50"/>
        <cfvo type="max"/>
        <color rgb="FFF8696B"/>
        <color rgb="FFFFEB84"/>
        <color rgb="FF63BE7B"/>
      </colorScale>
    </cfRule>
  </conditionalFormatting>
  <conditionalFormatting sqref="Q726">
    <cfRule type="colorScale" priority="5468">
      <colorScale>
        <cfvo type="min"/>
        <cfvo type="percentile" val="50"/>
        <cfvo type="max"/>
        <color rgb="FFF8696B"/>
        <color rgb="FFFFEB84"/>
        <color rgb="FF63BE7B"/>
      </colorScale>
    </cfRule>
  </conditionalFormatting>
  <conditionalFormatting sqref="Q727:Q729 Q785">
    <cfRule type="colorScale" priority="5504">
      <colorScale>
        <cfvo type="min"/>
        <cfvo type="percentile" val="50"/>
        <cfvo type="max"/>
        <color rgb="FFF8696B"/>
        <color rgb="FFFFEB84"/>
        <color rgb="FF63BE7B"/>
      </colorScale>
    </cfRule>
  </conditionalFormatting>
  <conditionalFormatting sqref="Q730:Q731">
    <cfRule type="colorScale" priority="5333">
      <colorScale>
        <cfvo type="min"/>
        <cfvo type="percentile" val="50"/>
        <cfvo type="max"/>
        <color rgb="FFF8696B"/>
        <color rgb="FFFFEB84"/>
        <color rgb="FF63BE7B"/>
      </colorScale>
    </cfRule>
  </conditionalFormatting>
  <conditionalFormatting sqref="Q739:Q740">
    <cfRule type="colorScale" priority="5136">
      <colorScale>
        <cfvo type="min"/>
        <cfvo type="percentile" val="50"/>
        <cfvo type="max"/>
        <color rgb="FFF8696B"/>
        <color rgb="FFFFEB84"/>
        <color rgb="FF63BE7B"/>
      </colorScale>
    </cfRule>
  </conditionalFormatting>
  <conditionalFormatting sqref="Q762:Q763">
    <cfRule type="colorScale" priority="4652">
      <colorScale>
        <cfvo type="min"/>
        <cfvo type="percentile" val="50"/>
        <cfvo type="max"/>
        <color rgb="FFF8696B"/>
        <color rgb="FFFFEB84"/>
        <color rgb="FF63BE7B"/>
      </colorScale>
    </cfRule>
  </conditionalFormatting>
  <conditionalFormatting sqref="Q764:Q784 Q732:Q738 Q741:Q761">
    <cfRule type="colorScale" priority="193708">
      <colorScale>
        <cfvo type="min"/>
        <cfvo type="percentile" val="50"/>
        <cfvo type="max"/>
        <color rgb="FFF8696B"/>
        <color rgb="FFFFEB84"/>
        <color rgb="FF63BE7B"/>
      </colorScale>
    </cfRule>
  </conditionalFormatting>
  <conditionalFormatting sqref="Q799:Q800">
    <cfRule type="colorScale" priority="3934">
      <colorScale>
        <cfvo type="min"/>
        <cfvo type="percentile" val="50"/>
        <cfvo type="max"/>
        <color rgb="FFF8696B"/>
        <color rgb="FFFFEB84"/>
        <color rgb="FF63BE7B"/>
      </colorScale>
    </cfRule>
  </conditionalFormatting>
  <conditionalFormatting sqref="Q801:Q802">
    <cfRule type="colorScale" priority="3933">
      <colorScale>
        <cfvo type="min"/>
        <cfvo type="percentile" val="50"/>
        <cfvo type="max"/>
        <color rgb="FFF8696B"/>
        <color rgb="FFFFEB84"/>
        <color rgb="FF63BE7B"/>
      </colorScale>
    </cfRule>
  </conditionalFormatting>
  <conditionalFormatting sqref="Q803">
    <cfRule type="colorScale" priority="3932">
      <colorScale>
        <cfvo type="min"/>
        <cfvo type="percentile" val="50"/>
        <cfvo type="max"/>
        <color rgb="FFF8696B"/>
        <color rgb="FFFFEB84"/>
        <color rgb="FF63BE7B"/>
      </colorScale>
    </cfRule>
  </conditionalFormatting>
  <conditionalFormatting sqref="Q804">
    <cfRule type="colorScale" priority="3880">
      <colorScale>
        <cfvo type="min"/>
        <cfvo type="percentile" val="50"/>
        <cfvo type="max"/>
        <color rgb="FFF8696B"/>
        <color rgb="FFFFEB84"/>
        <color rgb="FF63BE7B"/>
      </colorScale>
    </cfRule>
  </conditionalFormatting>
  <conditionalFormatting sqref="Q805">
    <cfRule type="colorScale" priority="3876">
      <colorScale>
        <cfvo type="min"/>
        <cfvo type="percentile" val="50"/>
        <cfvo type="max"/>
        <color rgb="FFF8696B"/>
        <color rgb="FFFFEB84"/>
        <color rgb="FF63BE7B"/>
      </colorScale>
    </cfRule>
  </conditionalFormatting>
  <conditionalFormatting sqref="Q806:Q808 Q813">
    <cfRule type="colorScale" priority="3841">
      <colorScale>
        <cfvo type="min"/>
        <cfvo type="percentile" val="50"/>
        <cfvo type="max"/>
        <color rgb="FFF8696B"/>
        <color rgb="FFFFEB84"/>
        <color rgb="FF63BE7B"/>
      </colorScale>
    </cfRule>
  </conditionalFormatting>
  <conditionalFormatting sqref="Q809">
    <cfRule type="colorScale" priority="3754">
      <colorScale>
        <cfvo type="min"/>
        <cfvo type="percentile" val="50"/>
        <cfvo type="max"/>
        <color rgb="FFF8696B"/>
        <color rgb="FFFFEB84"/>
        <color rgb="FF63BE7B"/>
      </colorScale>
    </cfRule>
  </conditionalFormatting>
  <conditionalFormatting sqref="Q810:Q812">
    <cfRule type="colorScale" priority="3758">
      <colorScale>
        <cfvo type="min"/>
        <cfvo type="percentile" val="50"/>
        <cfvo type="max"/>
        <color rgb="FFF8696B"/>
        <color rgb="FFFFEB84"/>
        <color rgb="FF63BE7B"/>
      </colorScale>
    </cfRule>
  </conditionalFormatting>
  <conditionalFormatting sqref="R31:R32">
    <cfRule type="colorScale" priority="17430">
      <colorScale>
        <cfvo type="min"/>
        <cfvo type="percentile" val="50"/>
        <cfvo type="max"/>
        <color rgb="FFF8696B"/>
        <color rgb="FFFFEB84"/>
        <color rgb="FF63BE7B"/>
      </colorScale>
    </cfRule>
  </conditionalFormatting>
  <conditionalFormatting sqref="R33">
    <cfRule type="colorScale" priority="17429">
      <colorScale>
        <cfvo type="min"/>
        <cfvo type="percentile" val="50"/>
        <cfvo type="max"/>
        <color rgb="FFF8696B"/>
        <color rgb="FFFFEB84"/>
        <color rgb="FF63BE7B"/>
      </colorScale>
    </cfRule>
  </conditionalFormatting>
  <conditionalFormatting sqref="R50:R51">
    <cfRule type="colorScale" priority="17079">
      <colorScale>
        <cfvo type="min"/>
        <cfvo type="percentile" val="50"/>
        <cfvo type="max"/>
        <color rgb="FFF8696B"/>
        <color rgb="FFFFEB84"/>
        <color rgb="FF63BE7B"/>
      </colorScale>
    </cfRule>
  </conditionalFormatting>
  <conditionalFormatting sqref="R59">
    <cfRule type="colorScale" priority="16982">
      <colorScale>
        <cfvo type="min"/>
        <cfvo type="percentile" val="50"/>
        <cfvo type="max"/>
        <color rgb="FFF8696B"/>
        <color rgb="FFFFEB84"/>
        <color rgb="FF63BE7B"/>
      </colorScale>
    </cfRule>
  </conditionalFormatting>
  <conditionalFormatting sqref="R60">
    <cfRule type="colorScale" priority="16956">
      <colorScale>
        <cfvo type="min"/>
        <cfvo type="percentile" val="50"/>
        <cfvo type="max"/>
        <color rgb="FFF8696B"/>
        <color rgb="FFFFEB84"/>
        <color rgb="FF63BE7B"/>
      </colorScale>
    </cfRule>
  </conditionalFormatting>
  <conditionalFormatting sqref="R62">
    <cfRule type="colorScale" priority="16918">
      <colorScale>
        <cfvo type="min"/>
        <cfvo type="percentile" val="50"/>
        <cfvo type="max"/>
        <color rgb="FFF8696B"/>
        <color rgb="FFFFEB84"/>
        <color rgb="FF63BE7B"/>
      </colorScale>
    </cfRule>
  </conditionalFormatting>
  <conditionalFormatting sqref="R167:R172">
    <cfRule type="colorScale" priority="14400">
      <colorScale>
        <cfvo type="min"/>
        <cfvo type="percentile" val="50"/>
        <cfvo type="max"/>
        <color rgb="FFF8696B"/>
        <color rgb="FFFFEB84"/>
        <color rgb="FF63BE7B"/>
      </colorScale>
    </cfRule>
  </conditionalFormatting>
  <conditionalFormatting sqref="R174:R178">
    <cfRule type="colorScale" priority="14276">
      <colorScale>
        <cfvo type="min"/>
        <cfvo type="percentile" val="50"/>
        <cfvo type="max"/>
        <color rgb="FFF8696B"/>
        <color rgb="FFFFEB84"/>
        <color rgb="FF63BE7B"/>
      </colorScale>
    </cfRule>
  </conditionalFormatting>
  <conditionalFormatting sqref="R179:R180">
    <cfRule type="colorScale" priority="14277">
      <colorScale>
        <cfvo type="min"/>
        <cfvo type="percentile" val="50"/>
        <cfvo type="max"/>
        <color rgb="FFF8696B"/>
        <color rgb="FFFFEB84"/>
        <color rgb="FF63BE7B"/>
      </colorScale>
    </cfRule>
  </conditionalFormatting>
  <conditionalFormatting sqref="R236:R239">
    <cfRule type="colorScale" priority="13463">
      <colorScale>
        <cfvo type="min"/>
        <cfvo type="percentile" val="50"/>
        <cfvo type="max"/>
        <color rgb="FFF8696B"/>
        <color rgb="FFFFEB84"/>
        <color rgb="FF63BE7B"/>
      </colorScale>
    </cfRule>
  </conditionalFormatting>
  <conditionalFormatting sqref="R246:R247">
    <cfRule type="colorScale" priority="13311">
      <colorScale>
        <cfvo type="min"/>
        <cfvo type="percentile" val="50"/>
        <cfvo type="max"/>
        <color rgb="FFF8696B"/>
        <color rgb="FFFFEB84"/>
        <color rgb="FF63BE7B"/>
      </colorScale>
    </cfRule>
  </conditionalFormatting>
  <conditionalFormatting sqref="R248">
    <cfRule type="colorScale" priority="13245">
      <colorScale>
        <cfvo type="min"/>
        <cfvo type="percentile" val="50"/>
        <cfvo type="max"/>
        <color rgb="FFF8696B"/>
        <color rgb="FFFFEB84"/>
        <color rgb="FF63BE7B"/>
      </colorScale>
    </cfRule>
  </conditionalFormatting>
  <conditionalFormatting sqref="R249">
    <cfRule type="colorScale" priority="13244">
      <colorScale>
        <cfvo type="min"/>
        <cfvo type="percentile" val="50"/>
        <cfvo type="max"/>
        <color rgb="FFF8696B"/>
        <color rgb="FFFFEB84"/>
        <color rgb="FF63BE7B"/>
      </colorScale>
    </cfRule>
  </conditionalFormatting>
  <conditionalFormatting sqref="R250">
    <cfRule type="colorScale" priority="191863">
      <colorScale>
        <cfvo type="min"/>
        <cfvo type="percentile" val="50"/>
        <cfvo type="max"/>
        <color rgb="FFF8696B"/>
        <color rgb="FFFFEB84"/>
        <color rgb="FF63BE7B"/>
      </colorScale>
    </cfRule>
  </conditionalFormatting>
  <conditionalFormatting sqref="R251:R257">
    <cfRule type="colorScale" priority="191879">
      <colorScale>
        <cfvo type="min"/>
        <cfvo type="percentile" val="50"/>
        <cfvo type="max"/>
        <color rgb="FFF8696B"/>
        <color rgb="FFFFEB84"/>
        <color rgb="FF63BE7B"/>
      </colorScale>
    </cfRule>
  </conditionalFormatting>
  <conditionalFormatting sqref="R264">
    <cfRule type="colorScale" priority="12750">
      <colorScale>
        <cfvo type="min"/>
        <cfvo type="percentile" val="50"/>
        <cfvo type="max"/>
        <color rgb="FFF8696B"/>
        <color rgb="FFFFEB84"/>
        <color rgb="FF63BE7B"/>
      </colorScale>
    </cfRule>
  </conditionalFormatting>
  <conditionalFormatting sqref="R265">
    <cfRule type="colorScale" priority="12708">
      <colorScale>
        <cfvo type="min"/>
        <cfvo type="percentile" val="50"/>
        <cfvo type="max"/>
        <color rgb="FFF8696B"/>
        <color rgb="FFFFEB84"/>
        <color rgb="FF63BE7B"/>
      </colorScale>
    </cfRule>
  </conditionalFormatting>
  <conditionalFormatting sqref="R275:R279">
    <cfRule type="colorScale" priority="12838">
      <colorScale>
        <cfvo type="min"/>
        <cfvo type="percentile" val="50"/>
        <cfvo type="max"/>
        <color rgb="FFF8696B"/>
        <color rgb="FFFFEB84"/>
        <color rgb="FF63BE7B"/>
      </colorScale>
    </cfRule>
  </conditionalFormatting>
  <conditionalFormatting sqref="R296:R297">
    <cfRule type="colorScale" priority="12504">
      <colorScale>
        <cfvo type="min"/>
        <cfvo type="percentile" val="50"/>
        <cfvo type="max"/>
        <color rgb="FFF8696B"/>
        <color rgb="FFFFEB84"/>
        <color rgb="FF63BE7B"/>
      </colorScale>
    </cfRule>
  </conditionalFormatting>
  <conditionalFormatting sqref="R316">
    <cfRule type="colorScale" priority="12144">
      <colorScale>
        <cfvo type="min"/>
        <cfvo type="percentile" val="50"/>
        <cfvo type="max"/>
        <color rgb="FFF8696B"/>
        <color rgb="FFFFEB84"/>
        <color rgb="FF63BE7B"/>
      </colorScale>
    </cfRule>
  </conditionalFormatting>
  <conditionalFormatting sqref="R328:R330 R332:R352">
    <cfRule type="colorScale" priority="11906">
      <colorScale>
        <cfvo type="min"/>
        <cfvo type="percentile" val="50"/>
        <cfvo type="max"/>
        <color rgb="FFF8696B"/>
        <color rgb="FFFFEB84"/>
        <color rgb="FF63BE7B"/>
      </colorScale>
    </cfRule>
  </conditionalFormatting>
  <conditionalFormatting sqref="R331">
    <cfRule type="colorScale" priority="11188">
      <colorScale>
        <cfvo type="min"/>
        <cfvo type="percentile" val="50"/>
        <cfvo type="max"/>
        <color rgb="FFF8696B"/>
        <color rgb="FFFFEB84"/>
        <color rgb="FF63BE7B"/>
      </colorScale>
    </cfRule>
  </conditionalFormatting>
  <conditionalFormatting sqref="R364:R369">
    <cfRule type="colorScale" priority="11306">
      <colorScale>
        <cfvo type="min"/>
        <cfvo type="percentile" val="50"/>
        <cfvo type="max"/>
        <color rgb="FFF8696B"/>
        <color rgb="FFFFEB84"/>
        <color rgb="FF63BE7B"/>
      </colorScale>
    </cfRule>
  </conditionalFormatting>
  <conditionalFormatting sqref="R370">
    <cfRule type="colorScale" priority="192441">
      <colorScale>
        <cfvo type="min"/>
        <cfvo type="percentile" val="50"/>
        <cfvo type="max"/>
        <color rgb="FFF8696B"/>
        <color rgb="FFFFEB84"/>
        <color rgb="FF63BE7B"/>
      </colorScale>
    </cfRule>
  </conditionalFormatting>
  <conditionalFormatting sqref="R373">
    <cfRule type="colorScale" priority="11215">
      <colorScale>
        <cfvo type="min"/>
        <cfvo type="percentile" val="50"/>
        <cfvo type="max"/>
        <color rgb="FFF8696B"/>
        <color rgb="FFFFEB84"/>
        <color rgb="FF63BE7B"/>
      </colorScale>
    </cfRule>
  </conditionalFormatting>
  <conditionalFormatting sqref="R401">
    <cfRule type="colorScale" priority="10642">
      <colorScale>
        <cfvo type="min"/>
        <cfvo type="percentile" val="50"/>
        <cfvo type="max"/>
        <color rgb="FFF8696B"/>
        <color rgb="FFFFEB84"/>
        <color rgb="FF63BE7B"/>
      </colorScale>
    </cfRule>
  </conditionalFormatting>
  <conditionalFormatting sqref="R402:R404 R396:R400">
    <cfRule type="colorScale" priority="192756">
      <colorScale>
        <cfvo type="min"/>
        <cfvo type="percentile" val="50"/>
        <cfvo type="max"/>
        <color rgb="FFF8696B"/>
        <color rgb="FFFFEB84"/>
        <color rgb="FF63BE7B"/>
      </colorScale>
    </cfRule>
  </conditionalFormatting>
  <conditionalFormatting sqref="R435:R438">
    <cfRule type="colorScale" priority="10224">
      <colorScale>
        <cfvo type="min"/>
        <cfvo type="percentile" val="50"/>
        <cfvo type="max"/>
        <color rgb="FFF8696B"/>
        <color rgb="FFFFEB84"/>
        <color rgb="FF63BE7B"/>
      </colorScale>
    </cfRule>
  </conditionalFormatting>
  <conditionalFormatting sqref="R465:R470">
    <cfRule type="colorScale" priority="9578">
      <colorScale>
        <cfvo type="min"/>
        <cfvo type="percentile" val="50"/>
        <cfvo type="max"/>
        <color rgb="FFF8696B"/>
        <color rgb="FFFFEB84"/>
        <color rgb="FF63BE7B"/>
      </colorScale>
    </cfRule>
  </conditionalFormatting>
  <conditionalFormatting sqref="R471">
    <cfRule type="colorScale" priority="9577">
      <colorScale>
        <cfvo type="min"/>
        <cfvo type="percentile" val="50"/>
        <cfvo type="max"/>
        <color rgb="FFF8696B"/>
        <color rgb="FFFFEB84"/>
        <color rgb="FF63BE7B"/>
      </colorScale>
    </cfRule>
  </conditionalFormatting>
  <conditionalFormatting sqref="R472:R473 R460:R464 R475">
    <cfRule type="colorScale" priority="9575">
      <colorScale>
        <cfvo type="min"/>
        <cfvo type="percentile" val="50"/>
        <cfvo type="max"/>
        <color rgb="FFF8696B"/>
        <color rgb="FFFFEB84"/>
        <color rgb="FF63BE7B"/>
      </colorScale>
    </cfRule>
  </conditionalFormatting>
  <conditionalFormatting sqref="R474">
    <cfRule type="colorScale" priority="9576">
      <colorScale>
        <cfvo type="min"/>
        <cfvo type="percentile" val="50"/>
        <cfvo type="max"/>
        <color rgb="FFF8696B"/>
        <color rgb="FFFFEB84"/>
        <color rgb="FF63BE7B"/>
      </colorScale>
    </cfRule>
  </conditionalFormatting>
  <conditionalFormatting sqref="R492:R493">
    <cfRule type="colorScale" priority="9216">
      <colorScale>
        <cfvo type="min"/>
        <cfvo type="percentile" val="50"/>
        <cfvo type="max"/>
        <color rgb="FFF8696B"/>
        <color rgb="FFFFEB84"/>
        <color rgb="FF63BE7B"/>
      </colorScale>
    </cfRule>
  </conditionalFormatting>
  <conditionalFormatting sqref="R494:R497 R405:R434 R371:R372 R317:R327 R258:R263 R34:R49 R52 R55:R58 R61 R15:R30 R63:R166 R173 R181:R235 R240:R245 R280:R295 R266:R274 R298:R304 R306:R315 R353:R363 R374:R395 R439:R459 R476:R491 R502:R512 R514:R525 R533:R537 R546:R547 R554:R598 R606:R630">
    <cfRule type="colorScale" priority="193189">
      <colorScale>
        <cfvo type="min"/>
        <cfvo type="percentile" val="50"/>
        <cfvo type="max"/>
        <color rgb="FFF8696B"/>
        <color rgb="FFFFEB84"/>
        <color rgb="FF63BE7B"/>
      </colorScale>
    </cfRule>
  </conditionalFormatting>
  <conditionalFormatting sqref="R498:R501">
    <cfRule type="colorScale" priority="9111">
      <colorScale>
        <cfvo type="min"/>
        <cfvo type="percentile" val="50"/>
        <cfvo type="max"/>
        <color rgb="FFF8696B"/>
        <color rgb="FFFFEB84"/>
        <color rgb="FF63BE7B"/>
      </colorScale>
    </cfRule>
  </conditionalFormatting>
  <conditionalFormatting sqref="R513">
    <cfRule type="colorScale" priority="8915">
      <colorScale>
        <cfvo type="min"/>
        <cfvo type="percentile" val="50"/>
        <cfvo type="max"/>
        <color rgb="FFF8696B"/>
        <color rgb="FFFFEB84"/>
        <color rgb="FF63BE7B"/>
      </colorScale>
    </cfRule>
  </conditionalFormatting>
  <conditionalFormatting sqref="R526:R530">
    <cfRule type="colorScale" priority="8640">
      <colorScale>
        <cfvo type="min"/>
        <cfvo type="percentile" val="50"/>
        <cfvo type="max"/>
        <color rgb="FFF8696B"/>
        <color rgb="FFFFEB84"/>
        <color rgb="FF63BE7B"/>
      </colorScale>
    </cfRule>
  </conditionalFormatting>
  <conditionalFormatting sqref="R531:R532">
    <cfRule type="colorScale" priority="8641">
      <colorScale>
        <cfvo type="min"/>
        <cfvo type="percentile" val="50"/>
        <cfvo type="max"/>
        <color rgb="FFF8696B"/>
        <color rgb="FFFFEB84"/>
        <color rgb="FF63BE7B"/>
      </colorScale>
    </cfRule>
  </conditionalFormatting>
  <conditionalFormatting sqref="R538:R541">
    <cfRule type="colorScale" priority="8492">
      <colorScale>
        <cfvo type="min"/>
        <cfvo type="percentile" val="50"/>
        <cfvo type="max"/>
        <color rgb="FFF8696B"/>
        <color rgb="FFFFEB84"/>
        <color rgb="FF63BE7B"/>
      </colorScale>
    </cfRule>
  </conditionalFormatting>
  <conditionalFormatting sqref="R542:R543 R545">
    <cfRule type="colorScale" priority="8434">
      <colorScale>
        <cfvo type="min"/>
        <cfvo type="percentile" val="50"/>
        <cfvo type="max"/>
        <color rgb="FFF8696B"/>
        <color rgb="FFFFEB84"/>
        <color rgb="FF63BE7B"/>
      </colorScale>
    </cfRule>
  </conditionalFormatting>
  <conditionalFormatting sqref="R544">
    <cfRule type="colorScale" priority="8435">
      <colorScale>
        <cfvo type="min"/>
        <cfvo type="percentile" val="50"/>
        <cfvo type="max"/>
        <color rgb="FFF8696B"/>
        <color rgb="FFFFEB84"/>
        <color rgb="FF63BE7B"/>
      </colorScale>
    </cfRule>
  </conditionalFormatting>
  <conditionalFormatting sqref="R548:R550">
    <cfRule type="colorScale" priority="8295">
      <colorScale>
        <cfvo type="min"/>
        <cfvo type="percentile" val="50"/>
        <cfvo type="max"/>
        <color rgb="FFF8696B"/>
        <color rgb="FFFFEB84"/>
        <color rgb="FF63BE7B"/>
      </colorScale>
    </cfRule>
  </conditionalFormatting>
  <conditionalFormatting sqref="R551:R553">
    <cfRule type="colorScale" priority="8296">
      <colorScale>
        <cfvo type="min"/>
        <cfvo type="percentile" val="50"/>
        <cfvo type="max"/>
        <color rgb="FFF8696B"/>
        <color rgb="FFFFEB84"/>
        <color rgb="FF63BE7B"/>
      </colorScale>
    </cfRule>
  </conditionalFormatting>
  <conditionalFormatting sqref="R599:R605">
    <cfRule type="colorScale" priority="7523">
      <colorScale>
        <cfvo type="min"/>
        <cfvo type="percentile" val="50"/>
        <cfvo type="max"/>
        <color rgb="FFF8696B"/>
        <color rgb="FFFFEB84"/>
        <color rgb="FF63BE7B"/>
      </colorScale>
    </cfRule>
  </conditionalFormatting>
  <conditionalFormatting sqref="R640:R641">
    <cfRule type="colorScale" priority="6972">
      <colorScale>
        <cfvo type="min"/>
        <cfvo type="percentile" val="50"/>
        <cfvo type="max"/>
        <color rgb="FFF8696B"/>
        <color rgb="FFFFEB84"/>
        <color rgb="FF63BE7B"/>
      </colorScale>
    </cfRule>
  </conditionalFormatting>
  <conditionalFormatting sqref="R645:R649">
    <cfRule type="colorScale" priority="6748">
      <colorScale>
        <cfvo type="min"/>
        <cfvo type="percentile" val="50"/>
        <cfvo type="max"/>
        <color rgb="FFF8696B"/>
        <color rgb="FFFFEB84"/>
        <color rgb="FF63BE7B"/>
      </colorScale>
    </cfRule>
  </conditionalFormatting>
  <conditionalFormatting sqref="R650:R654 R644">
    <cfRule type="colorScale" priority="193271">
      <colorScale>
        <cfvo type="min"/>
        <cfvo type="percentile" val="50"/>
        <cfvo type="max"/>
        <color rgb="FFF8696B"/>
        <color rgb="FFFFEB84"/>
        <color rgb="FF63BE7B"/>
      </colorScale>
    </cfRule>
  </conditionalFormatting>
  <conditionalFormatting sqref="R655">
    <cfRule type="colorScale" priority="6766">
      <colorScale>
        <cfvo type="min"/>
        <cfvo type="percentile" val="50"/>
        <cfvo type="max"/>
        <color rgb="FFF8696B"/>
        <color rgb="FFFFEB84"/>
        <color rgb="FF63BE7B"/>
      </colorScale>
    </cfRule>
  </conditionalFormatting>
  <conditionalFormatting sqref="R656:R657 R632:R639 R642:R643 R675:R714 R720 R722:R724">
    <cfRule type="colorScale" priority="7138">
      <colorScale>
        <cfvo type="min"/>
        <cfvo type="percentile" val="50"/>
        <cfvo type="max"/>
        <color rgb="FFF8696B"/>
        <color rgb="FFFFEB84"/>
        <color rgb="FF63BE7B"/>
      </colorScale>
    </cfRule>
  </conditionalFormatting>
  <conditionalFormatting sqref="R658:R674">
    <cfRule type="colorScale" priority="193304">
      <colorScale>
        <cfvo type="min"/>
        <cfvo type="percentile" val="50"/>
        <cfvo type="max"/>
        <color rgb="FFF8696B"/>
        <color rgb="FFFFEB84"/>
        <color rgb="FF63BE7B"/>
      </colorScale>
    </cfRule>
  </conditionalFormatting>
  <conditionalFormatting sqref="R715">
    <cfRule type="colorScale" priority="5612">
      <colorScale>
        <cfvo type="min"/>
        <cfvo type="percentile" val="50"/>
        <cfvo type="max"/>
        <color rgb="FFF8696B"/>
        <color rgb="FFFFEB84"/>
        <color rgb="FF63BE7B"/>
      </colorScale>
    </cfRule>
  </conditionalFormatting>
  <conditionalFormatting sqref="R716:R718">
    <cfRule type="colorScale" priority="5616">
      <colorScale>
        <cfvo type="min"/>
        <cfvo type="percentile" val="50"/>
        <cfvo type="max"/>
        <color rgb="FFF8696B"/>
        <color rgb="FFFFEB84"/>
        <color rgb="FF63BE7B"/>
      </colorScale>
    </cfRule>
  </conditionalFormatting>
  <conditionalFormatting sqref="R719">
    <cfRule type="colorScale" priority="5609">
      <colorScale>
        <cfvo type="min"/>
        <cfvo type="percentile" val="50"/>
        <cfvo type="max"/>
        <color rgb="FFF8696B"/>
        <color rgb="FFFFEB84"/>
        <color rgb="FF63BE7B"/>
      </colorScale>
    </cfRule>
  </conditionalFormatting>
  <conditionalFormatting sqref="R721">
    <cfRule type="colorScale" priority="5583">
      <colorScale>
        <cfvo type="min"/>
        <cfvo type="percentile" val="50"/>
        <cfvo type="max"/>
        <color rgb="FFF8696B"/>
        <color rgb="FFFFEB84"/>
        <color rgb="FF63BE7B"/>
      </colorScale>
    </cfRule>
  </conditionalFormatting>
  <conditionalFormatting sqref="R725">
    <cfRule type="colorScale" priority="5464">
      <colorScale>
        <cfvo type="min"/>
        <cfvo type="percentile" val="50"/>
        <cfvo type="max"/>
        <color rgb="FFF8696B"/>
        <color rgb="FFFFEB84"/>
        <color rgb="FF63BE7B"/>
      </colorScale>
    </cfRule>
  </conditionalFormatting>
  <conditionalFormatting sqref="R726">
    <cfRule type="colorScale" priority="5467">
      <colorScale>
        <cfvo type="min"/>
        <cfvo type="percentile" val="50"/>
        <cfvo type="max"/>
        <color rgb="FFF8696B"/>
        <color rgb="FFFFEB84"/>
        <color rgb="FF63BE7B"/>
      </colorScale>
    </cfRule>
  </conditionalFormatting>
  <conditionalFormatting sqref="R730:R731">
    <cfRule type="colorScale" priority="5332">
      <colorScale>
        <cfvo type="min"/>
        <cfvo type="percentile" val="50"/>
        <cfvo type="max"/>
        <color rgb="FFF8696B"/>
        <color rgb="FFFFEB84"/>
        <color rgb="FF63BE7B"/>
      </colorScale>
    </cfRule>
  </conditionalFormatting>
  <conditionalFormatting sqref="R732">
    <cfRule type="colorScale" priority="5262">
      <colorScale>
        <cfvo type="min"/>
        <cfvo type="percentile" val="50"/>
        <cfvo type="max"/>
        <color rgb="FFF8696B"/>
        <color rgb="FFFFEB84"/>
        <color rgb="FF63BE7B"/>
      </colorScale>
    </cfRule>
  </conditionalFormatting>
  <conditionalFormatting sqref="R733:R736">
    <cfRule type="colorScale" priority="5261">
      <colorScale>
        <cfvo type="min"/>
        <cfvo type="percentile" val="50"/>
        <cfvo type="max"/>
        <color rgb="FFF8696B"/>
        <color rgb="FFFFEB84"/>
        <color rgb="FF63BE7B"/>
      </colorScale>
    </cfRule>
  </conditionalFormatting>
  <conditionalFormatting sqref="R757">
    <cfRule type="colorScale" priority="4730">
      <colorScale>
        <cfvo type="min"/>
        <cfvo type="percentile" val="50"/>
        <cfvo type="max"/>
        <color rgb="FFF8696B"/>
        <color rgb="FFFFEB84"/>
        <color rgb="FF63BE7B"/>
      </colorScale>
    </cfRule>
  </conditionalFormatting>
  <conditionalFormatting sqref="R762:R763">
    <cfRule type="colorScale" priority="4651">
      <colorScale>
        <cfvo type="min"/>
        <cfvo type="percentile" val="50"/>
        <cfvo type="max"/>
        <color rgb="FFF8696B"/>
        <color rgb="FFFFEB84"/>
        <color rgb="FF63BE7B"/>
      </colorScale>
    </cfRule>
  </conditionalFormatting>
  <conditionalFormatting sqref="R764:R784 R737:R756 R758:R761">
    <cfRule type="colorScale" priority="193700">
      <colorScale>
        <cfvo type="min"/>
        <cfvo type="percentile" val="50"/>
        <cfvo type="max"/>
        <color rgb="FFF8696B"/>
        <color rgb="FFFFEB84"/>
        <color rgb="FF63BE7B"/>
      </colorScale>
    </cfRule>
  </conditionalFormatting>
  <conditionalFormatting sqref="R786:R787">
    <cfRule type="colorScale" priority="4232">
      <colorScale>
        <cfvo type="min"/>
        <cfvo type="percentile" val="50"/>
        <cfvo type="max"/>
        <color rgb="FFF8696B"/>
        <color rgb="FFFFEB84"/>
        <color rgb="FF63BE7B"/>
      </colorScale>
    </cfRule>
  </conditionalFormatting>
  <conditionalFormatting sqref="R799:R800">
    <cfRule type="colorScale" priority="3931">
      <colorScale>
        <cfvo type="min"/>
        <cfvo type="percentile" val="50"/>
        <cfvo type="max"/>
        <color rgb="FFF8696B"/>
        <color rgb="FFFFEB84"/>
        <color rgb="FF63BE7B"/>
      </colorScale>
    </cfRule>
  </conditionalFormatting>
  <conditionalFormatting sqref="R801:R802">
    <cfRule type="colorScale" priority="3930">
      <colorScale>
        <cfvo type="min"/>
        <cfvo type="percentile" val="50"/>
        <cfvo type="max"/>
        <color rgb="FFF8696B"/>
        <color rgb="FFFFEB84"/>
        <color rgb="FF63BE7B"/>
      </colorScale>
    </cfRule>
  </conditionalFormatting>
  <conditionalFormatting sqref="R803">
    <cfRule type="colorScale" priority="3929">
      <colorScale>
        <cfvo type="min"/>
        <cfvo type="percentile" val="50"/>
        <cfvo type="max"/>
        <color rgb="FFF8696B"/>
        <color rgb="FFFFEB84"/>
        <color rgb="FF63BE7B"/>
      </colorScale>
    </cfRule>
  </conditionalFormatting>
  <conditionalFormatting sqref="R804">
    <cfRule type="colorScale" priority="3879">
      <colorScale>
        <cfvo type="min"/>
        <cfvo type="percentile" val="50"/>
        <cfvo type="max"/>
        <color rgb="FFF8696B"/>
        <color rgb="FFFFEB84"/>
        <color rgb="FF63BE7B"/>
      </colorScale>
    </cfRule>
  </conditionalFormatting>
  <conditionalFormatting sqref="R805">
    <cfRule type="colorScale" priority="3875">
      <colorScale>
        <cfvo type="min"/>
        <cfvo type="percentile" val="50"/>
        <cfvo type="max"/>
        <color rgb="FFF8696B"/>
        <color rgb="FFFFEB84"/>
        <color rgb="FF63BE7B"/>
      </colorScale>
    </cfRule>
  </conditionalFormatting>
  <conditionalFormatting sqref="R806:R808 R813">
    <cfRule type="colorScale" priority="3842">
      <colorScale>
        <cfvo type="min"/>
        <cfvo type="percentile" val="50"/>
        <cfvo type="max"/>
        <color rgb="FFF8696B"/>
        <color rgb="FFFFEB84"/>
        <color rgb="FF63BE7B"/>
      </colorScale>
    </cfRule>
  </conditionalFormatting>
  <conditionalFormatting sqref="R809">
    <cfRule type="colorScale" priority="3753">
      <colorScale>
        <cfvo type="min"/>
        <cfvo type="percentile" val="50"/>
        <cfvo type="max"/>
        <color rgb="FFF8696B"/>
        <color rgb="FFFFEB84"/>
        <color rgb="FF63BE7B"/>
      </colorScale>
    </cfRule>
  </conditionalFormatting>
  <conditionalFormatting sqref="R810:R812">
    <cfRule type="colorScale" priority="3757">
      <colorScale>
        <cfvo type="min"/>
        <cfvo type="percentile" val="50"/>
        <cfvo type="max"/>
        <color rgb="FFF8696B"/>
        <color rgb="FFFFEB84"/>
        <color rgb="FF63BE7B"/>
      </colorScale>
    </cfRule>
  </conditionalFormatting>
  <conditionalFormatting sqref="R821:R824">
    <cfRule type="colorScale" priority="3430">
      <colorScale>
        <cfvo type="min"/>
        <cfvo type="percentile" val="50"/>
        <cfvo type="max"/>
        <color rgb="FFF8696B"/>
        <color rgb="FFFFEB84"/>
        <color rgb="FF63BE7B"/>
      </colorScale>
    </cfRule>
  </conditionalFormatting>
  <conditionalFormatting sqref="R825:R826">
    <cfRule type="colorScale" priority="3429">
      <colorScale>
        <cfvo type="min"/>
        <cfvo type="percentile" val="50"/>
        <cfvo type="max"/>
        <color rgb="FFF8696B"/>
        <color rgb="FFFFEB84"/>
        <color rgb="FF63BE7B"/>
      </colorScale>
    </cfRule>
  </conditionalFormatting>
  <conditionalFormatting sqref="S264:S265">
    <cfRule type="colorScale" priority="12706">
      <colorScale>
        <cfvo type="min"/>
        <cfvo type="percentile" val="50"/>
        <cfvo type="max"/>
        <color rgb="FFF8696B"/>
        <color rgb="FFFFEB84"/>
        <color rgb="FF63BE7B"/>
      </colorScale>
    </cfRule>
  </conditionalFormatting>
  <conditionalFormatting sqref="S328:S330 S332:S352">
    <cfRule type="colorScale" priority="11905">
      <colorScale>
        <cfvo type="min"/>
        <cfvo type="percentile" val="50"/>
        <cfvo type="max"/>
        <color rgb="FFF8696B"/>
        <color rgb="FFFFEB84"/>
        <color rgb="FF63BE7B"/>
      </colorScale>
    </cfRule>
  </conditionalFormatting>
  <conditionalFormatting sqref="S331">
    <cfRule type="colorScale" priority="11186">
      <colorScale>
        <cfvo type="min"/>
        <cfvo type="percentile" val="50"/>
        <cfvo type="max"/>
        <color rgb="FFF8696B"/>
        <color rgb="FFFFEB84"/>
        <color rgb="FF63BE7B"/>
      </colorScale>
    </cfRule>
  </conditionalFormatting>
  <conditionalFormatting sqref="S373">
    <cfRule type="colorScale" priority="11219">
      <colorScale>
        <cfvo type="min"/>
        <cfvo type="percentile" val="50"/>
        <cfvo type="max"/>
        <color rgb="FFF8696B"/>
        <color rgb="FFFFEB84"/>
        <color rgb="FF63BE7B"/>
      </colorScale>
    </cfRule>
  </conditionalFormatting>
  <conditionalFormatting sqref="S460:S473 S475">
    <cfRule type="colorScale" priority="9573">
      <colorScale>
        <cfvo type="min"/>
        <cfvo type="percentile" val="50"/>
        <cfvo type="max"/>
        <color rgb="FFF8696B"/>
        <color rgb="FFFFEB84"/>
        <color rgb="FF63BE7B"/>
      </colorScale>
    </cfRule>
  </conditionalFormatting>
  <conditionalFormatting sqref="S474">
    <cfRule type="colorScale" priority="9574">
      <colorScale>
        <cfvo type="min"/>
        <cfvo type="percentile" val="50"/>
        <cfvo type="max"/>
        <color rgb="FFF8696B"/>
        <color rgb="FFFFEB84"/>
        <color rgb="FF63BE7B"/>
      </colorScale>
    </cfRule>
  </conditionalFormatting>
  <conditionalFormatting sqref="S513">
    <cfRule type="colorScale" priority="8914">
      <colorScale>
        <cfvo type="min"/>
        <cfvo type="percentile" val="50"/>
        <cfvo type="max"/>
        <color rgb="FFF8696B"/>
        <color rgb="FFFFEB84"/>
        <color rgb="FF63BE7B"/>
      </colorScale>
    </cfRule>
  </conditionalFormatting>
  <conditionalFormatting sqref="S514:S630 S374:S459 S353:S372 S266:S327 S15:S263 S476:S512">
    <cfRule type="colorScale" priority="193219">
      <colorScale>
        <cfvo type="min"/>
        <cfvo type="percentile" val="50"/>
        <cfvo type="max"/>
        <color rgb="FFF8696B"/>
        <color rgb="FFFFEB84"/>
        <color rgb="FF63BE7B"/>
      </colorScale>
    </cfRule>
  </conditionalFormatting>
  <conditionalFormatting sqref="S632:S639 R631 S642:S724">
    <cfRule type="colorScale" priority="193359">
      <colorScale>
        <cfvo type="min"/>
        <cfvo type="percentile" val="50"/>
        <cfvo type="max"/>
        <color rgb="FFF8696B"/>
        <color rgb="FFFFEB84"/>
        <color rgb="FF63BE7B"/>
      </colorScale>
    </cfRule>
  </conditionalFormatting>
  <conditionalFormatting sqref="S640:S641">
    <cfRule type="colorScale" priority="6971">
      <colorScale>
        <cfvo type="min"/>
        <cfvo type="percentile" val="50"/>
        <cfvo type="max"/>
        <color rgb="FFF8696B"/>
        <color rgb="FFFFEB84"/>
        <color rgb="FF63BE7B"/>
      </colorScale>
    </cfRule>
  </conditionalFormatting>
  <conditionalFormatting sqref="S730:S731">
    <cfRule type="colorScale" priority="5331">
      <colorScale>
        <cfvo type="min"/>
        <cfvo type="percentile" val="50"/>
        <cfvo type="max"/>
        <color rgb="FFF8696B"/>
        <color rgb="FFFFEB84"/>
        <color rgb="FF63BE7B"/>
      </colorScale>
    </cfRule>
  </conditionalFormatting>
  <conditionalFormatting sqref="F851">
    <cfRule type="dataBar" priority="2890">
      <dataBar>
        <cfvo type="min"/>
        <cfvo type="max"/>
        <color rgb="FF638EC6"/>
      </dataBar>
    </cfRule>
    <cfRule type="colorScale" priority="2891">
      <colorScale>
        <cfvo type="min"/>
        <cfvo type="percentile" val="50"/>
        <cfvo type="max"/>
        <color rgb="FFF8696B"/>
        <color rgb="FFFFEB84"/>
        <color rgb="FF63BE7B"/>
      </colorScale>
    </cfRule>
    <cfRule type="cellIs" dxfId="2251" priority="2892" operator="equal">
      <formula>"Tax"</formula>
    </cfRule>
  </conditionalFormatting>
  <conditionalFormatting sqref="F851">
    <cfRule type="cellIs" dxfId="2250" priority="2893" operator="equal">
      <formula>"Income"</formula>
    </cfRule>
    <cfRule type="cellIs" dxfId="2249" priority="2894" operator="equal">
      <formula>"Cost of Sales"</formula>
    </cfRule>
    <cfRule type="cellIs" dxfId="2248" priority="2895" operator="equal">
      <formula>"Payroll"</formula>
    </cfRule>
    <cfRule type="cellIs" dxfId="2247" priority="2896" operator="equal">
      <formula>"Investment"</formula>
    </cfRule>
    <cfRule type="cellIs" dxfId="2246" priority="2897" operator="equal">
      <formula>"Sunk"</formula>
    </cfRule>
    <cfRule type="cellIs" dxfId="2245" priority="2898" operator="equal">
      <formula>"OpEx"</formula>
    </cfRule>
    <cfRule type="cellIs" dxfId="2244" priority="2899" operator="equal">
      <formula>"CapEx"</formula>
    </cfRule>
  </conditionalFormatting>
  <conditionalFormatting sqref="H851">
    <cfRule type="cellIs" dxfId="2243" priority="2900" operator="equal">
      <formula>"GBP"</formula>
    </cfRule>
    <cfRule type="cellIs" dxfId="2242" priority="2901" operator="equal">
      <formula>"EUR"</formula>
    </cfRule>
    <cfRule type="cellIs" dxfId="2241" priority="2902" operator="equal">
      <formula>"USD"</formula>
    </cfRule>
    <cfRule type="cellIs" dxfId="2240" priority="2903" operator="equal">
      <formula>"EGP"</formula>
    </cfRule>
  </conditionalFormatting>
  <conditionalFormatting sqref="I851">
    <cfRule type="containsBlanks" dxfId="2239" priority="2889">
      <formula>LEN(TRIM(I851))=0</formula>
    </cfRule>
  </conditionalFormatting>
  <conditionalFormatting sqref="J851">
    <cfRule type="cellIs" dxfId="2238" priority="2883" operator="equal">
      <formula>5</formula>
    </cfRule>
    <cfRule type="cellIs" dxfId="2237" priority="2884" operator="equal">
      <formula>0</formula>
    </cfRule>
    <cfRule type="cellIs" dxfId="2236" priority="2885" operator="equal">
      <formula>3</formula>
    </cfRule>
    <cfRule type="cellIs" dxfId="2235" priority="2886" operator="equal">
      <formula>2</formula>
    </cfRule>
    <cfRule type="cellIs" dxfId="2234" priority="2887" operator="equal">
      <formula>1</formula>
    </cfRule>
    <cfRule type="cellIs" dxfId="2233" priority="2888" operator="equal">
      <formula>4</formula>
    </cfRule>
  </conditionalFormatting>
  <conditionalFormatting sqref="F853">
    <cfRule type="cellIs" dxfId="2232" priority="2875" operator="equal">
      <formula>"Tax"</formula>
    </cfRule>
  </conditionalFormatting>
  <conditionalFormatting sqref="F853">
    <cfRule type="dataBar" priority="2870">
      <dataBar>
        <cfvo type="min"/>
        <cfvo type="max"/>
        <color rgb="FF638EC6"/>
      </dataBar>
    </cfRule>
    <cfRule type="colorScale" priority="2871">
      <colorScale>
        <cfvo type="min"/>
        <cfvo type="percentile" val="50"/>
        <cfvo type="max"/>
        <color rgb="FFF8696B"/>
        <color rgb="FFFFEB84"/>
        <color rgb="FF63BE7B"/>
      </colorScale>
    </cfRule>
    <cfRule type="cellIs" dxfId="2231" priority="2872" operator="equal">
      <formula>"Tax"</formula>
    </cfRule>
    <cfRule type="dataBar" priority="2873">
      <dataBar>
        <cfvo type="min"/>
        <cfvo type="max"/>
        <color rgb="FF638EC6"/>
      </dataBar>
    </cfRule>
    <cfRule type="colorScale" priority="2874">
      <colorScale>
        <cfvo type="min"/>
        <cfvo type="percentile" val="50"/>
        <cfvo type="max"/>
        <color rgb="FFF8696B"/>
        <color rgb="FFFFEB84"/>
        <color rgb="FF63BE7B"/>
      </colorScale>
    </cfRule>
    <cfRule type="cellIs" dxfId="2230" priority="2876" operator="equal">
      <formula>"Income"</formula>
    </cfRule>
    <cfRule type="cellIs" dxfId="2229" priority="2877" operator="equal">
      <formula>"Cost of Sales"</formula>
    </cfRule>
    <cfRule type="cellIs" dxfId="2228" priority="2878" operator="equal">
      <formula>"Payroll"</formula>
    </cfRule>
    <cfRule type="cellIs" dxfId="2227" priority="2879" operator="equal">
      <formula>"Investment"</formula>
    </cfRule>
    <cfRule type="cellIs" dxfId="2226" priority="2880" operator="equal">
      <formula>"Sunk"</formula>
    </cfRule>
    <cfRule type="cellIs" dxfId="2225" priority="2881" operator="equal">
      <formula>"OpEx"</formula>
    </cfRule>
    <cfRule type="cellIs" dxfId="2224" priority="2882" operator="equal">
      <formula>"CapEx"</formula>
    </cfRule>
  </conditionalFormatting>
  <conditionalFormatting sqref="F853">
    <cfRule type="cellIs" dxfId="2223" priority="2863" operator="equal">
      <formula>"Income"</formula>
    </cfRule>
    <cfRule type="cellIs" dxfId="2222" priority="2864" operator="equal">
      <formula>"Cost of Sales"</formula>
    </cfRule>
    <cfRule type="cellIs" dxfId="2221" priority="2865" operator="equal">
      <formula>"Payroll"</formula>
    </cfRule>
    <cfRule type="cellIs" dxfId="2220" priority="2866" operator="equal">
      <formula>"Investment"</formula>
    </cfRule>
    <cfRule type="cellIs" dxfId="2219" priority="2867" operator="equal">
      <formula>"Sunk"</formula>
    </cfRule>
    <cfRule type="cellIs" dxfId="2218" priority="2868" operator="equal">
      <formula>"OpEx"</formula>
    </cfRule>
    <cfRule type="cellIs" dxfId="2217" priority="2869" operator="equal">
      <formula>"CapEx"</formula>
    </cfRule>
  </conditionalFormatting>
  <conditionalFormatting sqref="I853">
    <cfRule type="containsBlanks" dxfId="2216" priority="2862">
      <formula>LEN(TRIM(I853))=0</formula>
    </cfRule>
  </conditionalFormatting>
  <conditionalFormatting sqref="J853">
    <cfRule type="cellIs" dxfId="2215" priority="2856" operator="equal">
      <formula>5</formula>
    </cfRule>
    <cfRule type="cellIs" dxfId="2214" priority="2857" operator="equal">
      <formula>0</formula>
    </cfRule>
    <cfRule type="cellIs" dxfId="2213" priority="2858" operator="equal">
      <formula>3</formula>
    </cfRule>
    <cfRule type="cellIs" dxfId="2212" priority="2859" operator="equal">
      <formula>2</formula>
    </cfRule>
    <cfRule type="cellIs" dxfId="2211" priority="2860" operator="equal">
      <formula>1</formula>
    </cfRule>
    <cfRule type="cellIs" dxfId="2210" priority="2861" operator="equal">
      <formula>4</formula>
    </cfRule>
  </conditionalFormatting>
  <conditionalFormatting sqref="F854">
    <cfRule type="dataBar" priority="2853">
      <dataBar>
        <cfvo type="min"/>
        <cfvo type="max"/>
        <color rgb="FF638EC6"/>
      </dataBar>
    </cfRule>
    <cfRule type="colorScale" priority="2854">
      <colorScale>
        <cfvo type="min"/>
        <cfvo type="percentile" val="50"/>
        <cfvo type="max"/>
        <color rgb="FFF8696B"/>
        <color rgb="FFFFEB84"/>
        <color rgb="FF63BE7B"/>
      </colorScale>
    </cfRule>
    <cfRule type="cellIs" dxfId="2209" priority="2855" operator="equal">
      <formula>"Tax"</formula>
    </cfRule>
  </conditionalFormatting>
  <conditionalFormatting sqref="F854">
    <cfRule type="cellIs" dxfId="2208" priority="2846" operator="equal">
      <formula>"Cost of Sales"</formula>
    </cfRule>
    <cfRule type="cellIs" dxfId="2207" priority="2847" operator="equal">
      <formula>"Payroll"</formula>
    </cfRule>
    <cfRule type="cellIs" dxfId="2206" priority="2848" operator="equal">
      <formula>"Investment"</formula>
    </cfRule>
    <cfRule type="cellIs" dxfId="2205" priority="2849" operator="equal">
      <formula>"Sunk"</formula>
    </cfRule>
    <cfRule type="cellIs" dxfId="2204" priority="2850" operator="equal">
      <formula>"OpEx"</formula>
    </cfRule>
    <cfRule type="cellIs" dxfId="2203" priority="2851" operator="equal">
      <formula>"CapEx"</formula>
    </cfRule>
    <cfRule type="cellIs" dxfId="2202" priority="2852" operator="equal">
      <formula>"Income"</formula>
    </cfRule>
  </conditionalFormatting>
  <conditionalFormatting sqref="F855">
    <cfRule type="dataBar" priority="2829">
      <dataBar>
        <cfvo type="min"/>
        <cfvo type="max"/>
        <color rgb="FF638EC6"/>
      </dataBar>
    </cfRule>
    <cfRule type="colorScale" priority="2830">
      <colorScale>
        <cfvo type="min"/>
        <cfvo type="percentile" val="50"/>
        <cfvo type="max"/>
        <color rgb="FFF8696B"/>
        <color rgb="FFFFEB84"/>
        <color rgb="FF63BE7B"/>
      </colorScale>
    </cfRule>
    <cfRule type="cellIs" dxfId="2201" priority="2831" operator="equal">
      <formula>"Tax"</formula>
    </cfRule>
    <cfRule type="cellIs" dxfId="2200" priority="2832" operator="equal">
      <formula>"Income"</formula>
    </cfRule>
    <cfRule type="cellIs" dxfId="2199" priority="2833" operator="equal">
      <formula>"Cost of Sales"</formula>
    </cfRule>
    <cfRule type="cellIs" dxfId="2198" priority="2834" operator="equal">
      <formula>"Payroll"</formula>
    </cfRule>
    <cfRule type="cellIs" dxfId="2197" priority="2835" operator="equal">
      <formula>"Investment"</formula>
    </cfRule>
    <cfRule type="cellIs" dxfId="2196" priority="2836" operator="equal">
      <formula>"Sunk"</formula>
    </cfRule>
    <cfRule type="cellIs" dxfId="2195" priority="2837" operator="equal">
      <formula>"OpEx"</formula>
    </cfRule>
    <cfRule type="cellIs" dxfId="2194" priority="2838" operator="equal">
      <formula>"CapEx"</formula>
    </cfRule>
  </conditionalFormatting>
  <conditionalFormatting sqref="F856">
    <cfRule type="dataBar" priority="2806">
      <dataBar>
        <cfvo type="min"/>
        <cfvo type="max"/>
        <color rgb="FF638EC6"/>
      </dataBar>
    </cfRule>
    <cfRule type="colorScale" priority="2807">
      <colorScale>
        <cfvo type="min"/>
        <cfvo type="percentile" val="50"/>
        <cfvo type="max"/>
        <color rgb="FFF8696B"/>
        <color rgb="FFFFEB84"/>
        <color rgb="FF63BE7B"/>
      </colorScale>
    </cfRule>
    <cfRule type="cellIs" dxfId="2193" priority="2808" operator="equal">
      <formula>"Tax"</formula>
    </cfRule>
    <cfRule type="cellIs" dxfId="2192" priority="2809" operator="equal">
      <formula>"Cost of Sales"</formula>
    </cfRule>
    <cfRule type="cellIs" dxfId="2191" priority="2810" operator="equal">
      <formula>"Payroll"</formula>
    </cfRule>
    <cfRule type="cellIs" dxfId="2190" priority="2811" operator="equal">
      <formula>"Investment"</formula>
    </cfRule>
    <cfRule type="cellIs" dxfId="2189" priority="2812" operator="equal">
      <formula>"Sunk"</formula>
    </cfRule>
    <cfRule type="cellIs" dxfId="2188" priority="2813" operator="equal">
      <formula>"OpEx"</formula>
    </cfRule>
    <cfRule type="cellIs" dxfId="2187" priority="2814" operator="equal">
      <formula>"CapEx"</formula>
    </cfRule>
    <cfRule type="cellIs" dxfId="2186" priority="2815" operator="equal">
      <formula>"Income"</formula>
    </cfRule>
    <cfRule type="dataBar" priority="2816">
      <dataBar>
        <cfvo type="min"/>
        <cfvo type="max"/>
        <color rgb="FF638EC6"/>
      </dataBar>
    </cfRule>
    <cfRule type="colorScale" priority="2817">
      <colorScale>
        <cfvo type="min"/>
        <cfvo type="percentile" val="50"/>
        <cfvo type="max"/>
        <color rgb="FFF8696B"/>
        <color rgb="FFFFEB84"/>
        <color rgb="FF63BE7B"/>
      </colorScale>
    </cfRule>
    <cfRule type="cellIs" dxfId="2185" priority="2818" operator="equal">
      <formula>"Tax"</formula>
    </cfRule>
  </conditionalFormatting>
  <conditionalFormatting sqref="H854">
    <cfRule type="cellIs" dxfId="2184" priority="2839" operator="equal">
      <formula>"GBP"</formula>
    </cfRule>
    <cfRule type="cellIs" dxfId="2183" priority="2840" operator="equal">
      <formula>"EUR"</formula>
    </cfRule>
    <cfRule type="cellIs" dxfId="2182" priority="2841" operator="equal">
      <formula>"USD"</formula>
    </cfRule>
    <cfRule type="cellIs" dxfId="2181" priority="2842" operator="equal">
      <formula>"EGP"</formula>
    </cfRule>
  </conditionalFormatting>
  <conditionalFormatting sqref="F857">
    <cfRule type="dataBar" priority="2792">
      <dataBar>
        <cfvo type="min"/>
        <cfvo type="max"/>
        <color rgb="FF638EC6"/>
      </dataBar>
    </cfRule>
    <cfRule type="colorScale" priority="2793">
      <colorScale>
        <cfvo type="min"/>
        <cfvo type="percentile" val="50"/>
        <cfvo type="max"/>
        <color rgb="FFF8696B"/>
        <color rgb="FFFFEB84"/>
        <color rgb="FF63BE7B"/>
      </colorScale>
    </cfRule>
    <cfRule type="cellIs" dxfId="2180" priority="2794" operator="equal">
      <formula>"Tax"</formula>
    </cfRule>
  </conditionalFormatting>
  <conditionalFormatting sqref="F857:F858">
    <cfRule type="cellIs" dxfId="2179" priority="2785" operator="equal">
      <formula>"Cost of Sales"</formula>
    </cfRule>
    <cfRule type="cellIs" dxfId="2178" priority="2786" operator="equal">
      <formula>"Payroll"</formula>
    </cfRule>
    <cfRule type="cellIs" dxfId="2177" priority="2787" operator="equal">
      <formula>"Investment"</formula>
    </cfRule>
    <cfRule type="cellIs" dxfId="2176" priority="2788" operator="equal">
      <formula>"Sunk"</formula>
    </cfRule>
    <cfRule type="cellIs" dxfId="2175" priority="2789" operator="equal">
      <formula>"OpEx"</formula>
    </cfRule>
    <cfRule type="cellIs" dxfId="2174" priority="2790" operator="equal">
      <formula>"CapEx"</formula>
    </cfRule>
    <cfRule type="cellIs" dxfId="2173" priority="2791" operator="equal">
      <formula>"Income"</formula>
    </cfRule>
  </conditionalFormatting>
  <conditionalFormatting sqref="F858">
    <cfRule type="dataBar" priority="2782">
      <dataBar>
        <cfvo type="min"/>
        <cfvo type="max"/>
        <color rgb="FF638EC6"/>
      </dataBar>
    </cfRule>
    <cfRule type="colorScale" priority="2783">
      <colorScale>
        <cfvo type="min"/>
        <cfvo type="percentile" val="50"/>
        <cfvo type="max"/>
        <color rgb="FFF8696B"/>
        <color rgb="FFFFEB84"/>
        <color rgb="FF63BE7B"/>
      </colorScale>
    </cfRule>
    <cfRule type="cellIs" dxfId="2172" priority="2784" operator="equal">
      <formula>"Tax"</formula>
    </cfRule>
  </conditionalFormatting>
  <conditionalFormatting sqref="H857:H858">
    <cfRule type="cellIs" dxfId="2171" priority="2778" operator="equal">
      <formula>"GBP"</formula>
    </cfRule>
    <cfRule type="cellIs" dxfId="2170" priority="2779" operator="equal">
      <formula>"EUR"</formula>
    </cfRule>
    <cfRule type="cellIs" dxfId="2169" priority="2780" operator="equal">
      <formula>"USD"</formula>
    </cfRule>
    <cfRule type="cellIs" dxfId="2168" priority="2781" operator="equal">
      <formula>"EGP"</formula>
    </cfRule>
  </conditionalFormatting>
  <conditionalFormatting sqref="I857:I858">
    <cfRule type="containsBlanks" dxfId="2167" priority="2777">
      <formula>LEN(TRIM(I857))=0</formula>
    </cfRule>
  </conditionalFormatting>
  <conditionalFormatting sqref="J857:J858">
    <cfRule type="cellIs" dxfId="2166" priority="2771" operator="equal">
      <formula>5</formula>
    </cfRule>
    <cfRule type="cellIs" dxfId="2165" priority="2772" operator="equal">
      <formula>0</formula>
    </cfRule>
    <cfRule type="cellIs" dxfId="2164" priority="2773" operator="equal">
      <formula>3</formula>
    </cfRule>
    <cfRule type="cellIs" dxfId="2163" priority="2774" operator="equal">
      <formula>2</formula>
    </cfRule>
    <cfRule type="cellIs" dxfId="2162" priority="2775" operator="equal">
      <formula>1</formula>
    </cfRule>
    <cfRule type="cellIs" dxfId="2161" priority="2776" operator="equal">
      <formula>4</formula>
    </cfRule>
  </conditionalFormatting>
  <conditionalFormatting sqref="L857:L858">
    <cfRule type="colorScale" priority="2770">
      <colorScale>
        <cfvo type="min"/>
        <cfvo type="percentile" val="50"/>
        <cfvo type="max"/>
        <color rgb="FFF8696B"/>
        <color rgb="FFFFEB84"/>
        <color rgb="FF63BE7B"/>
      </colorScale>
    </cfRule>
  </conditionalFormatting>
  <conditionalFormatting sqref="M857:P858">
    <cfRule type="colorScale" priority="2769">
      <colorScale>
        <cfvo type="min"/>
        <cfvo type="percentile" val="50"/>
        <cfvo type="max"/>
        <color rgb="FFF8696B"/>
        <color rgb="FFFFEB84"/>
        <color rgb="FF63BE7B"/>
      </colorScale>
    </cfRule>
  </conditionalFormatting>
  <conditionalFormatting sqref="Q857:Q858">
    <cfRule type="colorScale" priority="2768">
      <colorScale>
        <cfvo type="min"/>
        <cfvo type="percentile" val="50"/>
        <cfvo type="max"/>
        <color rgb="FFF8696B"/>
        <color rgb="FFFFEB84"/>
        <color rgb="FF63BE7B"/>
      </colorScale>
    </cfRule>
  </conditionalFormatting>
  <conditionalFormatting sqref="R857:R858">
    <cfRule type="colorScale" priority="2767">
      <colorScale>
        <cfvo type="min"/>
        <cfvo type="percentile" val="50"/>
        <cfvo type="max"/>
        <color rgb="FFF8696B"/>
        <color rgb="FFFFEB84"/>
        <color rgb="FF63BE7B"/>
      </colorScale>
    </cfRule>
  </conditionalFormatting>
  <conditionalFormatting sqref="F859:F860">
    <cfRule type="cellIs" dxfId="2160" priority="2766" operator="equal">
      <formula>"Income"</formula>
    </cfRule>
  </conditionalFormatting>
  <conditionalFormatting sqref="F859:F860">
    <cfRule type="cellIs" dxfId="2159" priority="2760" operator="equal">
      <formula>"Cost of Sales"</formula>
    </cfRule>
    <cfRule type="cellIs" dxfId="2158" priority="2761" operator="equal">
      <formula>"Payroll"</formula>
    </cfRule>
    <cfRule type="cellIs" dxfId="2157" priority="2762" operator="equal">
      <formula>"Investment"</formula>
    </cfRule>
    <cfRule type="cellIs" dxfId="2156" priority="2763" operator="equal">
      <formula>"Sunk"</formula>
    </cfRule>
    <cfRule type="cellIs" dxfId="2155" priority="2764" operator="equal">
      <formula>"OpEx"</formula>
    </cfRule>
    <cfRule type="cellIs" dxfId="2154" priority="2765" operator="equal">
      <formula>"CapEx"</formula>
    </cfRule>
  </conditionalFormatting>
  <conditionalFormatting sqref="F859">
    <cfRule type="dataBar" priority="2757">
      <dataBar>
        <cfvo type="min"/>
        <cfvo type="max"/>
        <color rgb="FF638EC6"/>
      </dataBar>
    </cfRule>
    <cfRule type="colorScale" priority="2758">
      <colorScale>
        <cfvo type="min"/>
        <cfvo type="percentile" val="50"/>
        <cfvo type="max"/>
        <color rgb="FFF8696B"/>
        <color rgb="FFFFEB84"/>
        <color rgb="FF63BE7B"/>
      </colorScale>
    </cfRule>
    <cfRule type="cellIs" dxfId="2153" priority="2759" operator="equal">
      <formula>"Tax"</formula>
    </cfRule>
  </conditionalFormatting>
  <conditionalFormatting sqref="F860">
    <cfRule type="dataBar" priority="2754">
      <dataBar>
        <cfvo type="min"/>
        <cfvo type="max"/>
        <color rgb="FF638EC6"/>
      </dataBar>
    </cfRule>
    <cfRule type="colorScale" priority="2755">
      <colorScale>
        <cfvo type="min"/>
        <cfvo type="percentile" val="50"/>
        <cfvo type="max"/>
        <color rgb="FFF8696B"/>
        <color rgb="FFFFEB84"/>
        <color rgb="FF63BE7B"/>
      </colorScale>
    </cfRule>
    <cfRule type="cellIs" dxfId="2152" priority="2756" operator="equal">
      <formula>"Tax"</formula>
    </cfRule>
  </conditionalFormatting>
  <conditionalFormatting sqref="H860">
    <cfRule type="cellIs" dxfId="2151" priority="2750" operator="equal">
      <formula>"GBP"</formula>
    </cfRule>
    <cfRule type="cellIs" dxfId="2150" priority="2751" operator="equal">
      <formula>"EUR"</formula>
    </cfRule>
    <cfRule type="cellIs" dxfId="2149" priority="2752" operator="equal">
      <formula>"USD"</formula>
    </cfRule>
    <cfRule type="cellIs" dxfId="2148" priority="2753" operator="equal">
      <formula>"EGP"</formula>
    </cfRule>
  </conditionalFormatting>
  <conditionalFormatting sqref="I859:I860">
    <cfRule type="containsBlanks" dxfId="2147" priority="2749">
      <formula>LEN(TRIM(I859))=0</formula>
    </cfRule>
  </conditionalFormatting>
  <conditionalFormatting sqref="J859:J860">
    <cfRule type="cellIs" dxfId="2146" priority="2743" operator="equal">
      <formula>5</formula>
    </cfRule>
    <cfRule type="cellIs" dxfId="2145" priority="2744" operator="equal">
      <formula>0</formula>
    </cfRule>
    <cfRule type="cellIs" dxfId="2144" priority="2745" operator="equal">
      <formula>3</formula>
    </cfRule>
    <cfRule type="cellIs" dxfId="2143" priority="2746" operator="equal">
      <formula>2</formula>
    </cfRule>
    <cfRule type="cellIs" dxfId="2142" priority="2747" operator="equal">
      <formula>1</formula>
    </cfRule>
    <cfRule type="cellIs" dxfId="2141" priority="2748" operator="equal">
      <formula>4</formula>
    </cfRule>
  </conditionalFormatting>
  <conditionalFormatting sqref="L859:L860">
    <cfRule type="colorScale" priority="2742">
      <colorScale>
        <cfvo type="min"/>
        <cfvo type="percentile" val="50"/>
        <cfvo type="max"/>
        <color rgb="FFF8696B"/>
        <color rgb="FFFFEB84"/>
        <color rgb="FF63BE7B"/>
      </colorScale>
    </cfRule>
  </conditionalFormatting>
  <conditionalFormatting sqref="M859:P860">
    <cfRule type="colorScale" priority="2741">
      <colorScale>
        <cfvo type="min"/>
        <cfvo type="percentile" val="50"/>
        <cfvo type="max"/>
        <color rgb="FFF8696B"/>
        <color rgb="FFFFEB84"/>
        <color rgb="FF63BE7B"/>
      </colorScale>
    </cfRule>
  </conditionalFormatting>
  <conditionalFormatting sqref="Q859:Q860">
    <cfRule type="colorScale" priority="2740">
      <colorScale>
        <cfvo type="min"/>
        <cfvo type="percentile" val="50"/>
        <cfvo type="max"/>
        <color rgb="FFF8696B"/>
        <color rgb="FFFFEB84"/>
        <color rgb="FF63BE7B"/>
      </colorScale>
    </cfRule>
  </conditionalFormatting>
  <conditionalFormatting sqref="R859:R860">
    <cfRule type="colorScale" priority="2739">
      <colorScale>
        <cfvo type="min"/>
        <cfvo type="percentile" val="50"/>
        <cfvo type="max"/>
        <color rgb="FFF8696B"/>
        <color rgb="FFFFEB84"/>
        <color rgb="FF63BE7B"/>
      </colorScale>
    </cfRule>
  </conditionalFormatting>
  <conditionalFormatting sqref="S859:S860">
    <cfRule type="colorScale" priority="2738">
      <colorScale>
        <cfvo type="min"/>
        <cfvo type="percentile" val="50"/>
        <cfvo type="max"/>
        <color rgb="FFF8696B"/>
        <color rgb="FFFFEB84"/>
        <color rgb="FF63BE7B"/>
      </colorScale>
    </cfRule>
  </conditionalFormatting>
  <conditionalFormatting sqref="D804:D813">
    <cfRule type="colorScale" priority="193975">
      <colorScale>
        <cfvo type="min"/>
        <cfvo type="percentile" val="50"/>
        <cfvo type="max"/>
        <color rgb="FFF8696B"/>
        <color rgb="FFFFEB84"/>
        <color rgb="FF63BE7B"/>
      </colorScale>
    </cfRule>
  </conditionalFormatting>
  <conditionalFormatting sqref="S804:S813">
    <cfRule type="colorScale" priority="194026">
      <colorScale>
        <cfvo type="min"/>
        <cfvo type="percentile" val="50"/>
        <cfvo type="max"/>
        <color rgb="FFF8696B"/>
        <color rgb="FFFFEB84"/>
        <color rgb="FF63BE7B"/>
      </colorScale>
    </cfRule>
  </conditionalFormatting>
  <conditionalFormatting sqref="V859:V860">
    <cfRule type="colorScale" priority="2737">
      <colorScale>
        <cfvo type="min"/>
        <cfvo type="percentile" val="50"/>
        <cfvo type="max"/>
        <color rgb="FFF8696B"/>
        <color rgb="FFFFEB84"/>
        <color rgb="FF63BE7B"/>
      </colorScale>
    </cfRule>
  </conditionalFormatting>
  <conditionalFormatting sqref="F863">
    <cfRule type="dataBar" priority="2696">
      <dataBar>
        <cfvo type="min"/>
        <cfvo type="max"/>
        <color rgb="FF638EC6"/>
      </dataBar>
    </cfRule>
    <cfRule type="colorScale" priority="2697">
      <colorScale>
        <cfvo type="min"/>
        <cfvo type="percentile" val="50"/>
        <cfvo type="max"/>
        <color rgb="FFF8696B"/>
        <color rgb="FFFFEB84"/>
        <color rgb="FF63BE7B"/>
      </colorScale>
    </cfRule>
    <cfRule type="cellIs" dxfId="2140" priority="2698" operator="equal">
      <formula>"Tax"</formula>
    </cfRule>
    <cfRule type="cellIs" dxfId="2139" priority="2699" operator="equal">
      <formula>"Income"</formula>
    </cfRule>
    <cfRule type="cellIs" dxfId="2138" priority="2700" operator="equal">
      <formula>"Cost of Sales"</formula>
    </cfRule>
    <cfRule type="cellIs" dxfId="2137" priority="2701" operator="equal">
      <formula>"Payroll"</formula>
    </cfRule>
    <cfRule type="cellIs" dxfId="2136" priority="2702" operator="equal">
      <formula>"Investment"</formula>
    </cfRule>
    <cfRule type="cellIs" dxfId="2135" priority="2703" operator="equal">
      <formula>"Sunk"</formula>
    </cfRule>
    <cfRule type="cellIs" dxfId="2134" priority="2704" operator="equal">
      <formula>"OpEx"</formula>
    </cfRule>
    <cfRule type="cellIs" dxfId="2133" priority="2705" operator="equal">
      <formula>"CapEx"</formula>
    </cfRule>
  </conditionalFormatting>
  <conditionalFormatting sqref="H863">
    <cfRule type="cellIs" dxfId="2132" priority="2692" operator="equal">
      <formula>"GBP"</formula>
    </cfRule>
    <cfRule type="cellIs" dxfId="2131" priority="2693" operator="equal">
      <formula>"EUR"</formula>
    </cfRule>
    <cfRule type="cellIs" dxfId="2130" priority="2694" operator="equal">
      <formula>"USD"</formula>
    </cfRule>
    <cfRule type="cellIs" dxfId="2129" priority="2695" operator="equal">
      <formula>"EGP"</formula>
    </cfRule>
  </conditionalFormatting>
  <conditionalFormatting sqref="I863">
    <cfRule type="containsBlanks" dxfId="2128" priority="2691">
      <formula>LEN(TRIM(I863))=0</formula>
    </cfRule>
  </conditionalFormatting>
  <conditionalFormatting sqref="J863">
    <cfRule type="cellIs" dxfId="2127" priority="2685" operator="equal">
      <formula>5</formula>
    </cfRule>
    <cfRule type="cellIs" dxfId="2126" priority="2686" operator="equal">
      <formula>0</formula>
    </cfRule>
    <cfRule type="cellIs" dxfId="2125" priority="2687" operator="equal">
      <formula>3</formula>
    </cfRule>
    <cfRule type="cellIs" dxfId="2124" priority="2688" operator="equal">
      <formula>2</formula>
    </cfRule>
    <cfRule type="cellIs" dxfId="2123" priority="2689" operator="equal">
      <formula>1</formula>
    </cfRule>
    <cfRule type="cellIs" dxfId="2122" priority="2690" operator="equal">
      <formula>4</formula>
    </cfRule>
  </conditionalFormatting>
  <conditionalFormatting sqref="F861">
    <cfRule type="dataBar" priority="2675">
      <dataBar>
        <cfvo type="min"/>
        <cfvo type="max"/>
        <color rgb="FF638EC6"/>
      </dataBar>
    </cfRule>
    <cfRule type="colorScale" priority="2676">
      <colorScale>
        <cfvo type="min"/>
        <cfvo type="percentile" val="50"/>
        <cfvo type="max"/>
        <color rgb="FFF8696B"/>
        <color rgb="FFFFEB84"/>
        <color rgb="FF63BE7B"/>
      </colorScale>
    </cfRule>
    <cfRule type="cellIs" dxfId="2121" priority="2677" operator="equal">
      <formula>"Tax"</formula>
    </cfRule>
    <cfRule type="cellIs" dxfId="2120" priority="2678" operator="equal">
      <formula>"Income"</formula>
    </cfRule>
    <cfRule type="cellIs" dxfId="2119" priority="2679" operator="equal">
      <formula>"Cost of Sales"</formula>
    </cfRule>
    <cfRule type="cellIs" dxfId="2118" priority="2680" operator="equal">
      <formula>"Payroll"</formula>
    </cfRule>
    <cfRule type="cellIs" dxfId="2117" priority="2681" operator="equal">
      <formula>"Investment"</formula>
    </cfRule>
    <cfRule type="cellIs" dxfId="2116" priority="2682" operator="equal">
      <formula>"Sunk"</formula>
    </cfRule>
    <cfRule type="cellIs" dxfId="2115" priority="2683" operator="equal">
      <formula>"OpEx"</formula>
    </cfRule>
    <cfRule type="cellIs" dxfId="2114" priority="2684" operator="equal">
      <formula>"CapEx"</formula>
    </cfRule>
  </conditionalFormatting>
  <conditionalFormatting sqref="H861">
    <cfRule type="cellIs" dxfId="2113" priority="2671" operator="equal">
      <formula>"GBP"</formula>
    </cfRule>
    <cfRule type="cellIs" dxfId="2112" priority="2672" operator="equal">
      <formula>"EUR"</formula>
    </cfRule>
    <cfRule type="cellIs" dxfId="2111" priority="2673" operator="equal">
      <formula>"USD"</formula>
    </cfRule>
    <cfRule type="cellIs" dxfId="2110" priority="2674" operator="equal">
      <formula>"EGP"</formula>
    </cfRule>
  </conditionalFormatting>
  <conditionalFormatting sqref="I861">
    <cfRule type="containsBlanks" dxfId="2109" priority="2670">
      <formula>LEN(TRIM(I861))=0</formula>
    </cfRule>
  </conditionalFormatting>
  <conditionalFormatting sqref="J861">
    <cfRule type="cellIs" dxfId="2108" priority="2664" operator="equal">
      <formula>5</formula>
    </cfRule>
    <cfRule type="cellIs" dxfId="2107" priority="2665" operator="equal">
      <formula>0</formula>
    </cfRule>
    <cfRule type="cellIs" dxfId="2106" priority="2666" operator="equal">
      <formula>3</formula>
    </cfRule>
    <cfRule type="cellIs" dxfId="2105" priority="2667" operator="equal">
      <formula>2</formula>
    </cfRule>
    <cfRule type="cellIs" dxfId="2104" priority="2668" operator="equal">
      <formula>1</formula>
    </cfRule>
    <cfRule type="cellIs" dxfId="2103" priority="2669" operator="equal">
      <formula>4</formula>
    </cfRule>
  </conditionalFormatting>
  <conditionalFormatting sqref="F864">
    <cfRule type="dataBar" priority="2654">
      <dataBar>
        <cfvo type="min"/>
        <cfvo type="max"/>
        <color rgb="FF638EC6"/>
      </dataBar>
    </cfRule>
    <cfRule type="colorScale" priority="2655">
      <colorScale>
        <cfvo type="min"/>
        <cfvo type="percentile" val="50"/>
        <cfvo type="max"/>
        <color rgb="FFF8696B"/>
        <color rgb="FFFFEB84"/>
        <color rgb="FF63BE7B"/>
      </colorScale>
    </cfRule>
    <cfRule type="cellIs" dxfId="2102" priority="2656" operator="equal">
      <formula>"Tax"</formula>
    </cfRule>
    <cfRule type="cellIs" dxfId="2101" priority="2657" operator="equal">
      <formula>"Income"</formula>
    </cfRule>
    <cfRule type="cellIs" dxfId="2100" priority="2658" operator="equal">
      <formula>"Cost of Sales"</formula>
    </cfRule>
    <cfRule type="cellIs" dxfId="2099" priority="2659" operator="equal">
      <formula>"Payroll"</formula>
    </cfRule>
    <cfRule type="cellIs" dxfId="2098" priority="2660" operator="equal">
      <formula>"Investment"</formula>
    </cfRule>
    <cfRule type="cellIs" dxfId="2097" priority="2661" operator="equal">
      <formula>"Sunk"</formula>
    </cfRule>
    <cfRule type="cellIs" dxfId="2096" priority="2662" operator="equal">
      <formula>"OpEx"</formula>
    </cfRule>
    <cfRule type="cellIs" dxfId="2095" priority="2663" operator="equal">
      <formula>"CapEx"</formula>
    </cfRule>
  </conditionalFormatting>
  <conditionalFormatting sqref="I864">
    <cfRule type="containsBlanks" dxfId="2094" priority="2653">
      <formula>LEN(TRIM(I864))=0</formula>
    </cfRule>
  </conditionalFormatting>
  <conditionalFormatting sqref="J864">
    <cfRule type="cellIs" dxfId="2093" priority="2647" operator="equal">
      <formula>5</formula>
    </cfRule>
    <cfRule type="cellIs" dxfId="2092" priority="2648" operator="equal">
      <formula>0</formula>
    </cfRule>
    <cfRule type="cellIs" dxfId="2091" priority="2649" operator="equal">
      <formula>3</formula>
    </cfRule>
    <cfRule type="cellIs" dxfId="2090" priority="2650" operator="equal">
      <formula>2</formula>
    </cfRule>
    <cfRule type="cellIs" dxfId="2089" priority="2651" operator="equal">
      <formula>1</formula>
    </cfRule>
    <cfRule type="cellIs" dxfId="2088" priority="2652" operator="equal">
      <formula>4</formula>
    </cfRule>
  </conditionalFormatting>
  <conditionalFormatting sqref="F862">
    <cfRule type="dataBar" priority="2637">
      <dataBar>
        <cfvo type="min"/>
        <cfvo type="max"/>
        <color rgb="FF638EC6"/>
      </dataBar>
    </cfRule>
    <cfRule type="colorScale" priority="2638">
      <colorScale>
        <cfvo type="min"/>
        <cfvo type="percentile" val="50"/>
        <cfvo type="max"/>
        <color rgb="FFF8696B"/>
        <color rgb="FFFFEB84"/>
        <color rgb="FF63BE7B"/>
      </colorScale>
    </cfRule>
    <cfRule type="cellIs" dxfId="2087" priority="2639" operator="equal">
      <formula>"Cost of Sales"</formula>
    </cfRule>
    <cfRule type="cellIs" dxfId="2086" priority="2640" operator="equal">
      <formula>"Payroll"</formula>
    </cfRule>
    <cfRule type="cellIs" dxfId="2085" priority="2641" operator="equal">
      <formula>"Investment"</formula>
    </cfRule>
    <cfRule type="cellIs" dxfId="2084" priority="2642" operator="equal">
      <formula>"Sunk"</formula>
    </cfRule>
    <cfRule type="cellIs" dxfId="2083" priority="2643" operator="equal">
      <formula>"OpEx"</formula>
    </cfRule>
    <cfRule type="cellIs" dxfId="2082" priority="2644" operator="equal">
      <formula>"CapEx"</formula>
    </cfRule>
    <cfRule type="cellIs" dxfId="2081" priority="2645" operator="equal">
      <formula>"Income"</formula>
    </cfRule>
    <cfRule type="cellIs" dxfId="2080" priority="2646" operator="equal">
      <formula>"Tax"</formula>
    </cfRule>
  </conditionalFormatting>
  <conditionalFormatting sqref="H862">
    <cfRule type="cellIs" dxfId="2079" priority="2632" operator="equal">
      <formula>"GBP"</formula>
    </cfRule>
    <cfRule type="cellIs" dxfId="2078" priority="2633" operator="equal">
      <formula>"EUR"</formula>
    </cfRule>
    <cfRule type="cellIs" dxfId="2077" priority="2634" operator="equal">
      <formula>"USD"</formula>
    </cfRule>
    <cfRule type="cellIs" dxfId="2076" priority="2635" operator="equal">
      <formula>"EGP"</formula>
    </cfRule>
  </conditionalFormatting>
  <conditionalFormatting sqref="I862">
    <cfRule type="containsBlanks" dxfId="2075" priority="2636">
      <formula>LEN(TRIM(I862))=0</formula>
    </cfRule>
  </conditionalFormatting>
  <conditionalFormatting sqref="J862">
    <cfRule type="cellIs" dxfId="2074" priority="2626" operator="equal">
      <formula>5</formula>
    </cfRule>
    <cfRule type="cellIs" dxfId="2073" priority="2627" operator="equal">
      <formula>0</formula>
    </cfRule>
    <cfRule type="cellIs" dxfId="2072" priority="2628" operator="equal">
      <formula>3</formula>
    </cfRule>
    <cfRule type="cellIs" dxfId="2071" priority="2629" operator="equal">
      <formula>2</formula>
    </cfRule>
    <cfRule type="cellIs" dxfId="2070" priority="2630" operator="equal">
      <formula>1</formula>
    </cfRule>
    <cfRule type="cellIs" dxfId="2069" priority="2631" operator="equal">
      <formula>4</formula>
    </cfRule>
  </conditionalFormatting>
  <conditionalFormatting sqref="F868">
    <cfRule type="cellIs" dxfId="2068" priority="2605" operator="equal">
      <formula>"Tax"</formula>
    </cfRule>
    <cfRule type="cellIs" dxfId="2067" priority="2606" operator="equal">
      <formula>"Income"</formula>
    </cfRule>
    <cfRule type="cellIs" dxfId="2066" priority="2607" operator="equal">
      <formula>"Cost of Sales"</formula>
    </cfRule>
    <cfRule type="cellIs" dxfId="2065" priority="2608" operator="equal">
      <formula>"Payroll"</formula>
    </cfRule>
    <cfRule type="cellIs" dxfId="2064" priority="2609" operator="equal">
      <formula>"Investment"</formula>
    </cfRule>
    <cfRule type="cellIs" dxfId="2063" priority="2610" operator="equal">
      <formula>"Sunk"</formula>
    </cfRule>
    <cfRule type="cellIs" dxfId="2062" priority="2611" operator="equal">
      <formula>"OpEx"</formula>
    </cfRule>
    <cfRule type="cellIs" dxfId="2061" priority="2612" operator="equal">
      <formula>"CapEx"</formula>
    </cfRule>
    <cfRule type="cellIs" dxfId="2060" priority="2615" operator="equal">
      <formula>"Tax"</formula>
    </cfRule>
    <cfRule type="cellIs" dxfId="2059" priority="2616" operator="equal">
      <formula>"Income"</formula>
    </cfRule>
    <cfRule type="cellIs" dxfId="2058" priority="2619" operator="equal">
      <formula>"Tax"</formula>
    </cfRule>
    <cfRule type="cellIs" dxfId="2057" priority="2620" operator="equal">
      <formula>"Cost of Sales"</formula>
    </cfRule>
    <cfRule type="cellIs" dxfId="2056" priority="2621" operator="equal">
      <formula>"Payroll"</formula>
    </cfRule>
    <cfRule type="cellIs" dxfId="2055" priority="2622" operator="equal">
      <formula>"Investment"</formula>
    </cfRule>
    <cfRule type="cellIs" dxfId="2054" priority="2623" operator="equal">
      <formula>"Sunk"</formula>
    </cfRule>
    <cfRule type="cellIs" dxfId="2053" priority="2624" operator="equal">
      <formula>"OpEx"</formula>
    </cfRule>
    <cfRule type="cellIs" dxfId="2052" priority="2625" operator="equal">
      <formula>"CapEx"</formula>
    </cfRule>
  </conditionalFormatting>
  <conditionalFormatting sqref="F868">
    <cfRule type="cellIs" dxfId="2051" priority="2592" operator="equal">
      <formula>"Income"</formula>
    </cfRule>
    <cfRule type="cellIs" dxfId="2050" priority="2593" operator="equal">
      <formula>"Cost of Sales"</formula>
    </cfRule>
    <cfRule type="cellIs" dxfId="2049" priority="2594" operator="equal">
      <formula>"Payroll"</formula>
    </cfRule>
    <cfRule type="cellIs" dxfId="2048" priority="2595" operator="equal">
      <formula>"Investment"</formula>
    </cfRule>
    <cfRule type="cellIs" dxfId="2047" priority="2596" operator="equal">
      <formula>"Sunk"</formula>
    </cfRule>
    <cfRule type="cellIs" dxfId="2046" priority="2597" operator="equal">
      <formula>"OpEx"</formula>
    </cfRule>
    <cfRule type="cellIs" dxfId="2045" priority="2598" operator="equal">
      <formula>"CapEx"</formula>
    </cfRule>
  </conditionalFormatting>
  <conditionalFormatting sqref="F868">
    <cfRule type="dataBar" priority="2603">
      <dataBar>
        <cfvo type="min"/>
        <cfvo type="max"/>
        <color rgb="FF638EC6"/>
      </dataBar>
    </cfRule>
    <cfRule type="colorScale" priority="2604">
      <colorScale>
        <cfvo type="min"/>
        <cfvo type="percentile" val="50"/>
        <cfvo type="max"/>
        <color rgb="FFF8696B"/>
        <color rgb="FFFFEB84"/>
        <color rgb="FF63BE7B"/>
      </colorScale>
    </cfRule>
    <cfRule type="dataBar" priority="2613">
      <dataBar>
        <cfvo type="min"/>
        <cfvo type="max"/>
        <color rgb="FF638EC6"/>
      </dataBar>
    </cfRule>
    <cfRule type="colorScale" priority="2614">
      <colorScale>
        <cfvo type="min"/>
        <cfvo type="percentile" val="50"/>
        <cfvo type="max"/>
        <color rgb="FFF8696B"/>
        <color rgb="FFFFEB84"/>
        <color rgb="FF63BE7B"/>
      </colorScale>
    </cfRule>
    <cfRule type="dataBar" priority="2617">
      <dataBar>
        <cfvo type="min"/>
        <cfvo type="max"/>
        <color rgb="FF638EC6"/>
      </dataBar>
    </cfRule>
    <cfRule type="colorScale" priority="2618">
      <colorScale>
        <cfvo type="min"/>
        <cfvo type="percentile" val="50"/>
        <cfvo type="max"/>
        <color rgb="FFF8696B"/>
        <color rgb="FFFFEB84"/>
        <color rgb="FF63BE7B"/>
      </colorScale>
    </cfRule>
  </conditionalFormatting>
  <conditionalFormatting sqref="H868">
    <cfRule type="cellIs" dxfId="2044" priority="2599" operator="equal">
      <formula>"GBP"</formula>
    </cfRule>
    <cfRule type="cellIs" dxfId="2043" priority="2600" operator="equal">
      <formula>"EUR"</formula>
    </cfRule>
    <cfRule type="cellIs" dxfId="2042" priority="2601" operator="equal">
      <formula>"USD"</formula>
    </cfRule>
    <cfRule type="cellIs" dxfId="2041" priority="2602" operator="equal">
      <formula>"EGP"</formula>
    </cfRule>
  </conditionalFormatting>
  <conditionalFormatting sqref="I868">
    <cfRule type="containsBlanks" dxfId="2040" priority="2591">
      <formula>LEN(TRIM(I868))=0</formula>
    </cfRule>
  </conditionalFormatting>
  <conditionalFormatting sqref="J868">
    <cfRule type="cellIs" dxfId="2039" priority="2585" operator="equal">
      <formula>5</formula>
    </cfRule>
    <cfRule type="cellIs" dxfId="2038" priority="2586" operator="equal">
      <formula>0</formula>
    </cfRule>
    <cfRule type="cellIs" dxfId="2037" priority="2587" operator="equal">
      <formula>3</formula>
    </cfRule>
    <cfRule type="cellIs" dxfId="2036" priority="2588" operator="equal">
      <formula>2</formula>
    </cfRule>
    <cfRule type="cellIs" dxfId="2035" priority="2589" operator="equal">
      <formula>1</formula>
    </cfRule>
    <cfRule type="cellIs" dxfId="2034" priority="2590" operator="equal">
      <formula>4</formula>
    </cfRule>
  </conditionalFormatting>
  <conditionalFormatting sqref="F867">
    <cfRule type="dataBar" priority="2575">
      <dataBar>
        <cfvo type="min"/>
        <cfvo type="max"/>
        <color rgb="FF638EC6"/>
      </dataBar>
    </cfRule>
    <cfRule type="colorScale" priority="2576">
      <colorScale>
        <cfvo type="min"/>
        <cfvo type="percentile" val="50"/>
        <cfvo type="max"/>
        <color rgb="FFF8696B"/>
        <color rgb="FFFFEB84"/>
        <color rgb="FF63BE7B"/>
      </colorScale>
    </cfRule>
    <cfRule type="cellIs" dxfId="2033" priority="2577" operator="equal">
      <formula>"Tax"</formula>
    </cfRule>
    <cfRule type="cellIs" dxfId="2032" priority="2578" operator="equal">
      <formula>"Income"</formula>
    </cfRule>
    <cfRule type="cellIs" dxfId="2031" priority="2579" operator="equal">
      <formula>"Cost of Sales"</formula>
    </cfRule>
    <cfRule type="cellIs" dxfId="2030" priority="2580" operator="equal">
      <formula>"Payroll"</formula>
    </cfRule>
    <cfRule type="cellIs" dxfId="2029" priority="2581" operator="equal">
      <formula>"Investment"</formula>
    </cfRule>
    <cfRule type="cellIs" dxfId="2028" priority="2582" operator="equal">
      <formula>"Sunk"</formula>
    </cfRule>
    <cfRule type="cellIs" dxfId="2027" priority="2583" operator="equal">
      <formula>"OpEx"</formula>
    </cfRule>
    <cfRule type="cellIs" dxfId="2026" priority="2584" operator="equal">
      <formula>"CapEx"</formula>
    </cfRule>
  </conditionalFormatting>
  <conditionalFormatting sqref="I867">
    <cfRule type="containsBlanks" dxfId="2025" priority="2574">
      <formula>LEN(TRIM(I867))=0</formula>
    </cfRule>
  </conditionalFormatting>
  <conditionalFormatting sqref="J867">
    <cfRule type="cellIs" dxfId="2024" priority="2568" operator="equal">
      <formula>5</formula>
    </cfRule>
    <cfRule type="cellIs" dxfId="2023" priority="2569" operator="equal">
      <formula>0</formula>
    </cfRule>
    <cfRule type="cellIs" dxfId="2022" priority="2570" operator="equal">
      <formula>3</formula>
    </cfRule>
    <cfRule type="cellIs" dxfId="2021" priority="2571" operator="equal">
      <formula>2</formula>
    </cfRule>
    <cfRule type="cellIs" dxfId="2020" priority="2572" operator="equal">
      <formula>1</formula>
    </cfRule>
    <cfRule type="cellIs" dxfId="2019" priority="2573" operator="equal">
      <formula>4</formula>
    </cfRule>
  </conditionalFormatting>
  <conditionalFormatting sqref="F869">
    <cfRule type="cellIs" dxfId="2018" priority="2555" operator="equal">
      <formula>"Income"</formula>
    </cfRule>
    <cfRule type="dataBar" priority="2556">
      <dataBar>
        <cfvo type="min"/>
        <cfvo type="max"/>
        <color rgb="FF638EC6"/>
      </dataBar>
    </cfRule>
    <cfRule type="colorScale" priority="2557">
      <colorScale>
        <cfvo type="min"/>
        <cfvo type="percentile" val="50"/>
        <cfvo type="max"/>
        <color rgb="FFF8696B"/>
        <color rgb="FFFFEB84"/>
        <color rgb="FF63BE7B"/>
      </colorScale>
    </cfRule>
    <cfRule type="cellIs" dxfId="2017" priority="2558" operator="equal">
      <formula>"Tax"</formula>
    </cfRule>
    <cfRule type="cellIs" dxfId="2016" priority="2559" operator="equal">
      <formula>"Cost of Sales"</formula>
    </cfRule>
    <cfRule type="cellIs" dxfId="2015" priority="2560" operator="equal">
      <formula>"Payroll"</formula>
    </cfRule>
    <cfRule type="cellIs" dxfId="2014" priority="2561" operator="equal">
      <formula>"Investment"</formula>
    </cfRule>
    <cfRule type="cellIs" dxfId="2013" priority="2562" operator="equal">
      <formula>"Sunk"</formula>
    </cfRule>
    <cfRule type="cellIs" dxfId="2012" priority="2563" operator="equal">
      <formula>"OpEx"</formula>
    </cfRule>
    <cfRule type="cellIs" dxfId="2011" priority="2564" operator="equal">
      <formula>"CapEx"</formula>
    </cfRule>
    <cfRule type="dataBar" priority="2565">
      <dataBar>
        <cfvo type="min"/>
        <cfvo type="max"/>
        <color rgb="FF638EC6"/>
      </dataBar>
    </cfRule>
    <cfRule type="colorScale" priority="2566">
      <colorScale>
        <cfvo type="min"/>
        <cfvo type="percentile" val="50"/>
        <cfvo type="max"/>
        <color rgb="FFF8696B"/>
        <color rgb="FFFFEB84"/>
        <color rgb="FF63BE7B"/>
      </colorScale>
    </cfRule>
    <cfRule type="cellIs" dxfId="2010" priority="2567" operator="equal">
      <formula>"Tax"</formula>
    </cfRule>
  </conditionalFormatting>
  <conditionalFormatting sqref="F869">
    <cfRule type="cellIs" dxfId="2009" priority="2548" operator="equal">
      <formula>"Cost of Sales"</formula>
    </cfRule>
    <cfRule type="cellIs" dxfId="2008" priority="2549" operator="equal">
      <formula>"Payroll"</formula>
    </cfRule>
    <cfRule type="cellIs" dxfId="2007" priority="2550" operator="equal">
      <formula>"Investment"</formula>
    </cfRule>
    <cfRule type="cellIs" dxfId="2006" priority="2551" operator="equal">
      <formula>"Sunk"</formula>
    </cfRule>
    <cfRule type="cellIs" dxfId="2005" priority="2552" operator="equal">
      <formula>"OpEx"</formula>
    </cfRule>
    <cfRule type="cellIs" dxfId="2004" priority="2553" operator="equal">
      <formula>"CapEx"</formula>
    </cfRule>
    <cfRule type="cellIs" dxfId="2003" priority="2554" operator="equal">
      <formula>"Income"</formula>
    </cfRule>
  </conditionalFormatting>
  <conditionalFormatting sqref="H869">
    <cfRule type="cellIs" dxfId="2002" priority="2541" operator="equal">
      <formula>"GBP"</formula>
    </cfRule>
    <cfRule type="cellIs" dxfId="2001" priority="2542" operator="equal">
      <formula>"EUR"</formula>
    </cfRule>
    <cfRule type="cellIs" dxfId="2000" priority="2543" operator="equal">
      <formula>"USD"</formula>
    </cfRule>
    <cfRule type="cellIs" dxfId="1999" priority="2544" operator="equal">
      <formula>"EGP"</formula>
    </cfRule>
  </conditionalFormatting>
  <conditionalFormatting sqref="I869">
    <cfRule type="containsBlanks" dxfId="1998" priority="2540">
      <formula>LEN(TRIM(I869))=0</formula>
    </cfRule>
  </conditionalFormatting>
  <conditionalFormatting sqref="J869">
    <cfRule type="cellIs" dxfId="1997" priority="2534" operator="equal">
      <formula>5</formula>
    </cfRule>
    <cfRule type="cellIs" dxfId="1996" priority="2535" operator="equal">
      <formula>0</formula>
    </cfRule>
    <cfRule type="cellIs" dxfId="1995" priority="2536" operator="equal">
      <formula>3</formula>
    </cfRule>
    <cfRule type="cellIs" dxfId="1994" priority="2537" operator="equal">
      <formula>2</formula>
    </cfRule>
    <cfRule type="cellIs" dxfId="1993" priority="2538" operator="equal">
      <formula>1</formula>
    </cfRule>
    <cfRule type="cellIs" dxfId="1992" priority="2539" operator="equal">
      <formula>4</formula>
    </cfRule>
  </conditionalFormatting>
  <conditionalFormatting sqref="F870">
    <cfRule type="cellIs" dxfId="1991" priority="2533" operator="equal">
      <formula>"Income"</formula>
    </cfRule>
  </conditionalFormatting>
  <conditionalFormatting sqref="F870">
    <cfRule type="cellIs" dxfId="1990" priority="2524" operator="equal">
      <formula>"Cost of Sales"</formula>
    </cfRule>
    <cfRule type="cellIs" dxfId="1989" priority="2525" operator="equal">
      <formula>"Payroll"</formula>
    </cfRule>
    <cfRule type="cellIs" dxfId="1988" priority="2526" operator="equal">
      <formula>"Investment"</formula>
    </cfRule>
    <cfRule type="cellIs" dxfId="1987" priority="2527" operator="equal">
      <formula>"Sunk"</formula>
    </cfRule>
    <cfRule type="cellIs" dxfId="1986" priority="2528" operator="equal">
      <formula>"OpEx"</formula>
    </cfRule>
    <cfRule type="cellIs" dxfId="1985" priority="2529" operator="equal">
      <formula>"CapEx"</formula>
    </cfRule>
  </conditionalFormatting>
  <conditionalFormatting sqref="F870">
    <cfRule type="dataBar" priority="2530">
      <dataBar>
        <cfvo type="min"/>
        <cfvo type="max"/>
        <color rgb="FF638EC6"/>
      </dataBar>
    </cfRule>
    <cfRule type="colorScale" priority="2531">
      <colorScale>
        <cfvo type="min"/>
        <cfvo type="percentile" val="50"/>
        <cfvo type="max"/>
        <color rgb="FFF8696B"/>
        <color rgb="FFFFEB84"/>
        <color rgb="FF63BE7B"/>
      </colorScale>
    </cfRule>
    <cfRule type="cellIs" dxfId="1984" priority="2532" operator="equal">
      <formula>"Tax"</formula>
    </cfRule>
  </conditionalFormatting>
  <conditionalFormatting sqref="H870">
    <cfRule type="cellIs" dxfId="1983" priority="2520" operator="equal">
      <formula>"GBP"</formula>
    </cfRule>
    <cfRule type="cellIs" dxfId="1982" priority="2521" operator="equal">
      <formula>"EUR"</formula>
    </cfRule>
    <cfRule type="cellIs" dxfId="1981" priority="2522" operator="equal">
      <formula>"USD"</formula>
    </cfRule>
    <cfRule type="cellIs" dxfId="1980" priority="2523" operator="equal">
      <formula>"EGP"</formula>
    </cfRule>
  </conditionalFormatting>
  <conditionalFormatting sqref="I870">
    <cfRule type="containsBlanks" dxfId="1979" priority="2519">
      <formula>LEN(TRIM(I870))=0</formula>
    </cfRule>
  </conditionalFormatting>
  <conditionalFormatting sqref="J870">
    <cfRule type="cellIs" dxfId="1978" priority="2513" operator="equal">
      <formula>5</formula>
    </cfRule>
    <cfRule type="cellIs" dxfId="1977" priority="2514" operator="equal">
      <formula>0</formula>
    </cfRule>
    <cfRule type="cellIs" dxfId="1976" priority="2515" operator="equal">
      <formula>3</formula>
    </cfRule>
    <cfRule type="cellIs" dxfId="1975" priority="2516" operator="equal">
      <formula>2</formula>
    </cfRule>
    <cfRule type="cellIs" dxfId="1974" priority="2517" operator="equal">
      <formula>1</formula>
    </cfRule>
    <cfRule type="cellIs" dxfId="1973" priority="2518" operator="equal">
      <formula>4</formula>
    </cfRule>
  </conditionalFormatting>
  <conditionalFormatting sqref="D871">
    <cfRule type="colorScale" priority="2512">
      <colorScale>
        <cfvo type="min"/>
        <cfvo type="percentile" val="50"/>
        <cfvo type="max"/>
        <color rgb="FFF8696B"/>
        <color rgb="FFFFEB84"/>
        <color rgb="FF63BE7B"/>
      </colorScale>
    </cfRule>
  </conditionalFormatting>
  <conditionalFormatting sqref="F871">
    <cfRule type="cellIs" dxfId="1972" priority="2511" operator="equal">
      <formula>"Income"</formula>
    </cfRule>
  </conditionalFormatting>
  <conditionalFormatting sqref="F871">
    <cfRule type="dataBar" priority="2502">
      <dataBar>
        <cfvo type="min"/>
        <cfvo type="max"/>
        <color rgb="FF638EC6"/>
      </dataBar>
    </cfRule>
    <cfRule type="colorScale" priority="2503">
      <colorScale>
        <cfvo type="min"/>
        <cfvo type="percentile" val="50"/>
        <cfvo type="max"/>
        <color rgb="FFF8696B"/>
        <color rgb="FFFFEB84"/>
        <color rgb="FF63BE7B"/>
      </colorScale>
    </cfRule>
    <cfRule type="cellIs" dxfId="1971" priority="2504" operator="equal">
      <formula>"Cost of Sales"</formula>
    </cfRule>
    <cfRule type="cellIs" dxfId="1970" priority="2505" operator="equal">
      <formula>"Payroll"</formula>
    </cfRule>
    <cfRule type="cellIs" dxfId="1969" priority="2506" operator="equal">
      <formula>"Investment"</formula>
    </cfRule>
    <cfRule type="cellIs" dxfId="1968" priority="2507" operator="equal">
      <formula>"Sunk"</formula>
    </cfRule>
    <cfRule type="cellIs" dxfId="1967" priority="2508" operator="equal">
      <formula>"OpEx"</formula>
    </cfRule>
    <cfRule type="cellIs" dxfId="1966" priority="2509" operator="equal">
      <formula>"CapEx"</formula>
    </cfRule>
    <cfRule type="cellIs" dxfId="1965" priority="2510" operator="equal">
      <formula>"Tax"</formula>
    </cfRule>
  </conditionalFormatting>
  <conditionalFormatting sqref="H871">
    <cfRule type="cellIs" dxfId="1964" priority="2498" operator="equal">
      <formula>"GBP"</formula>
    </cfRule>
    <cfRule type="cellIs" dxfId="1963" priority="2499" operator="equal">
      <formula>"EUR"</formula>
    </cfRule>
    <cfRule type="cellIs" dxfId="1962" priority="2500" operator="equal">
      <formula>"USD"</formula>
    </cfRule>
    <cfRule type="cellIs" dxfId="1961" priority="2501" operator="equal">
      <formula>"EGP"</formula>
    </cfRule>
  </conditionalFormatting>
  <conditionalFormatting sqref="I871">
    <cfRule type="containsBlanks" dxfId="1960" priority="2497">
      <formula>LEN(TRIM(I871))=0</formula>
    </cfRule>
  </conditionalFormatting>
  <conditionalFormatting sqref="J871">
    <cfRule type="cellIs" dxfId="1959" priority="2491" operator="equal">
      <formula>5</formula>
    </cfRule>
    <cfRule type="cellIs" dxfId="1958" priority="2492" operator="equal">
      <formula>0</formula>
    </cfRule>
    <cfRule type="cellIs" dxfId="1957" priority="2493" operator="equal">
      <formula>3</formula>
    </cfRule>
    <cfRule type="cellIs" dxfId="1956" priority="2494" operator="equal">
      <formula>2</formula>
    </cfRule>
    <cfRule type="cellIs" dxfId="1955" priority="2495" operator="equal">
      <formula>1</formula>
    </cfRule>
    <cfRule type="cellIs" dxfId="1954" priority="2496" operator="equal">
      <formula>4</formula>
    </cfRule>
  </conditionalFormatting>
  <conditionalFormatting sqref="L871">
    <cfRule type="colorScale" priority="2490">
      <colorScale>
        <cfvo type="min"/>
        <cfvo type="percentile" val="50"/>
        <cfvo type="max"/>
        <color rgb="FFF8696B"/>
        <color rgb="FFFFEB84"/>
        <color rgb="FF63BE7B"/>
      </colorScale>
    </cfRule>
  </conditionalFormatting>
  <conditionalFormatting sqref="M871:P871">
    <cfRule type="colorScale" priority="2489">
      <colorScale>
        <cfvo type="min"/>
        <cfvo type="percentile" val="50"/>
        <cfvo type="max"/>
        <color rgb="FFF8696B"/>
        <color rgb="FFFFEB84"/>
        <color rgb="FF63BE7B"/>
      </colorScale>
    </cfRule>
  </conditionalFormatting>
  <conditionalFormatting sqref="Q871">
    <cfRule type="colorScale" priority="2488">
      <colorScale>
        <cfvo type="min"/>
        <cfvo type="percentile" val="50"/>
        <cfvo type="max"/>
        <color rgb="FFF8696B"/>
        <color rgb="FFFFEB84"/>
        <color rgb="FF63BE7B"/>
      </colorScale>
    </cfRule>
  </conditionalFormatting>
  <conditionalFormatting sqref="R871">
    <cfRule type="colorScale" priority="2487">
      <colorScale>
        <cfvo type="min"/>
        <cfvo type="percentile" val="50"/>
        <cfvo type="max"/>
        <color rgb="FFF8696B"/>
        <color rgb="FFFFEB84"/>
        <color rgb="FF63BE7B"/>
      </colorScale>
    </cfRule>
  </conditionalFormatting>
  <conditionalFormatting sqref="S871">
    <cfRule type="colorScale" priority="2486">
      <colorScale>
        <cfvo type="min"/>
        <cfvo type="percentile" val="50"/>
        <cfvo type="max"/>
        <color rgb="FFF8696B"/>
        <color rgb="FFFFEB84"/>
        <color rgb="FF63BE7B"/>
      </colorScale>
    </cfRule>
  </conditionalFormatting>
  <conditionalFormatting sqref="L872">
    <cfRule type="colorScale" priority="2444">
      <colorScale>
        <cfvo type="min"/>
        <cfvo type="percentile" val="50"/>
        <cfvo type="max"/>
        <color rgb="FFF8696B"/>
        <color rgb="FFFFEB84"/>
        <color rgb="FF63BE7B"/>
      </colorScale>
    </cfRule>
  </conditionalFormatting>
  <conditionalFormatting sqref="F872">
    <cfRule type="cellIs" dxfId="1953" priority="2395" operator="equal">
      <formula>"Cost of Sales"</formula>
    </cfRule>
    <cfRule type="cellIs" dxfId="1952" priority="2396" operator="equal">
      <formula>"Payroll"</formula>
    </cfRule>
    <cfRule type="cellIs" dxfId="1951" priority="2397" operator="equal">
      <formula>"Investment"</formula>
    </cfRule>
    <cfRule type="cellIs" dxfId="1950" priority="2398" operator="equal">
      <formula>"Sunk"</formula>
    </cfRule>
    <cfRule type="cellIs" dxfId="1949" priority="2399" operator="equal">
      <formula>"OpEx"</formula>
    </cfRule>
    <cfRule type="cellIs" dxfId="1948" priority="2400" operator="equal">
      <formula>"CapEx"</formula>
    </cfRule>
    <cfRule type="cellIs" dxfId="1947" priority="2401" operator="equal">
      <formula>"Income"</formula>
    </cfRule>
  </conditionalFormatting>
  <conditionalFormatting sqref="F872">
    <cfRule type="dataBar" priority="2392">
      <dataBar>
        <cfvo type="min"/>
        <cfvo type="max"/>
        <color rgb="FF638EC6"/>
      </dataBar>
    </cfRule>
    <cfRule type="colorScale" priority="2393">
      <colorScale>
        <cfvo type="min"/>
        <cfvo type="percentile" val="50"/>
        <cfvo type="max"/>
        <color rgb="FFF8696B"/>
        <color rgb="FFFFEB84"/>
        <color rgb="FF63BE7B"/>
      </colorScale>
    </cfRule>
    <cfRule type="cellIs" dxfId="1946" priority="2394" operator="equal">
      <formula>"Tax"</formula>
    </cfRule>
  </conditionalFormatting>
  <conditionalFormatting sqref="H872">
    <cfRule type="cellIs" dxfId="1945" priority="2388" operator="equal">
      <formula>"EUR"</formula>
    </cfRule>
    <cfRule type="cellIs" dxfId="1944" priority="2389" operator="equal">
      <formula>"GBP"</formula>
    </cfRule>
    <cfRule type="cellIs" dxfId="1943" priority="2390" operator="equal">
      <formula>"USD"</formula>
    </cfRule>
    <cfRule type="cellIs" dxfId="1942" priority="2391" operator="equal">
      <formula>"EGP"</formula>
    </cfRule>
  </conditionalFormatting>
  <conditionalFormatting sqref="I872">
    <cfRule type="containsBlanks" dxfId="1941" priority="2387">
      <formula>LEN(TRIM(I872))=0</formula>
    </cfRule>
  </conditionalFormatting>
  <conditionalFormatting sqref="J872">
    <cfRule type="cellIs" dxfId="1940" priority="2381" operator="equal">
      <formula>5</formula>
    </cfRule>
    <cfRule type="cellIs" dxfId="1939" priority="2382" operator="equal">
      <formula>0</formula>
    </cfRule>
    <cfRule type="cellIs" dxfId="1938" priority="2383" operator="equal">
      <formula>3</formula>
    </cfRule>
    <cfRule type="cellIs" dxfId="1937" priority="2384" operator="equal">
      <formula>2</formula>
    </cfRule>
    <cfRule type="cellIs" dxfId="1936" priority="2385" operator="equal">
      <formula>1</formula>
    </cfRule>
    <cfRule type="cellIs" dxfId="1935" priority="2386" operator="equal">
      <formula>4</formula>
    </cfRule>
  </conditionalFormatting>
  <conditionalFormatting sqref="F873">
    <cfRule type="cellIs" dxfId="1934" priority="2374" operator="equal">
      <formula>"Income"</formula>
    </cfRule>
    <cfRule type="cellIs" dxfId="1933" priority="2375" operator="equal">
      <formula>"Cost of Sales"</formula>
    </cfRule>
    <cfRule type="cellIs" dxfId="1932" priority="2376" operator="equal">
      <formula>"Payroll"</formula>
    </cfRule>
    <cfRule type="cellIs" dxfId="1931" priority="2377" operator="equal">
      <formula>"Investment"</formula>
    </cfRule>
    <cfRule type="cellIs" dxfId="1930" priority="2378" operator="equal">
      <formula>"Sunk"</formula>
    </cfRule>
    <cfRule type="cellIs" dxfId="1929" priority="2379" operator="equal">
      <formula>"OpEx"</formula>
    </cfRule>
    <cfRule type="cellIs" dxfId="1928" priority="2380" operator="equal">
      <formula>"CapEx"</formula>
    </cfRule>
  </conditionalFormatting>
  <conditionalFormatting sqref="F873">
    <cfRule type="cellIs" dxfId="1927" priority="2373" operator="equal">
      <formula>"Tax"</formula>
    </cfRule>
  </conditionalFormatting>
  <conditionalFormatting sqref="F873">
    <cfRule type="dataBar" priority="2370">
      <dataBar>
        <cfvo type="min"/>
        <cfvo type="max"/>
        <color rgb="FF638EC6"/>
      </dataBar>
    </cfRule>
    <cfRule type="colorScale" priority="2371">
      <colorScale>
        <cfvo type="min"/>
        <cfvo type="percentile" val="50"/>
        <cfvo type="max"/>
        <color rgb="FFF8696B"/>
        <color rgb="FFFFEB84"/>
        <color rgb="FF63BE7B"/>
      </colorScale>
    </cfRule>
    <cfRule type="cellIs" dxfId="1926" priority="2372" operator="equal">
      <formula>"Income"</formula>
    </cfRule>
  </conditionalFormatting>
  <conditionalFormatting sqref="F873">
    <cfRule type="dataBar" priority="2361">
      <dataBar>
        <cfvo type="min"/>
        <cfvo type="max"/>
        <color rgb="FF638EC6"/>
      </dataBar>
    </cfRule>
    <cfRule type="colorScale" priority="2362">
      <colorScale>
        <cfvo type="min"/>
        <cfvo type="percentile" val="50"/>
        <cfvo type="max"/>
        <color rgb="FFF8696B"/>
        <color rgb="FFFFEB84"/>
        <color rgb="FF63BE7B"/>
      </colorScale>
    </cfRule>
    <cfRule type="cellIs" dxfId="1925" priority="2363" operator="equal">
      <formula>"Tax"</formula>
    </cfRule>
    <cfRule type="cellIs" dxfId="1924" priority="2364" operator="equal">
      <formula>"Cost of Sales"</formula>
    </cfRule>
    <cfRule type="cellIs" dxfId="1923" priority="2365" operator="equal">
      <formula>"Payroll"</formula>
    </cfRule>
    <cfRule type="cellIs" dxfId="1922" priority="2366" operator="equal">
      <formula>"Investment"</formula>
    </cfRule>
    <cfRule type="cellIs" dxfId="1921" priority="2367" operator="equal">
      <formula>"Sunk"</formula>
    </cfRule>
    <cfRule type="cellIs" dxfId="1920" priority="2368" operator="equal">
      <formula>"OpEx"</formula>
    </cfRule>
    <cfRule type="cellIs" dxfId="1919" priority="2369" operator="equal">
      <formula>"CapEx"</formula>
    </cfRule>
  </conditionalFormatting>
  <conditionalFormatting sqref="H873">
    <cfRule type="cellIs" dxfId="1918" priority="2357" operator="equal">
      <formula>"GBP"</formula>
    </cfRule>
    <cfRule type="cellIs" dxfId="1917" priority="2358" operator="equal">
      <formula>"EUR"</formula>
    </cfRule>
    <cfRule type="cellIs" dxfId="1916" priority="2359" operator="equal">
      <formula>"USD"</formula>
    </cfRule>
    <cfRule type="cellIs" dxfId="1915" priority="2360" operator="equal">
      <formula>"EGP"</formula>
    </cfRule>
  </conditionalFormatting>
  <conditionalFormatting sqref="I873">
    <cfRule type="containsBlanks" dxfId="1914" priority="2356">
      <formula>LEN(TRIM(I873))=0</formula>
    </cfRule>
  </conditionalFormatting>
  <conditionalFormatting sqref="J873">
    <cfRule type="cellIs" dxfId="1913" priority="2350" operator="equal">
      <formula>5</formula>
    </cfRule>
    <cfRule type="cellIs" dxfId="1912" priority="2351" operator="equal">
      <formula>0</formula>
    </cfRule>
    <cfRule type="cellIs" dxfId="1911" priority="2352" operator="equal">
      <formula>3</formula>
    </cfRule>
    <cfRule type="cellIs" dxfId="1910" priority="2353" operator="equal">
      <formula>2</formula>
    </cfRule>
    <cfRule type="cellIs" dxfId="1909" priority="2354" operator="equal">
      <formula>1</formula>
    </cfRule>
    <cfRule type="cellIs" dxfId="1908" priority="2355" operator="equal">
      <formula>4</formula>
    </cfRule>
  </conditionalFormatting>
  <conditionalFormatting sqref="F874">
    <cfRule type="dataBar" priority="2348">
      <dataBar>
        <cfvo type="min"/>
        <cfvo type="max"/>
        <color rgb="FF638EC6"/>
      </dataBar>
    </cfRule>
    <cfRule type="colorScale" priority="2349">
      <colorScale>
        <cfvo type="min"/>
        <cfvo type="percentile" val="50"/>
        <cfvo type="max"/>
        <color rgb="FFF8696B"/>
        <color rgb="FFFFEB84"/>
        <color rgb="FF63BE7B"/>
      </colorScale>
    </cfRule>
  </conditionalFormatting>
  <conditionalFormatting sqref="F874">
    <cfRule type="cellIs" dxfId="1907" priority="2339" operator="equal">
      <formula>"Tax"</formula>
    </cfRule>
    <cfRule type="cellIs" dxfId="1906" priority="2340" operator="equal">
      <formula>"Cost of Sales"</formula>
    </cfRule>
    <cfRule type="cellIs" dxfId="1905" priority="2341" operator="equal">
      <formula>"Payroll"</formula>
    </cfRule>
    <cfRule type="cellIs" dxfId="1904" priority="2342" operator="equal">
      <formula>"Investment"</formula>
    </cfRule>
    <cfRule type="cellIs" dxfId="1903" priority="2343" operator="equal">
      <formula>"Sunk"</formula>
    </cfRule>
    <cfRule type="cellIs" dxfId="1902" priority="2344" operator="equal">
      <formula>"OpEx"</formula>
    </cfRule>
    <cfRule type="cellIs" dxfId="1901" priority="2345" operator="equal">
      <formula>"CapEx"</formula>
    </cfRule>
    <cfRule type="cellIs" dxfId="1900" priority="2346" operator="equal">
      <formula>"Income"</formula>
    </cfRule>
  </conditionalFormatting>
  <conditionalFormatting sqref="H874">
    <cfRule type="cellIs" dxfId="1899" priority="2334" operator="equal">
      <formula>"GBP"</formula>
    </cfRule>
    <cfRule type="cellIs" dxfId="1898" priority="2335" operator="equal">
      <formula>"USD"</formula>
    </cfRule>
    <cfRule type="cellIs" dxfId="1897" priority="2336" operator="equal">
      <formula>"EGP"</formula>
    </cfRule>
    <cfRule type="cellIs" dxfId="1896" priority="2337" operator="equal">
      <formula>"EUR"</formula>
    </cfRule>
  </conditionalFormatting>
  <conditionalFormatting sqref="I874">
    <cfRule type="containsBlanks" dxfId="1895" priority="2338">
      <formula>LEN(TRIM(I874))=0</formula>
    </cfRule>
  </conditionalFormatting>
  <conditionalFormatting sqref="J874">
    <cfRule type="cellIs" dxfId="1894" priority="2328" operator="equal">
      <formula>5</formula>
    </cfRule>
    <cfRule type="cellIs" dxfId="1893" priority="2329" operator="equal">
      <formula>0</formula>
    </cfRule>
    <cfRule type="cellIs" dxfId="1892" priority="2330" operator="equal">
      <formula>3</formula>
    </cfRule>
    <cfRule type="cellIs" dxfId="1891" priority="2331" operator="equal">
      <formula>2</formula>
    </cfRule>
    <cfRule type="cellIs" dxfId="1890" priority="2332" operator="equal">
      <formula>1</formula>
    </cfRule>
    <cfRule type="cellIs" dxfId="1889" priority="2333" operator="equal">
      <formula>4</formula>
    </cfRule>
  </conditionalFormatting>
  <conditionalFormatting sqref="L874">
    <cfRule type="colorScale" priority="2347">
      <colorScale>
        <cfvo type="min"/>
        <cfvo type="percentile" val="50"/>
        <cfvo type="max"/>
        <color rgb="FFF8696B"/>
        <color rgb="FFFFEB84"/>
        <color rgb="FF63BE7B"/>
      </colorScale>
    </cfRule>
  </conditionalFormatting>
  <conditionalFormatting sqref="F875">
    <cfRule type="cellIs" dxfId="1888" priority="2322" operator="equal">
      <formula>"Cost of Sales"</formula>
    </cfRule>
    <cfRule type="cellIs" dxfId="1887" priority="2323" operator="equal">
      <formula>"Payroll"</formula>
    </cfRule>
    <cfRule type="cellIs" dxfId="1886" priority="2324" operator="equal">
      <formula>"Investment"</formula>
    </cfRule>
    <cfRule type="cellIs" dxfId="1885" priority="2325" operator="equal">
      <formula>"Sunk"</formula>
    </cfRule>
    <cfRule type="cellIs" dxfId="1884" priority="2326" operator="equal">
      <formula>"OpEx"</formula>
    </cfRule>
    <cfRule type="cellIs" dxfId="1883" priority="2327" operator="equal">
      <formula>"CapEx"</formula>
    </cfRule>
  </conditionalFormatting>
  <conditionalFormatting sqref="F875">
    <cfRule type="dataBar" priority="2305">
      <dataBar>
        <cfvo type="min"/>
        <cfvo type="max"/>
        <color rgb="FF638EC6"/>
      </dataBar>
    </cfRule>
    <cfRule type="colorScale" priority="2306">
      <colorScale>
        <cfvo type="min"/>
        <cfvo type="percentile" val="50"/>
        <cfvo type="max"/>
        <color rgb="FFF8696B"/>
        <color rgb="FFFFEB84"/>
        <color rgb="FF63BE7B"/>
      </colorScale>
    </cfRule>
    <cfRule type="cellIs" dxfId="1882" priority="2307" operator="equal">
      <formula>"Tax"</formula>
    </cfRule>
    <cfRule type="cellIs" dxfId="1881" priority="2308" operator="equal">
      <formula>"Income"</formula>
    </cfRule>
    <cfRule type="cellIs" dxfId="1880" priority="2309" operator="equal">
      <formula>"Cost of Sales"</formula>
    </cfRule>
    <cfRule type="cellIs" dxfId="1879" priority="2310" operator="equal">
      <formula>"Payroll"</formula>
    </cfRule>
    <cfRule type="cellIs" dxfId="1878" priority="2311" operator="equal">
      <formula>"Investment"</formula>
    </cfRule>
    <cfRule type="cellIs" dxfId="1877" priority="2312" operator="equal">
      <formula>"Sunk"</formula>
    </cfRule>
    <cfRule type="cellIs" dxfId="1876" priority="2313" operator="equal">
      <formula>"OpEx"</formula>
    </cfRule>
    <cfRule type="cellIs" dxfId="1875" priority="2314" operator="equal">
      <formula>"CapEx"</formula>
    </cfRule>
    <cfRule type="dataBar" priority="2315">
      <dataBar>
        <cfvo type="min"/>
        <cfvo type="max"/>
        <color rgb="FF638EC6"/>
      </dataBar>
    </cfRule>
    <cfRule type="colorScale" priority="2316">
      <colorScale>
        <cfvo type="min"/>
        <cfvo type="percentile" val="50"/>
        <cfvo type="max"/>
        <color rgb="FFF8696B"/>
        <color rgb="FFFFEB84"/>
        <color rgb="FF63BE7B"/>
      </colorScale>
    </cfRule>
    <cfRule type="cellIs" dxfId="1874" priority="2317" operator="equal">
      <formula>"Tax"</formula>
    </cfRule>
    <cfRule type="cellIs" dxfId="1873" priority="2318" operator="equal">
      <formula>"Income"</formula>
    </cfRule>
    <cfRule type="dataBar" priority="2319">
      <dataBar>
        <cfvo type="min"/>
        <cfvo type="max"/>
        <color rgb="FF638EC6"/>
      </dataBar>
    </cfRule>
    <cfRule type="colorScale" priority="2320">
      <colorScale>
        <cfvo type="min"/>
        <cfvo type="percentile" val="50"/>
        <cfvo type="max"/>
        <color rgb="FFF8696B"/>
        <color rgb="FFFFEB84"/>
        <color rgb="FF63BE7B"/>
      </colorScale>
    </cfRule>
    <cfRule type="cellIs" dxfId="1872" priority="2321" operator="equal">
      <formula>"Tax"</formula>
    </cfRule>
  </conditionalFormatting>
  <conditionalFormatting sqref="F875">
    <cfRule type="cellIs" dxfId="1871" priority="2298" operator="equal">
      <formula>"Cost of Sales"</formula>
    </cfRule>
    <cfRule type="cellIs" dxfId="1870" priority="2299" operator="equal">
      <formula>"Payroll"</formula>
    </cfRule>
    <cfRule type="cellIs" dxfId="1869" priority="2300" operator="equal">
      <formula>"Investment"</formula>
    </cfRule>
    <cfRule type="cellIs" dxfId="1868" priority="2301" operator="equal">
      <formula>"Sunk"</formula>
    </cfRule>
    <cfRule type="cellIs" dxfId="1867" priority="2302" operator="equal">
      <formula>"OpEx"</formula>
    </cfRule>
    <cfRule type="cellIs" dxfId="1866" priority="2303" operator="equal">
      <formula>"CapEx"</formula>
    </cfRule>
    <cfRule type="cellIs" dxfId="1865" priority="2304" operator="equal">
      <formula>"Income"</formula>
    </cfRule>
  </conditionalFormatting>
  <conditionalFormatting sqref="H875">
    <cfRule type="cellIs" dxfId="1864" priority="2294" operator="equal">
      <formula>"GBP"</formula>
    </cfRule>
    <cfRule type="cellIs" dxfId="1863" priority="2295" operator="equal">
      <formula>"EUR"</formula>
    </cfRule>
    <cfRule type="cellIs" dxfId="1862" priority="2296" operator="equal">
      <formula>"USD"</formula>
    </cfRule>
    <cfRule type="cellIs" dxfId="1861" priority="2297" operator="equal">
      <formula>"EGP"</formula>
    </cfRule>
  </conditionalFormatting>
  <conditionalFormatting sqref="I875">
    <cfRule type="containsBlanks" dxfId="1860" priority="2293">
      <formula>LEN(TRIM(I875))=0</formula>
    </cfRule>
  </conditionalFormatting>
  <conditionalFormatting sqref="J875">
    <cfRule type="cellIs" dxfId="1859" priority="2287" operator="equal">
      <formula>5</formula>
    </cfRule>
    <cfRule type="cellIs" dxfId="1858" priority="2288" operator="equal">
      <formula>0</formula>
    </cfRule>
    <cfRule type="cellIs" dxfId="1857" priority="2289" operator="equal">
      <formula>3</formula>
    </cfRule>
    <cfRule type="cellIs" dxfId="1856" priority="2290" operator="equal">
      <formula>2</formula>
    </cfRule>
    <cfRule type="cellIs" dxfId="1855" priority="2291" operator="equal">
      <formula>1</formula>
    </cfRule>
    <cfRule type="cellIs" dxfId="1854" priority="2292" operator="equal">
      <formula>4</formula>
    </cfRule>
  </conditionalFormatting>
  <conditionalFormatting sqref="L875">
    <cfRule type="colorScale" priority="2286">
      <colorScale>
        <cfvo type="min"/>
        <cfvo type="percentile" val="50"/>
        <cfvo type="max"/>
        <color rgb="FFF8696B"/>
        <color rgb="FFFFEB84"/>
        <color rgb="FF63BE7B"/>
      </colorScale>
    </cfRule>
  </conditionalFormatting>
  <conditionalFormatting sqref="I876">
    <cfRule type="containsBlanks" dxfId="1853" priority="2285">
      <formula>LEN(TRIM(I876))=0</formula>
    </cfRule>
  </conditionalFormatting>
  <conditionalFormatting sqref="J876">
    <cfRule type="cellIs" dxfId="1852" priority="2279" operator="equal">
      <formula>5</formula>
    </cfRule>
    <cfRule type="cellIs" dxfId="1851" priority="2280" operator="equal">
      <formula>0</formula>
    </cfRule>
    <cfRule type="cellIs" dxfId="1850" priority="2281" operator="equal">
      <formula>3</formula>
    </cfRule>
    <cfRule type="cellIs" dxfId="1849" priority="2282" operator="equal">
      <formula>2</formula>
    </cfRule>
    <cfRule type="cellIs" dxfId="1848" priority="2283" operator="equal">
      <formula>1</formula>
    </cfRule>
    <cfRule type="cellIs" dxfId="1847" priority="2284" operator="equal">
      <formula>4</formula>
    </cfRule>
  </conditionalFormatting>
  <conditionalFormatting sqref="F876">
    <cfRule type="dataBar" priority="2269">
      <dataBar>
        <cfvo type="min"/>
        <cfvo type="max"/>
        <color rgb="FF638EC6"/>
      </dataBar>
    </cfRule>
    <cfRule type="colorScale" priority="2270">
      <colorScale>
        <cfvo type="min"/>
        <cfvo type="percentile" val="50"/>
        <cfvo type="max"/>
        <color rgb="FFF8696B"/>
        <color rgb="FFFFEB84"/>
        <color rgb="FF63BE7B"/>
      </colorScale>
    </cfRule>
    <cfRule type="cellIs" dxfId="1846" priority="2271" operator="equal">
      <formula>"Tax"</formula>
    </cfRule>
    <cfRule type="cellIs" dxfId="1845" priority="2272" operator="equal">
      <formula>"Income"</formula>
    </cfRule>
    <cfRule type="cellIs" dxfId="1844" priority="2273" operator="equal">
      <formula>"Cost of Sales"</formula>
    </cfRule>
    <cfRule type="cellIs" dxfId="1843" priority="2274" operator="equal">
      <formula>"Payroll"</formula>
    </cfRule>
    <cfRule type="cellIs" dxfId="1842" priority="2275" operator="equal">
      <formula>"Investment"</formula>
    </cfRule>
    <cfRule type="cellIs" dxfId="1841" priority="2276" operator="equal">
      <formula>"Sunk"</formula>
    </cfRule>
    <cfRule type="cellIs" dxfId="1840" priority="2277" operator="equal">
      <formula>"OpEx"</formula>
    </cfRule>
    <cfRule type="cellIs" dxfId="1839" priority="2278" operator="equal">
      <formula>"CapEx"</formula>
    </cfRule>
  </conditionalFormatting>
  <conditionalFormatting sqref="F877">
    <cfRule type="dataBar" priority="2256">
      <dataBar>
        <cfvo type="min"/>
        <cfvo type="max"/>
        <color rgb="FF638EC6"/>
      </dataBar>
    </cfRule>
    <cfRule type="colorScale" priority="2257">
      <colorScale>
        <cfvo type="min"/>
        <cfvo type="percentile" val="50"/>
        <cfvo type="max"/>
        <color rgb="FFF8696B"/>
        <color rgb="FFFFEB84"/>
        <color rgb="FF63BE7B"/>
      </colorScale>
    </cfRule>
    <cfRule type="cellIs" dxfId="1838" priority="2258" operator="equal">
      <formula>"Cost of Sales"</formula>
    </cfRule>
    <cfRule type="cellIs" dxfId="1837" priority="2259" operator="equal">
      <formula>"Payroll"</formula>
    </cfRule>
    <cfRule type="cellIs" dxfId="1836" priority="2260" operator="equal">
      <formula>"Investment"</formula>
    </cfRule>
    <cfRule type="cellIs" dxfId="1835" priority="2261" operator="equal">
      <formula>"Sunk"</formula>
    </cfRule>
    <cfRule type="cellIs" dxfId="1834" priority="2262" operator="equal">
      <formula>"OpEx"</formula>
    </cfRule>
    <cfRule type="cellIs" dxfId="1833" priority="2263" operator="equal">
      <formula>"CapEx"</formula>
    </cfRule>
    <cfRule type="cellIs" dxfId="1832" priority="2264" operator="equal">
      <formula>"Tax"</formula>
    </cfRule>
    <cfRule type="cellIs" dxfId="1831" priority="2265" operator="equal">
      <formula>"Income"</formula>
    </cfRule>
  </conditionalFormatting>
  <conditionalFormatting sqref="H877">
    <cfRule type="cellIs" dxfId="1830" priority="2252" operator="equal">
      <formula>"GBP"</formula>
    </cfRule>
    <cfRule type="cellIs" dxfId="1829" priority="2253" operator="equal">
      <formula>"EUR"</formula>
    </cfRule>
    <cfRule type="cellIs" dxfId="1828" priority="2254" operator="equal">
      <formula>"USD"</formula>
    </cfRule>
    <cfRule type="cellIs" dxfId="1827" priority="2255" operator="equal">
      <formula>"EGP"</formula>
    </cfRule>
  </conditionalFormatting>
  <conditionalFormatting sqref="I877">
    <cfRule type="containsBlanks" dxfId="1826" priority="2251">
      <formula>LEN(TRIM(I877))=0</formula>
    </cfRule>
  </conditionalFormatting>
  <conditionalFormatting sqref="J877">
    <cfRule type="cellIs" dxfId="1825" priority="2245" operator="equal">
      <formula>5</formula>
    </cfRule>
    <cfRule type="cellIs" dxfId="1824" priority="2246" operator="equal">
      <formula>0</formula>
    </cfRule>
    <cfRule type="cellIs" dxfId="1823" priority="2247" operator="equal">
      <formula>3</formula>
    </cfRule>
    <cfRule type="cellIs" dxfId="1822" priority="2248" operator="equal">
      <formula>2</formula>
    </cfRule>
    <cfRule type="cellIs" dxfId="1821" priority="2249" operator="equal">
      <formula>1</formula>
    </cfRule>
    <cfRule type="cellIs" dxfId="1820" priority="2250" operator="equal">
      <formula>4</formula>
    </cfRule>
  </conditionalFormatting>
  <conditionalFormatting sqref="L877">
    <cfRule type="colorScale" priority="2268">
      <colorScale>
        <cfvo type="min"/>
        <cfvo type="percentile" val="50"/>
        <cfvo type="max"/>
        <color rgb="FFF8696B"/>
        <color rgb="FFFFEB84"/>
        <color rgb="FF63BE7B"/>
      </colorScale>
    </cfRule>
  </conditionalFormatting>
  <conditionalFormatting sqref="M877:P877">
    <cfRule type="colorScale" priority="2267">
      <colorScale>
        <cfvo type="min"/>
        <cfvo type="percentile" val="50"/>
        <cfvo type="max"/>
        <color rgb="FFF8696B"/>
        <color rgb="FFFFEB84"/>
        <color rgb="FF63BE7B"/>
      </colorScale>
    </cfRule>
  </conditionalFormatting>
  <conditionalFormatting sqref="Q877">
    <cfRule type="colorScale" priority="2266">
      <colorScale>
        <cfvo type="min"/>
        <cfvo type="percentile" val="50"/>
        <cfvo type="max"/>
        <color rgb="FFF8696B"/>
        <color rgb="FFFFEB84"/>
        <color rgb="FF63BE7B"/>
      </colorScale>
    </cfRule>
  </conditionalFormatting>
  <conditionalFormatting sqref="F878">
    <cfRule type="dataBar" priority="2235">
      <dataBar>
        <cfvo type="min"/>
        <cfvo type="max"/>
        <color rgb="FF638EC6"/>
      </dataBar>
    </cfRule>
    <cfRule type="colorScale" priority="2236">
      <colorScale>
        <cfvo type="min"/>
        <cfvo type="percentile" val="50"/>
        <cfvo type="max"/>
        <color rgb="FFF8696B"/>
        <color rgb="FFFFEB84"/>
        <color rgb="FF63BE7B"/>
      </colorScale>
    </cfRule>
    <cfRule type="cellIs" dxfId="1819" priority="2237" operator="equal">
      <formula>"Tax"</formula>
    </cfRule>
    <cfRule type="cellIs" dxfId="1818" priority="2238" operator="equal">
      <formula>"Income"</formula>
    </cfRule>
    <cfRule type="cellIs" dxfId="1817" priority="2239" operator="equal">
      <formula>"Cost of Sales"</formula>
    </cfRule>
    <cfRule type="cellIs" dxfId="1816" priority="2240" operator="equal">
      <formula>"Payroll"</formula>
    </cfRule>
    <cfRule type="cellIs" dxfId="1815" priority="2241" operator="equal">
      <formula>"Investment"</formula>
    </cfRule>
    <cfRule type="cellIs" dxfId="1814" priority="2242" operator="equal">
      <formula>"Sunk"</formula>
    </cfRule>
    <cfRule type="cellIs" dxfId="1813" priority="2243" operator="equal">
      <formula>"OpEx"</formula>
    </cfRule>
    <cfRule type="cellIs" dxfId="1812" priority="2244" operator="equal">
      <formula>"CapEx"</formula>
    </cfRule>
  </conditionalFormatting>
  <conditionalFormatting sqref="H878">
    <cfRule type="cellIs" dxfId="1811" priority="2231" operator="equal">
      <formula>"GBP"</formula>
    </cfRule>
    <cfRule type="cellIs" dxfId="1810" priority="2232" operator="equal">
      <formula>"EUR"</formula>
    </cfRule>
    <cfRule type="cellIs" dxfId="1809" priority="2233" operator="equal">
      <formula>"USD"</formula>
    </cfRule>
    <cfRule type="cellIs" dxfId="1808" priority="2234" operator="equal">
      <formula>"EGP"</formula>
    </cfRule>
  </conditionalFormatting>
  <conditionalFormatting sqref="I878">
    <cfRule type="containsBlanks" dxfId="1807" priority="2230">
      <formula>LEN(TRIM(I878))=0</formula>
    </cfRule>
  </conditionalFormatting>
  <conditionalFormatting sqref="J878">
    <cfRule type="cellIs" dxfId="1806" priority="2224" operator="equal">
      <formula>5</formula>
    </cfRule>
    <cfRule type="cellIs" dxfId="1805" priority="2225" operator="equal">
      <formula>0</formula>
    </cfRule>
    <cfRule type="cellIs" dxfId="1804" priority="2226" operator="equal">
      <formula>3</formula>
    </cfRule>
    <cfRule type="cellIs" dxfId="1803" priority="2227" operator="equal">
      <formula>2</formula>
    </cfRule>
    <cfRule type="cellIs" dxfId="1802" priority="2228" operator="equal">
      <formula>1</formula>
    </cfRule>
    <cfRule type="cellIs" dxfId="1801" priority="2229" operator="equal">
      <formula>4</formula>
    </cfRule>
  </conditionalFormatting>
  <conditionalFormatting sqref="F879:F880">
    <cfRule type="cellIs" dxfId="1800" priority="2202" operator="equal">
      <formula>"Cost of Sales"</formula>
    </cfRule>
    <cfRule type="cellIs" dxfId="1799" priority="2203" operator="equal">
      <formula>"Payroll"</formula>
    </cfRule>
    <cfRule type="cellIs" dxfId="1798" priority="2204" operator="equal">
      <formula>"Investment"</formula>
    </cfRule>
    <cfRule type="cellIs" dxfId="1797" priority="2205" operator="equal">
      <formula>"Sunk"</formula>
    </cfRule>
    <cfRule type="cellIs" dxfId="1796" priority="2206" operator="equal">
      <formula>"OpEx"</formula>
    </cfRule>
    <cfRule type="cellIs" dxfId="1795" priority="2207" operator="equal">
      <formula>"CapEx"</formula>
    </cfRule>
  </conditionalFormatting>
  <conditionalFormatting sqref="F879:F880">
    <cfRule type="cellIs" dxfId="1794" priority="2201" operator="equal">
      <formula>"Income"</formula>
    </cfRule>
  </conditionalFormatting>
  <conditionalFormatting sqref="F879">
    <cfRule type="cellIs" dxfId="1793" priority="2223" operator="equal">
      <formula>"Tax"</formula>
    </cfRule>
  </conditionalFormatting>
  <conditionalFormatting sqref="F879">
    <cfRule type="dataBar" priority="2217">
      <dataBar>
        <cfvo type="min"/>
        <cfvo type="max"/>
        <color rgb="FF638EC6"/>
      </dataBar>
    </cfRule>
    <cfRule type="colorScale" priority="2218">
      <colorScale>
        <cfvo type="min"/>
        <cfvo type="percentile" val="50"/>
        <cfvo type="max"/>
        <color rgb="FFF8696B"/>
        <color rgb="FFFFEB84"/>
        <color rgb="FF63BE7B"/>
      </colorScale>
    </cfRule>
  </conditionalFormatting>
  <conditionalFormatting sqref="F880">
    <cfRule type="dataBar" priority="2214">
      <dataBar>
        <cfvo type="min"/>
        <cfvo type="max"/>
        <color rgb="FF638EC6"/>
      </dataBar>
    </cfRule>
    <cfRule type="colorScale" priority="2215">
      <colorScale>
        <cfvo type="min"/>
        <cfvo type="percentile" val="50"/>
        <cfvo type="max"/>
        <color rgb="FFF8696B"/>
        <color rgb="FFFFEB84"/>
        <color rgb="FF63BE7B"/>
      </colorScale>
    </cfRule>
    <cfRule type="cellIs" dxfId="1792" priority="2216" operator="equal">
      <formula>"Tax"</formula>
    </cfRule>
  </conditionalFormatting>
  <conditionalFormatting sqref="F880">
    <cfRule type="cellIs" dxfId="1791" priority="2213" operator="equal">
      <formula>"Tax"</formula>
    </cfRule>
  </conditionalFormatting>
  <conditionalFormatting sqref="H879:H880">
    <cfRule type="cellIs" dxfId="1790" priority="2208" operator="equal">
      <formula>"GBP"</formula>
    </cfRule>
    <cfRule type="cellIs" dxfId="1789" priority="2209" operator="equal">
      <formula>"EUR"</formula>
    </cfRule>
    <cfRule type="cellIs" dxfId="1788" priority="2210" operator="equal">
      <formula>"USD"</formula>
    </cfRule>
    <cfRule type="cellIs" dxfId="1787" priority="2211" operator="equal">
      <formula>"EGP"</formula>
    </cfRule>
  </conditionalFormatting>
  <conditionalFormatting sqref="I879:I880">
    <cfRule type="containsBlanks" dxfId="1786" priority="2200">
      <formula>LEN(TRIM(I879))=0</formula>
    </cfRule>
  </conditionalFormatting>
  <conditionalFormatting sqref="I879">
    <cfRule type="cellIs" dxfId="1785" priority="2219" operator="equal">
      <formula>"GBP"</formula>
    </cfRule>
    <cfRule type="cellIs" dxfId="1784" priority="2220" operator="equal">
      <formula>"EUR"</formula>
    </cfRule>
    <cfRule type="cellIs" dxfId="1783" priority="2221" operator="equal">
      <formula>"USD"</formula>
    </cfRule>
    <cfRule type="cellIs" dxfId="1782" priority="2222" operator="equal">
      <formula>"EGP"</formula>
    </cfRule>
  </conditionalFormatting>
  <conditionalFormatting sqref="J879:J880">
    <cfRule type="cellIs" dxfId="1781" priority="2194" operator="equal">
      <formula>5</formula>
    </cfRule>
    <cfRule type="cellIs" dxfId="1780" priority="2195" operator="equal">
      <formula>0</formula>
    </cfRule>
    <cfRule type="cellIs" dxfId="1779" priority="2196" operator="equal">
      <formula>3</formula>
    </cfRule>
    <cfRule type="cellIs" dxfId="1778" priority="2197" operator="equal">
      <formula>2</formula>
    </cfRule>
    <cfRule type="cellIs" dxfId="1777" priority="2198" operator="equal">
      <formula>1</formula>
    </cfRule>
    <cfRule type="cellIs" dxfId="1776" priority="2199" operator="equal">
      <formula>4</formula>
    </cfRule>
  </conditionalFormatting>
  <conditionalFormatting sqref="L879:L880">
    <cfRule type="colorScale" priority="2212">
      <colorScale>
        <cfvo type="min"/>
        <cfvo type="percentile" val="50"/>
        <cfvo type="max"/>
        <color rgb="FFF8696B"/>
        <color rgb="FFFFEB84"/>
        <color rgb="FF63BE7B"/>
      </colorScale>
    </cfRule>
  </conditionalFormatting>
  <conditionalFormatting sqref="F881">
    <cfRule type="dataBar" priority="2184">
      <dataBar>
        <cfvo type="min"/>
        <cfvo type="max"/>
        <color rgb="FF638EC6"/>
      </dataBar>
    </cfRule>
    <cfRule type="colorScale" priority="2185">
      <colorScale>
        <cfvo type="min"/>
        <cfvo type="percentile" val="50"/>
        <cfvo type="max"/>
        <color rgb="FFF8696B"/>
        <color rgb="FFFFEB84"/>
        <color rgb="FF63BE7B"/>
      </colorScale>
    </cfRule>
    <cfRule type="cellIs" dxfId="1775" priority="2186" operator="equal">
      <formula>"Tax"</formula>
    </cfRule>
    <cfRule type="cellIs" dxfId="1774" priority="2187" operator="equal">
      <formula>"Income"</formula>
    </cfRule>
    <cfRule type="cellIs" dxfId="1773" priority="2188" operator="equal">
      <formula>"Cost of Sales"</formula>
    </cfRule>
    <cfRule type="cellIs" dxfId="1772" priority="2189" operator="equal">
      <formula>"Payroll"</formula>
    </cfRule>
    <cfRule type="cellIs" dxfId="1771" priority="2190" operator="equal">
      <formula>"Investment"</formula>
    </cfRule>
    <cfRule type="cellIs" dxfId="1770" priority="2191" operator="equal">
      <formula>"Sunk"</formula>
    </cfRule>
    <cfRule type="cellIs" dxfId="1769" priority="2192" operator="equal">
      <formula>"OpEx"</formula>
    </cfRule>
    <cfRule type="cellIs" dxfId="1768" priority="2193" operator="equal">
      <formula>"CapEx"</formula>
    </cfRule>
  </conditionalFormatting>
  <conditionalFormatting sqref="H881">
    <cfRule type="cellIs" dxfId="1767" priority="2180" operator="equal">
      <formula>"GBP"</formula>
    </cfRule>
    <cfRule type="cellIs" dxfId="1766" priority="2181" operator="equal">
      <formula>"EUR"</formula>
    </cfRule>
    <cfRule type="cellIs" dxfId="1765" priority="2182" operator="equal">
      <formula>"USD"</formula>
    </cfRule>
    <cfRule type="cellIs" dxfId="1764" priority="2183" operator="equal">
      <formula>"EGP"</formula>
    </cfRule>
  </conditionalFormatting>
  <conditionalFormatting sqref="I881">
    <cfRule type="containsBlanks" dxfId="1763" priority="2178">
      <formula>LEN(TRIM(I881))=0</formula>
    </cfRule>
  </conditionalFormatting>
  <conditionalFormatting sqref="J881">
    <cfRule type="cellIs" dxfId="1762" priority="2172" operator="equal">
      <formula>5</formula>
    </cfRule>
    <cfRule type="cellIs" dxfId="1761" priority="2173" operator="equal">
      <formula>0</formula>
    </cfRule>
    <cfRule type="cellIs" dxfId="1760" priority="2174" operator="equal">
      <formula>3</formula>
    </cfRule>
    <cfRule type="cellIs" dxfId="1759" priority="2175" operator="equal">
      <formula>2</formula>
    </cfRule>
    <cfRule type="cellIs" dxfId="1758" priority="2176" operator="equal">
      <formula>1</formula>
    </cfRule>
    <cfRule type="cellIs" dxfId="1757" priority="2177" operator="equal">
      <formula>4</formula>
    </cfRule>
  </conditionalFormatting>
  <conditionalFormatting sqref="L881">
    <cfRule type="colorScale" priority="2179">
      <colorScale>
        <cfvo type="min"/>
        <cfvo type="percentile" val="50"/>
        <cfvo type="max"/>
        <color rgb="FFF8696B"/>
        <color rgb="FFFFEB84"/>
        <color rgb="FF63BE7B"/>
      </colorScale>
    </cfRule>
  </conditionalFormatting>
  <conditionalFormatting sqref="F882">
    <cfRule type="cellIs" dxfId="1756" priority="2155" operator="equal">
      <formula>"Cost of Sales"</formula>
    </cfRule>
    <cfRule type="cellIs" dxfId="1755" priority="2156" operator="equal">
      <formula>"Payroll"</formula>
    </cfRule>
    <cfRule type="cellIs" dxfId="1754" priority="2157" operator="equal">
      <formula>"Investment"</formula>
    </cfRule>
    <cfRule type="cellIs" dxfId="1753" priority="2158" operator="equal">
      <formula>"Sunk"</formula>
    </cfRule>
    <cfRule type="cellIs" dxfId="1752" priority="2159" operator="equal">
      <formula>"OpEx"</formula>
    </cfRule>
    <cfRule type="cellIs" dxfId="1751" priority="2160" operator="equal">
      <formula>"CapEx"</formula>
    </cfRule>
  </conditionalFormatting>
  <conditionalFormatting sqref="F882">
    <cfRule type="cellIs" dxfId="1750" priority="2154" operator="equal">
      <formula>"Income"</formula>
    </cfRule>
  </conditionalFormatting>
  <conditionalFormatting sqref="F882">
    <cfRule type="cellIs" dxfId="1749" priority="2171" operator="equal">
      <formula>"Tax"</formula>
    </cfRule>
  </conditionalFormatting>
  <conditionalFormatting sqref="F882">
    <cfRule type="dataBar" priority="2165">
      <dataBar>
        <cfvo type="min"/>
        <cfvo type="max"/>
        <color rgb="FF638EC6"/>
      </dataBar>
    </cfRule>
    <cfRule type="colorScale" priority="2166">
      <colorScale>
        <cfvo type="min"/>
        <cfvo type="percentile" val="50"/>
        <cfvo type="max"/>
        <color rgb="FFF8696B"/>
        <color rgb="FFFFEB84"/>
        <color rgb="FF63BE7B"/>
      </colorScale>
    </cfRule>
  </conditionalFormatting>
  <conditionalFormatting sqref="H882">
    <cfRule type="cellIs" dxfId="1748" priority="2161" operator="equal">
      <formula>"GBP"</formula>
    </cfRule>
    <cfRule type="cellIs" dxfId="1747" priority="2162" operator="equal">
      <formula>"EUR"</formula>
    </cfRule>
    <cfRule type="cellIs" dxfId="1746" priority="2163" operator="equal">
      <formula>"USD"</formula>
    </cfRule>
    <cfRule type="cellIs" dxfId="1745" priority="2164" operator="equal">
      <formula>"EGP"</formula>
    </cfRule>
  </conditionalFormatting>
  <conditionalFormatting sqref="I882">
    <cfRule type="containsBlanks" dxfId="1744" priority="2153">
      <formula>LEN(TRIM(I882))=0</formula>
    </cfRule>
  </conditionalFormatting>
  <conditionalFormatting sqref="I882">
    <cfRule type="cellIs" dxfId="1743" priority="2167" operator="equal">
      <formula>"GBP"</formula>
    </cfRule>
    <cfRule type="cellIs" dxfId="1742" priority="2168" operator="equal">
      <formula>"EUR"</formula>
    </cfRule>
    <cfRule type="cellIs" dxfId="1741" priority="2169" operator="equal">
      <formula>"USD"</formula>
    </cfRule>
    <cfRule type="cellIs" dxfId="1740" priority="2170" operator="equal">
      <formula>"EGP"</formula>
    </cfRule>
  </conditionalFormatting>
  <conditionalFormatting sqref="J882">
    <cfRule type="cellIs" dxfId="1739" priority="2147" operator="equal">
      <formula>5</formula>
    </cfRule>
    <cfRule type="cellIs" dxfId="1738" priority="2148" operator="equal">
      <formula>0</formula>
    </cfRule>
    <cfRule type="cellIs" dxfId="1737" priority="2149" operator="equal">
      <formula>3</formula>
    </cfRule>
    <cfRule type="cellIs" dxfId="1736" priority="2150" operator="equal">
      <formula>2</formula>
    </cfRule>
    <cfRule type="cellIs" dxfId="1735" priority="2151" operator="equal">
      <formula>1</formula>
    </cfRule>
    <cfRule type="cellIs" dxfId="1734" priority="2152" operator="equal">
      <formula>4</formula>
    </cfRule>
  </conditionalFormatting>
  <conditionalFormatting sqref="F883">
    <cfRule type="cellIs" dxfId="1733" priority="2137" operator="equal">
      <formula>"Income"</formula>
    </cfRule>
    <cfRule type="cellIs" dxfId="1732" priority="2138" operator="equal">
      <formula>"Cost of Sales"</formula>
    </cfRule>
    <cfRule type="cellIs" dxfId="1731" priority="2139" operator="equal">
      <formula>"Payroll"</formula>
    </cfRule>
    <cfRule type="cellIs" dxfId="1730" priority="2140" operator="equal">
      <formula>"Investment"</formula>
    </cfRule>
    <cfRule type="cellIs" dxfId="1729" priority="2141" operator="equal">
      <formula>"Sunk"</formula>
    </cfRule>
    <cfRule type="cellIs" dxfId="1728" priority="2142" operator="equal">
      <formula>"OpEx"</formula>
    </cfRule>
    <cfRule type="cellIs" dxfId="1727" priority="2143" operator="equal">
      <formula>"CapEx"</formula>
    </cfRule>
  </conditionalFormatting>
  <conditionalFormatting sqref="F883">
    <cfRule type="dataBar" priority="2144">
      <dataBar>
        <cfvo type="min"/>
        <cfvo type="max"/>
        <color rgb="FF638EC6"/>
      </dataBar>
    </cfRule>
    <cfRule type="colorScale" priority="2145">
      <colorScale>
        <cfvo type="min"/>
        <cfvo type="percentile" val="50"/>
        <cfvo type="max"/>
        <color rgb="FFF8696B"/>
        <color rgb="FFFFEB84"/>
        <color rgb="FF63BE7B"/>
      </colorScale>
    </cfRule>
    <cfRule type="cellIs" dxfId="1726" priority="2146" operator="equal">
      <formula>"Tax"</formula>
    </cfRule>
  </conditionalFormatting>
  <conditionalFormatting sqref="H883">
    <cfRule type="cellIs" dxfId="1725" priority="2133" operator="equal">
      <formula>"GBP"</formula>
    </cfRule>
    <cfRule type="cellIs" dxfId="1724" priority="2134" operator="equal">
      <formula>"EUR"</formula>
    </cfRule>
    <cfRule type="cellIs" dxfId="1723" priority="2135" operator="equal">
      <formula>"USD"</formula>
    </cfRule>
    <cfRule type="cellIs" dxfId="1722" priority="2136" operator="equal">
      <formula>"EGP"</formula>
    </cfRule>
  </conditionalFormatting>
  <conditionalFormatting sqref="I883">
    <cfRule type="containsBlanks" dxfId="1721" priority="2132">
      <formula>LEN(TRIM(I883))=0</formula>
    </cfRule>
  </conditionalFormatting>
  <conditionalFormatting sqref="J883">
    <cfRule type="cellIs" dxfId="1720" priority="2126" operator="equal">
      <formula>5</formula>
    </cfRule>
    <cfRule type="cellIs" dxfId="1719" priority="2127" operator="equal">
      <formula>0</formula>
    </cfRule>
    <cfRule type="cellIs" dxfId="1718" priority="2128" operator="equal">
      <formula>3</formula>
    </cfRule>
    <cfRule type="cellIs" dxfId="1717" priority="2129" operator="equal">
      <formula>2</formula>
    </cfRule>
    <cfRule type="cellIs" dxfId="1716" priority="2130" operator="equal">
      <formula>1</formula>
    </cfRule>
    <cfRule type="cellIs" dxfId="1715" priority="2131" operator="equal">
      <formula>4</formula>
    </cfRule>
  </conditionalFormatting>
  <conditionalFormatting sqref="D884">
    <cfRule type="colorScale" priority="2125">
      <colorScale>
        <cfvo type="min"/>
        <cfvo type="percentile" val="50"/>
        <cfvo type="max"/>
        <color rgb="FFF8696B"/>
        <color rgb="FFFFEB84"/>
        <color rgb="FF63BE7B"/>
      </colorScale>
    </cfRule>
  </conditionalFormatting>
  <conditionalFormatting sqref="F884">
    <cfRule type="cellIs" dxfId="1714" priority="2118" operator="equal">
      <formula>"Income"</formula>
    </cfRule>
    <cfRule type="cellIs" dxfId="1713" priority="2119" operator="equal">
      <formula>"Cost of Sales"</formula>
    </cfRule>
    <cfRule type="cellIs" dxfId="1712" priority="2120" operator="equal">
      <formula>"Payroll"</formula>
    </cfRule>
    <cfRule type="cellIs" dxfId="1711" priority="2121" operator="equal">
      <formula>"Investment"</formula>
    </cfRule>
    <cfRule type="cellIs" dxfId="1710" priority="2122" operator="equal">
      <formula>"Sunk"</formula>
    </cfRule>
    <cfRule type="cellIs" dxfId="1709" priority="2123" operator="equal">
      <formula>"OpEx"</formula>
    </cfRule>
    <cfRule type="cellIs" dxfId="1708" priority="2124" operator="equal">
      <formula>"CapEx"</formula>
    </cfRule>
  </conditionalFormatting>
  <conditionalFormatting sqref="F884">
    <cfRule type="dataBar" priority="2115">
      <dataBar>
        <cfvo type="min"/>
        <cfvo type="max"/>
        <color rgb="FF638EC6"/>
      </dataBar>
    </cfRule>
    <cfRule type="colorScale" priority="2116">
      <colorScale>
        <cfvo type="min"/>
        <cfvo type="percentile" val="50"/>
        <cfvo type="max"/>
        <color rgb="FFF8696B"/>
        <color rgb="FFFFEB84"/>
        <color rgb="FF63BE7B"/>
      </colorScale>
    </cfRule>
    <cfRule type="cellIs" dxfId="1707" priority="2117" operator="equal">
      <formula>"Tax"</formula>
    </cfRule>
  </conditionalFormatting>
  <conditionalFormatting sqref="H884">
    <cfRule type="cellIs" dxfId="1706" priority="2111" operator="equal">
      <formula>"GBP"</formula>
    </cfRule>
    <cfRule type="cellIs" dxfId="1705" priority="2112" operator="equal">
      <formula>"EUR"</formula>
    </cfRule>
    <cfRule type="cellIs" dxfId="1704" priority="2113" operator="equal">
      <formula>"USD"</formula>
    </cfRule>
    <cfRule type="cellIs" dxfId="1703" priority="2114" operator="equal">
      <formula>"EGP"</formula>
    </cfRule>
  </conditionalFormatting>
  <conditionalFormatting sqref="I884">
    <cfRule type="containsBlanks" dxfId="1702" priority="2110">
      <formula>LEN(TRIM(I884))=0</formula>
    </cfRule>
  </conditionalFormatting>
  <conditionalFormatting sqref="J884">
    <cfRule type="cellIs" dxfId="1701" priority="2104" operator="equal">
      <formula>5</formula>
    </cfRule>
    <cfRule type="cellIs" dxfId="1700" priority="2105" operator="equal">
      <formula>0</formula>
    </cfRule>
    <cfRule type="cellIs" dxfId="1699" priority="2106" operator="equal">
      <formula>3</formula>
    </cfRule>
    <cfRule type="cellIs" dxfId="1698" priority="2107" operator="equal">
      <formula>2</formula>
    </cfRule>
    <cfRule type="cellIs" dxfId="1697" priority="2108" operator="equal">
      <formula>1</formula>
    </cfRule>
    <cfRule type="cellIs" dxfId="1696" priority="2109" operator="equal">
      <formula>4</formula>
    </cfRule>
  </conditionalFormatting>
  <conditionalFormatting sqref="F885">
    <cfRule type="cellIs" dxfId="1695" priority="2087" operator="equal">
      <formula>"Cost of Sales"</formula>
    </cfRule>
    <cfRule type="cellIs" dxfId="1694" priority="2088" operator="equal">
      <formula>"Payroll"</formula>
    </cfRule>
    <cfRule type="cellIs" dxfId="1693" priority="2089" operator="equal">
      <formula>"Investment"</formula>
    </cfRule>
    <cfRule type="cellIs" dxfId="1692" priority="2090" operator="equal">
      <formula>"Sunk"</formula>
    </cfRule>
    <cfRule type="cellIs" dxfId="1691" priority="2091" operator="equal">
      <formula>"OpEx"</formula>
    </cfRule>
    <cfRule type="cellIs" dxfId="1690" priority="2092" operator="equal">
      <formula>"CapEx"</formula>
    </cfRule>
  </conditionalFormatting>
  <conditionalFormatting sqref="F885">
    <cfRule type="cellIs" dxfId="1689" priority="2086" operator="equal">
      <formula>"Income"</formula>
    </cfRule>
  </conditionalFormatting>
  <conditionalFormatting sqref="F885">
    <cfRule type="cellIs" dxfId="1688" priority="2103" operator="equal">
      <formula>"Tax"</formula>
    </cfRule>
  </conditionalFormatting>
  <conditionalFormatting sqref="F885">
    <cfRule type="dataBar" priority="2097">
      <dataBar>
        <cfvo type="min"/>
        <cfvo type="max"/>
        <color rgb="FF638EC6"/>
      </dataBar>
    </cfRule>
    <cfRule type="colorScale" priority="2098">
      <colorScale>
        <cfvo type="min"/>
        <cfvo type="percentile" val="50"/>
        <cfvo type="max"/>
        <color rgb="FFF8696B"/>
        <color rgb="FFFFEB84"/>
        <color rgb="FF63BE7B"/>
      </colorScale>
    </cfRule>
  </conditionalFormatting>
  <conditionalFormatting sqref="H885">
    <cfRule type="cellIs" dxfId="1687" priority="2093" operator="equal">
      <formula>"GBP"</formula>
    </cfRule>
    <cfRule type="cellIs" dxfId="1686" priority="2094" operator="equal">
      <formula>"EUR"</formula>
    </cfRule>
    <cfRule type="cellIs" dxfId="1685" priority="2095" operator="equal">
      <formula>"USD"</formula>
    </cfRule>
    <cfRule type="cellIs" dxfId="1684" priority="2096" operator="equal">
      <formula>"EGP"</formula>
    </cfRule>
  </conditionalFormatting>
  <conditionalFormatting sqref="I885">
    <cfRule type="containsBlanks" dxfId="1683" priority="2085">
      <formula>LEN(TRIM(I885))=0</formula>
    </cfRule>
  </conditionalFormatting>
  <conditionalFormatting sqref="I885">
    <cfRule type="cellIs" dxfId="1682" priority="2099" operator="equal">
      <formula>"GBP"</formula>
    </cfRule>
    <cfRule type="cellIs" dxfId="1681" priority="2100" operator="equal">
      <formula>"EUR"</formula>
    </cfRule>
    <cfRule type="cellIs" dxfId="1680" priority="2101" operator="equal">
      <formula>"USD"</formula>
    </cfRule>
    <cfRule type="cellIs" dxfId="1679" priority="2102" operator="equal">
      <formula>"EGP"</formula>
    </cfRule>
  </conditionalFormatting>
  <conditionalFormatting sqref="J885">
    <cfRule type="cellIs" dxfId="1678" priority="2079" operator="equal">
      <formula>5</formula>
    </cfRule>
    <cfRule type="cellIs" dxfId="1677" priority="2080" operator="equal">
      <formula>0</formula>
    </cfRule>
    <cfRule type="cellIs" dxfId="1676" priority="2081" operator="equal">
      <formula>3</formula>
    </cfRule>
    <cfRule type="cellIs" dxfId="1675" priority="2082" operator="equal">
      <formula>2</formula>
    </cfRule>
    <cfRule type="cellIs" dxfId="1674" priority="2083" operator="equal">
      <formula>1</formula>
    </cfRule>
    <cfRule type="cellIs" dxfId="1673" priority="2084" operator="equal">
      <formula>4</formula>
    </cfRule>
  </conditionalFormatting>
  <conditionalFormatting sqref="F893">
    <cfRule type="cellIs" dxfId="1672" priority="2072" operator="equal">
      <formula>"Income"</formula>
    </cfRule>
    <cfRule type="cellIs" dxfId="1671" priority="2073" operator="equal">
      <formula>"Cost of Sales"</formula>
    </cfRule>
    <cfRule type="cellIs" dxfId="1670" priority="2074" operator="equal">
      <formula>"Payroll"</formula>
    </cfRule>
    <cfRule type="cellIs" dxfId="1669" priority="2075" operator="equal">
      <formula>"Investment"</formula>
    </cfRule>
    <cfRule type="cellIs" dxfId="1668" priority="2076" operator="equal">
      <formula>"Sunk"</formula>
    </cfRule>
    <cfRule type="cellIs" dxfId="1667" priority="2077" operator="equal">
      <formula>"OpEx"</formula>
    </cfRule>
    <cfRule type="cellIs" dxfId="1666" priority="2078" operator="equal">
      <formula>"CapEx"</formula>
    </cfRule>
  </conditionalFormatting>
  <conditionalFormatting sqref="F893">
    <cfRule type="dataBar" priority="2069">
      <dataBar>
        <cfvo type="min"/>
        <cfvo type="max"/>
        <color rgb="FF638EC6"/>
      </dataBar>
    </cfRule>
    <cfRule type="colorScale" priority="2070">
      <colorScale>
        <cfvo type="min"/>
        <cfvo type="percentile" val="50"/>
        <cfvo type="max"/>
        <color rgb="FFF8696B"/>
        <color rgb="FFFFEB84"/>
        <color rgb="FF63BE7B"/>
      </colorScale>
    </cfRule>
    <cfRule type="cellIs" dxfId="1665" priority="2071" operator="equal">
      <formula>"Tax"</formula>
    </cfRule>
  </conditionalFormatting>
  <conditionalFormatting sqref="I893">
    <cfRule type="containsBlanks" dxfId="1664" priority="2068">
      <formula>LEN(TRIM(I893))=0</formula>
    </cfRule>
  </conditionalFormatting>
  <conditionalFormatting sqref="J893">
    <cfRule type="cellIs" dxfId="1663" priority="2062" operator="equal">
      <formula>5</formula>
    </cfRule>
    <cfRule type="cellIs" dxfId="1662" priority="2063" operator="equal">
      <formula>0</formula>
    </cfRule>
    <cfRule type="cellIs" dxfId="1661" priority="2064" operator="equal">
      <formula>3</formula>
    </cfRule>
    <cfRule type="cellIs" dxfId="1660" priority="2065" operator="equal">
      <formula>2</formula>
    </cfRule>
    <cfRule type="cellIs" dxfId="1659" priority="2066" operator="equal">
      <formula>1</formula>
    </cfRule>
    <cfRule type="cellIs" dxfId="1658" priority="2067" operator="equal">
      <formula>4</formula>
    </cfRule>
  </conditionalFormatting>
  <conditionalFormatting sqref="L893">
    <cfRule type="colorScale" priority="2061">
      <colorScale>
        <cfvo type="min"/>
        <cfvo type="percentile" val="50"/>
        <cfvo type="max"/>
        <color rgb="FFF8696B"/>
        <color rgb="FFFFEB84"/>
        <color rgb="FF63BE7B"/>
      </colorScale>
    </cfRule>
  </conditionalFormatting>
  <conditionalFormatting sqref="F894">
    <cfRule type="cellIs" dxfId="1657" priority="2054" operator="equal">
      <formula>"Income"</formula>
    </cfRule>
    <cfRule type="cellIs" dxfId="1656" priority="2055" operator="equal">
      <formula>"Cost of Sales"</formula>
    </cfRule>
    <cfRule type="cellIs" dxfId="1655" priority="2056" operator="equal">
      <formula>"Payroll"</formula>
    </cfRule>
    <cfRule type="cellIs" dxfId="1654" priority="2057" operator="equal">
      <formula>"Investment"</formula>
    </cfRule>
    <cfRule type="cellIs" dxfId="1653" priority="2058" operator="equal">
      <formula>"Sunk"</formula>
    </cfRule>
    <cfRule type="cellIs" dxfId="1652" priority="2059" operator="equal">
      <formula>"OpEx"</formula>
    </cfRule>
    <cfRule type="cellIs" dxfId="1651" priority="2060" operator="equal">
      <formula>"CapEx"</formula>
    </cfRule>
  </conditionalFormatting>
  <conditionalFormatting sqref="F894">
    <cfRule type="cellIs" dxfId="1650" priority="2031" operator="equal">
      <formula>"Cost of Sales"</formula>
    </cfRule>
    <cfRule type="cellIs" dxfId="1649" priority="2032" operator="equal">
      <formula>"Payroll"</formula>
    </cfRule>
    <cfRule type="cellIs" dxfId="1648" priority="2033" operator="equal">
      <formula>"Investment"</formula>
    </cfRule>
    <cfRule type="cellIs" dxfId="1647" priority="2034" operator="equal">
      <formula>"Sunk"</formula>
    </cfRule>
    <cfRule type="cellIs" dxfId="1646" priority="2035" operator="equal">
      <formula>"OpEx"</formula>
    </cfRule>
    <cfRule type="cellIs" dxfId="1645" priority="2036" operator="equal">
      <formula>"CapEx"</formula>
    </cfRule>
    <cfRule type="cellIs" dxfId="1644" priority="2037" operator="equal">
      <formula>"Income"</formula>
    </cfRule>
    <cfRule type="dataBar" priority="2038">
      <dataBar>
        <cfvo type="min"/>
        <cfvo type="max"/>
        <color rgb="FF638EC6"/>
      </dataBar>
    </cfRule>
    <cfRule type="colorScale" priority="2039">
      <colorScale>
        <cfvo type="min"/>
        <cfvo type="percentile" val="50"/>
        <cfvo type="max"/>
        <color rgb="FFF8696B"/>
        <color rgb="FFFFEB84"/>
        <color rgb="FF63BE7B"/>
      </colorScale>
    </cfRule>
    <cfRule type="cellIs" dxfId="1643" priority="2040" operator="equal">
      <formula>"Tax"</formula>
    </cfRule>
    <cfRule type="cellIs" dxfId="1642" priority="2041" operator="equal">
      <formula>"Income"</formula>
    </cfRule>
    <cfRule type="cellIs" dxfId="1641" priority="2042" operator="equal">
      <formula>"Cost of Sales"</formula>
    </cfRule>
    <cfRule type="cellIs" dxfId="1640" priority="2043" operator="equal">
      <formula>"Payroll"</formula>
    </cfRule>
    <cfRule type="cellIs" dxfId="1639" priority="2044" operator="equal">
      <formula>"Investment"</formula>
    </cfRule>
    <cfRule type="cellIs" dxfId="1638" priority="2045" operator="equal">
      <formula>"Sunk"</formula>
    </cfRule>
    <cfRule type="cellIs" dxfId="1637" priority="2046" operator="equal">
      <formula>"OpEx"</formula>
    </cfRule>
    <cfRule type="cellIs" dxfId="1636" priority="2047" operator="equal">
      <formula>"CapEx"</formula>
    </cfRule>
    <cfRule type="dataBar" priority="2048">
      <dataBar>
        <cfvo type="min"/>
        <cfvo type="max"/>
        <color rgb="FF638EC6"/>
      </dataBar>
    </cfRule>
    <cfRule type="colorScale" priority="2049">
      <colorScale>
        <cfvo type="min"/>
        <cfvo type="percentile" val="50"/>
        <cfvo type="max"/>
        <color rgb="FFF8696B"/>
        <color rgb="FFFFEB84"/>
        <color rgb="FF63BE7B"/>
      </colorScale>
    </cfRule>
    <cfRule type="cellIs" dxfId="1635" priority="2050" operator="equal">
      <formula>"Tax"</formula>
    </cfRule>
    <cfRule type="dataBar" priority="2051">
      <dataBar>
        <cfvo type="min"/>
        <cfvo type="max"/>
        <color rgb="FF638EC6"/>
      </dataBar>
    </cfRule>
    <cfRule type="colorScale" priority="2052">
      <colorScale>
        <cfvo type="min"/>
        <cfvo type="percentile" val="50"/>
        <cfvo type="max"/>
        <color rgb="FFF8696B"/>
        <color rgb="FFFFEB84"/>
        <color rgb="FF63BE7B"/>
      </colorScale>
    </cfRule>
    <cfRule type="cellIs" dxfId="1634" priority="2053" operator="equal">
      <formula>"Tax"</formula>
    </cfRule>
  </conditionalFormatting>
  <conditionalFormatting sqref="F895">
    <cfRule type="dataBar" priority="2021">
      <dataBar>
        <cfvo type="min"/>
        <cfvo type="max"/>
        <color rgb="FF638EC6"/>
      </dataBar>
    </cfRule>
    <cfRule type="colorScale" priority="2022">
      <colorScale>
        <cfvo type="min"/>
        <cfvo type="percentile" val="50"/>
        <cfvo type="max"/>
        <color rgb="FFF8696B"/>
        <color rgb="FFFFEB84"/>
        <color rgb="FF63BE7B"/>
      </colorScale>
    </cfRule>
    <cfRule type="cellIs" dxfId="1633" priority="2023" operator="equal">
      <formula>"Tax"</formula>
    </cfRule>
    <cfRule type="cellIs" dxfId="1632" priority="2024" operator="equal">
      <formula>"Cost of Sales"</formula>
    </cfRule>
    <cfRule type="cellIs" dxfId="1631" priority="2025" operator="equal">
      <formula>"Payroll"</formula>
    </cfRule>
    <cfRule type="cellIs" dxfId="1630" priority="2026" operator="equal">
      <formula>"Investment"</formula>
    </cfRule>
    <cfRule type="cellIs" dxfId="1629" priority="2027" operator="equal">
      <formula>"Sunk"</formula>
    </cfRule>
    <cfRule type="cellIs" dxfId="1628" priority="2028" operator="equal">
      <formula>"OpEx"</formula>
    </cfRule>
    <cfRule type="cellIs" dxfId="1627" priority="2029" operator="equal">
      <formula>"CapEx"</formula>
    </cfRule>
    <cfRule type="cellIs" dxfId="1626" priority="2030" operator="equal">
      <formula>"Income"</formula>
    </cfRule>
  </conditionalFormatting>
  <conditionalFormatting sqref="F896:F897">
    <cfRule type="dataBar" priority="2011">
      <dataBar>
        <cfvo type="min"/>
        <cfvo type="max"/>
        <color rgb="FF638EC6"/>
      </dataBar>
    </cfRule>
    <cfRule type="colorScale" priority="2012">
      <colorScale>
        <cfvo type="min"/>
        <cfvo type="percentile" val="50"/>
        <cfvo type="max"/>
        <color rgb="FFF8696B"/>
        <color rgb="FFFFEB84"/>
        <color rgb="FF63BE7B"/>
      </colorScale>
    </cfRule>
    <cfRule type="cellIs" dxfId="1625" priority="2013" operator="equal">
      <formula>"Tax"</formula>
    </cfRule>
    <cfRule type="cellIs" dxfId="1624" priority="2014" operator="equal">
      <formula>"Cost of Sales"</formula>
    </cfRule>
    <cfRule type="cellIs" dxfId="1623" priority="2015" operator="equal">
      <formula>"Payroll"</formula>
    </cfRule>
    <cfRule type="cellIs" dxfId="1622" priority="2016" operator="equal">
      <formula>"Investment"</formula>
    </cfRule>
    <cfRule type="cellIs" dxfId="1621" priority="2017" operator="equal">
      <formula>"Sunk"</formula>
    </cfRule>
    <cfRule type="cellIs" dxfId="1620" priority="2018" operator="equal">
      <formula>"OpEx"</formula>
    </cfRule>
    <cfRule type="cellIs" dxfId="1619" priority="2019" operator="equal">
      <formula>"CapEx"</formula>
    </cfRule>
    <cfRule type="cellIs" dxfId="1618" priority="2020" operator="equal">
      <formula>"Income"</formula>
    </cfRule>
  </conditionalFormatting>
  <conditionalFormatting sqref="F898">
    <cfRule type="dataBar" priority="1998">
      <dataBar>
        <cfvo type="min"/>
        <cfvo type="max"/>
        <color rgb="FF638EC6"/>
      </dataBar>
    </cfRule>
    <cfRule type="colorScale" priority="1999">
      <colorScale>
        <cfvo type="min"/>
        <cfvo type="percentile" val="50"/>
        <cfvo type="max"/>
        <color rgb="FFF8696B"/>
        <color rgb="FFFFEB84"/>
        <color rgb="FF63BE7B"/>
      </colorScale>
    </cfRule>
    <cfRule type="cellIs" dxfId="1617" priority="2000" operator="equal">
      <formula>"Tax"</formula>
    </cfRule>
    <cfRule type="dataBar" priority="2001">
      <dataBar>
        <cfvo type="min"/>
        <cfvo type="max"/>
        <color rgb="FF638EC6"/>
      </dataBar>
    </cfRule>
    <cfRule type="colorScale" priority="2002">
      <colorScale>
        <cfvo type="min"/>
        <cfvo type="percentile" val="50"/>
        <cfvo type="max"/>
        <color rgb="FFF8696B"/>
        <color rgb="FFFFEB84"/>
        <color rgb="FF63BE7B"/>
      </colorScale>
    </cfRule>
    <cfRule type="cellIs" dxfId="1616" priority="2003" operator="equal">
      <formula>"Tax"</formula>
    </cfRule>
    <cfRule type="cellIs" dxfId="1615" priority="2004" operator="equal">
      <formula>"Income"</formula>
    </cfRule>
    <cfRule type="cellIs" dxfId="1614" priority="2005" operator="equal">
      <formula>"Cost of Sales"</formula>
    </cfRule>
    <cfRule type="cellIs" dxfId="1613" priority="2006" operator="equal">
      <formula>"Payroll"</formula>
    </cfRule>
    <cfRule type="cellIs" dxfId="1612" priority="2007" operator="equal">
      <formula>"Investment"</formula>
    </cfRule>
    <cfRule type="cellIs" dxfId="1611" priority="2008" operator="equal">
      <formula>"Sunk"</formula>
    </cfRule>
    <cfRule type="cellIs" dxfId="1610" priority="2009" operator="equal">
      <formula>"OpEx"</formula>
    </cfRule>
    <cfRule type="cellIs" dxfId="1609" priority="2010" operator="equal">
      <formula>"CapEx"</formula>
    </cfRule>
  </conditionalFormatting>
  <conditionalFormatting sqref="F898:F899">
    <cfRule type="cellIs" dxfId="1608" priority="1991" operator="equal">
      <formula>"Cost of Sales"</formula>
    </cfRule>
    <cfRule type="cellIs" dxfId="1607" priority="1992" operator="equal">
      <formula>"Payroll"</formula>
    </cfRule>
    <cfRule type="cellIs" dxfId="1606" priority="1993" operator="equal">
      <formula>"Investment"</formula>
    </cfRule>
    <cfRule type="cellIs" dxfId="1605" priority="1994" operator="equal">
      <formula>"Sunk"</formula>
    </cfRule>
    <cfRule type="cellIs" dxfId="1604" priority="1995" operator="equal">
      <formula>"OpEx"</formula>
    </cfRule>
    <cfRule type="cellIs" dxfId="1603" priority="1996" operator="equal">
      <formula>"CapEx"</formula>
    </cfRule>
    <cfRule type="cellIs" dxfId="1602" priority="1997" operator="equal">
      <formula>"Income"</formula>
    </cfRule>
  </conditionalFormatting>
  <conditionalFormatting sqref="F899">
    <cfRule type="dataBar" priority="1988">
      <dataBar>
        <cfvo type="min"/>
        <cfvo type="max"/>
        <color rgb="FF638EC6"/>
      </dataBar>
    </cfRule>
    <cfRule type="colorScale" priority="1989">
      <colorScale>
        <cfvo type="min"/>
        <cfvo type="percentile" val="50"/>
        <cfvo type="max"/>
        <color rgb="FFF8696B"/>
        <color rgb="FFFFEB84"/>
        <color rgb="FF63BE7B"/>
      </colorScale>
    </cfRule>
    <cfRule type="cellIs" dxfId="1601" priority="1990" operator="equal">
      <formula>"Tax"</formula>
    </cfRule>
  </conditionalFormatting>
  <conditionalFormatting sqref="H894:H899">
    <cfRule type="cellIs" dxfId="1600" priority="1984" operator="equal">
      <formula>"GBP"</formula>
    </cfRule>
    <cfRule type="cellIs" dxfId="1599" priority="1985" operator="equal">
      <formula>"EUR"</formula>
    </cfRule>
    <cfRule type="cellIs" dxfId="1598" priority="1986" operator="equal">
      <formula>"USD"</formula>
    </cfRule>
    <cfRule type="cellIs" dxfId="1597" priority="1987" operator="equal">
      <formula>"EGP"</formula>
    </cfRule>
  </conditionalFormatting>
  <conditionalFormatting sqref="I894:I899">
    <cfRule type="containsBlanks" dxfId="1596" priority="1983">
      <formula>LEN(TRIM(I894))=0</formula>
    </cfRule>
  </conditionalFormatting>
  <conditionalFormatting sqref="J894:J899">
    <cfRule type="cellIs" dxfId="1595" priority="1977" operator="equal">
      <formula>5</formula>
    </cfRule>
    <cfRule type="cellIs" dxfId="1594" priority="1978" operator="equal">
      <formula>0</formula>
    </cfRule>
    <cfRule type="cellIs" dxfId="1593" priority="1979" operator="equal">
      <formula>3</formula>
    </cfRule>
    <cfRule type="cellIs" dxfId="1592" priority="1980" operator="equal">
      <formula>2</formula>
    </cfRule>
    <cfRule type="cellIs" dxfId="1591" priority="1981" operator="equal">
      <formula>1</formula>
    </cfRule>
    <cfRule type="cellIs" dxfId="1590" priority="1982" operator="equal">
      <formula>4</formula>
    </cfRule>
  </conditionalFormatting>
  <conditionalFormatting sqref="L894:L899">
    <cfRule type="colorScale" priority="1976">
      <colorScale>
        <cfvo type="min"/>
        <cfvo type="percentile" val="50"/>
        <cfvo type="max"/>
        <color rgb="FFF8696B"/>
        <color rgb="FFFFEB84"/>
        <color rgb="FF63BE7B"/>
      </colorScale>
    </cfRule>
  </conditionalFormatting>
  <conditionalFormatting sqref="F900">
    <cfRule type="dataBar" priority="1966">
      <dataBar>
        <cfvo type="min"/>
        <cfvo type="max"/>
        <color rgb="FF638EC6"/>
      </dataBar>
    </cfRule>
    <cfRule type="colorScale" priority="1967">
      <colorScale>
        <cfvo type="min"/>
        <cfvo type="percentile" val="50"/>
        <cfvo type="max"/>
        <color rgb="FFF8696B"/>
        <color rgb="FFFFEB84"/>
        <color rgb="FF63BE7B"/>
      </colorScale>
    </cfRule>
    <cfRule type="cellIs" dxfId="1589" priority="1968" operator="equal">
      <formula>"Tax"</formula>
    </cfRule>
    <cfRule type="cellIs" dxfId="1588" priority="1969" operator="equal">
      <formula>"Cost of Sales"</formula>
    </cfRule>
    <cfRule type="cellIs" dxfId="1587" priority="1970" operator="equal">
      <formula>"Payroll"</formula>
    </cfRule>
    <cfRule type="cellIs" dxfId="1586" priority="1971" operator="equal">
      <formula>"Investment"</formula>
    </cfRule>
    <cfRule type="cellIs" dxfId="1585" priority="1972" operator="equal">
      <formula>"Sunk"</formula>
    </cfRule>
    <cfRule type="cellIs" dxfId="1584" priority="1973" operator="equal">
      <formula>"OpEx"</formula>
    </cfRule>
    <cfRule type="cellIs" dxfId="1583" priority="1974" operator="equal">
      <formula>"CapEx"</formula>
    </cfRule>
    <cfRule type="cellIs" dxfId="1582" priority="1975" operator="equal">
      <formula>"Income"</formula>
    </cfRule>
  </conditionalFormatting>
  <conditionalFormatting sqref="F901">
    <cfRule type="dataBar" priority="1956">
      <dataBar>
        <cfvo type="min"/>
        <cfvo type="max"/>
        <color rgb="FF638EC6"/>
      </dataBar>
    </cfRule>
    <cfRule type="colorScale" priority="1957">
      <colorScale>
        <cfvo type="min"/>
        <cfvo type="percentile" val="50"/>
        <cfvo type="max"/>
        <color rgb="FFF8696B"/>
        <color rgb="FFFFEB84"/>
        <color rgb="FF63BE7B"/>
      </colorScale>
    </cfRule>
    <cfRule type="cellIs" dxfId="1581" priority="1958" operator="equal">
      <formula>"Tax"</formula>
    </cfRule>
    <cfRule type="cellIs" dxfId="1580" priority="1959" operator="equal">
      <formula>"Income"</formula>
    </cfRule>
    <cfRule type="cellIs" dxfId="1579" priority="1960" operator="equal">
      <formula>"Cost of Sales"</formula>
    </cfRule>
    <cfRule type="cellIs" dxfId="1578" priority="1961" operator="equal">
      <formula>"Payroll"</formula>
    </cfRule>
    <cfRule type="cellIs" dxfId="1577" priority="1962" operator="equal">
      <formula>"Investment"</formula>
    </cfRule>
    <cfRule type="cellIs" dxfId="1576" priority="1963" operator="equal">
      <formula>"Sunk"</formula>
    </cfRule>
    <cfRule type="cellIs" dxfId="1575" priority="1964" operator="equal">
      <formula>"OpEx"</formula>
    </cfRule>
    <cfRule type="cellIs" dxfId="1574" priority="1965" operator="equal">
      <formula>"CapEx"</formula>
    </cfRule>
  </conditionalFormatting>
  <conditionalFormatting sqref="F903">
    <cfRule type="dataBar" priority="1939">
      <dataBar>
        <cfvo type="min"/>
        <cfvo type="max"/>
        <color rgb="FF638EC6"/>
      </dataBar>
    </cfRule>
    <cfRule type="colorScale" priority="1940">
      <colorScale>
        <cfvo type="min"/>
        <cfvo type="percentile" val="50"/>
        <cfvo type="max"/>
        <color rgb="FFF8696B"/>
        <color rgb="FFFFEB84"/>
        <color rgb="FF63BE7B"/>
      </colorScale>
    </cfRule>
    <cfRule type="cellIs" dxfId="1573" priority="1941" operator="equal">
      <formula>"Tax"</formula>
    </cfRule>
  </conditionalFormatting>
  <conditionalFormatting sqref="F903:F904">
    <cfRule type="cellIs" dxfId="1572" priority="1932" operator="equal">
      <formula>"Income"</formula>
    </cfRule>
    <cfRule type="cellIs" dxfId="1571" priority="1933" operator="equal">
      <formula>"Cost of Sales"</formula>
    </cfRule>
    <cfRule type="cellIs" dxfId="1570" priority="1934" operator="equal">
      <formula>"Payroll"</formula>
    </cfRule>
    <cfRule type="cellIs" dxfId="1569" priority="1935" operator="equal">
      <formula>"Investment"</formula>
    </cfRule>
    <cfRule type="cellIs" dxfId="1568" priority="1936" operator="equal">
      <formula>"Sunk"</formula>
    </cfRule>
    <cfRule type="cellIs" dxfId="1567" priority="1937" operator="equal">
      <formula>"OpEx"</formula>
    </cfRule>
    <cfRule type="cellIs" dxfId="1566" priority="1938" operator="equal">
      <formula>"CapEx"</formula>
    </cfRule>
  </conditionalFormatting>
  <conditionalFormatting sqref="F904">
    <cfRule type="dataBar" priority="1920">
      <dataBar>
        <cfvo type="min"/>
        <cfvo type="max"/>
        <color rgb="FF638EC6"/>
      </dataBar>
    </cfRule>
    <cfRule type="colorScale" priority="1921">
      <colorScale>
        <cfvo type="min"/>
        <cfvo type="percentile" val="50"/>
        <cfvo type="max"/>
        <color rgb="FFF8696B"/>
        <color rgb="FFFFEB84"/>
        <color rgb="FF63BE7B"/>
      </colorScale>
    </cfRule>
    <cfRule type="cellIs" dxfId="1565" priority="1922" operator="equal">
      <formula>"Tax"</formula>
    </cfRule>
    <cfRule type="cellIs" dxfId="1564" priority="1923" operator="equal">
      <formula>"Cost of Sales"</formula>
    </cfRule>
    <cfRule type="cellIs" dxfId="1563" priority="1924" operator="equal">
      <formula>"Payroll"</formula>
    </cfRule>
    <cfRule type="cellIs" dxfId="1562" priority="1925" operator="equal">
      <formula>"Investment"</formula>
    </cfRule>
    <cfRule type="cellIs" dxfId="1561" priority="1926" operator="equal">
      <formula>"Sunk"</formula>
    </cfRule>
    <cfRule type="cellIs" dxfId="1560" priority="1927" operator="equal">
      <formula>"OpEx"</formula>
    </cfRule>
    <cfRule type="cellIs" dxfId="1559" priority="1928" operator="equal">
      <formula>"CapEx"</formula>
    </cfRule>
    <cfRule type="dataBar" priority="1929">
      <dataBar>
        <cfvo type="min"/>
        <cfvo type="max"/>
        <color rgb="FF638EC6"/>
      </dataBar>
    </cfRule>
    <cfRule type="colorScale" priority="1930">
      <colorScale>
        <cfvo type="min"/>
        <cfvo type="percentile" val="50"/>
        <cfvo type="max"/>
        <color rgb="FFF8696B"/>
        <color rgb="FFFFEB84"/>
        <color rgb="FF63BE7B"/>
      </colorScale>
    </cfRule>
    <cfRule type="cellIs" dxfId="1558" priority="1931" operator="equal">
      <formula>"Tax"</formula>
    </cfRule>
  </conditionalFormatting>
  <conditionalFormatting sqref="F907">
    <cfRule type="dataBar" priority="1899">
      <dataBar>
        <cfvo type="min"/>
        <cfvo type="max"/>
        <color rgb="FF638EC6"/>
      </dataBar>
    </cfRule>
    <cfRule type="colorScale" priority="1900">
      <colorScale>
        <cfvo type="min"/>
        <cfvo type="percentile" val="50"/>
        <cfvo type="max"/>
        <color rgb="FFF8696B"/>
        <color rgb="FFFFEB84"/>
        <color rgb="FF63BE7B"/>
      </colorScale>
    </cfRule>
  </conditionalFormatting>
  <conditionalFormatting sqref="F907">
    <cfRule type="cellIs" dxfId="1557" priority="1891" operator="equal">
      <formula>"Tax"</formula>
    </cfRule>
    <cfRule type="cellIs" dxfId="1556" priority="1892" operator="equal">
      <formula>"Cost of Sales"</formula>
    </cfRule>
    <cfRule type="cellIs" dxfId="1555" priority="1893" operator="equal">
      <formula>"Payroll"</formula>
    </cfRule>
    <cfRule type="cellIs" dxfId="1554" priority="1894" operator="equal">
      <formula>"Investment"</formula>
    </cfRule>
    <cfRule type="cellIs" dxfId="1553" priority="1895" operator="equal">
      <formula>"Sunk"</formula>
    </cfRule>
    <cfRule type="cellIs" dxfId="1552" priority="1896" operator="equal">
      <formula>"OpEx"</formula>
    </cfRule>
    <cfRule type="cellIs" dxfId="1551" priority="1897" operator="equal">
      <formula>"CapEx"</formula>
    </cfRule>
    <cfRule type="cellIs" dxfId="1550" priority="1898" operator="equal">
      <formula>"Income"</formula>
    </cfRule>
  </conditionalFormatting>
  <conditionalFormatting sqref="H900:H902">
    <cfRule type="cellIs" dxfId="1549" priority="1952" operator="equal">
      <formula>"GBP"</formula>
    </cfRule>
    <cfRule type="cellIs" dxfId="1548" priority="1953" operator="equal">
      <formula>"EUR"</formula>
    </cfRule>
    <cfRule type="cellIs" dxfId="1547" priority="1954" operator="equal">
      <formula>"USD"</formula>
    </cfRule>
    <cfRule type="cellIs" dxfId="1546" priority="1955" operator="equal">
      <formula>"EGP"</formula>
    </cfRule>
  </conditionalFormatting>
  <conditionalFormatting sqref="L850:L856 L821:L832 L836:L838 L861:L870 L873 L876 L878 L882:L892 L900:L901 L903:L907 L909">
    <cfRule type="colorScale" priority="194229">
      <colorScale>
        <cfvo type="min"/>
        <cfvo type="percentile" val="50"/>
        <cfvo type="max"/>
        <color rgb="FFF8696B"/>
        <color rgb="FFFFEB84"/>
        <color rgb="FF63BE7B"/>
      </colorScale>
    </cfRule>
  </conditionalFormatting>
  <conditionalFormatting sqref="I905:I906">
    <cfRule type="containsBlanks" dxfId="1545" priority="1879">
      <formula>LEN(TRIM(I905))=0</formula>
    </cfRule>
  </conditionalFormatting>
  <conditionalFormatting sqref="J905:J906">
    <cfRule type="cellIs" dxfId="1544" priority="1873" operator="equal">
      <formula>5</formula>
    </cfRule>
    <cfRule type="cellIs" dxfId="1543" priority="1874" operator="equal">
      <formula>0</formula>
    </cfRule>
    <cfRule type="cellIs" dxfId="1542" priority="1875" operator="equal">
      <formula>3</formula>
    </cfRule>
    <cfRule type="cellIs" dxfId="1541" priority="1876" operator="equal">
      <formula>2</formula>
    </cfRule>
    <cfRule type="cellIs" dxfId="1540" priority="1877" operator="equal">
      <formula>1</formula>
    </cfRule>
    <cfRule type="cellIs" dxfId="1539" priority="1878" operator="equal">
      <formula>4</formula>
    </cfRule>
  </conditionalFormatting>
  <conditionalFormatting sqref="F905">
    <cfRule type="dataBar" priority="1863">
      <dataBar>
        <cfvo type="min"/>
        <cfvo type="max"/>
        <color rgb="FF638EC6"/>
      </dataBar>
    </cfRule>
    <cfRule type="colorScale" priority="1864">
      <colorScale>
        <cfvo type="min"/>
        <cfvo type="percentile" val="50"/>
        <cfvo type="max"/>
        <color rgb="FFF8696B"/>
        <color rgb="FFFFEB84"/>
        <color rgb="FF63BE7B"/>
      </colorScale>
    </cfRule>
    <cfRule type="cellIs" dxfId="1538" priority="1865" operator="equal">
      <formula>"Tax"</formula>
    </cfRule>
    <cfRule type="cellIs" dxfId="1537" priority="1866" operator="equal">
      <formula>"Cost of Sales"</formula>
    </cfRule>
    <cfRule type="cellIs" dxfId="1536" priority="1867" operator="equal">
      <formula>"Payroll"</formula>
    </cfRule>
    <cfRule type="cellIs" dxfId="1535" priority="1868" operator="equal">
      <formula>"Investment"</formula>
    </cfRule>
    <cfRule type="cellIs" dxfId="1534" priority="1869" operator="equal">
      <formula>"Sunk"</formula>
    </cfRule>
    <cfRule type="cellIs" dxfId="1533" priority="1870" operator="equal">
      <formula>"OpEx"</formula>
    </cfRule>
    <cfRule type="cellIs" dxfId="1532" priority="1871" operator="equal">
      <formula>"CapEx"</formula>
    </cfRule>
    <cfRule type="cellIs" dxfId="1531" priority="1872" operator="equal">
      <formula>"Income"</formula>
    </cfRule>
  </conditionalFormatting>
  <conditionalFormatting sqref="F906">
    <cfRule type="dataBar" priority="1853">
      <dataBar>
        <cfvo type="min"/>
        <cfvo type="max"/>
        <color rgb="FF638EC6"/>
      </dataBar>
    </cfRule>
    <cfRule type="colorScale" priority="1854">
      <colorScale>
        <cfvo type="min"/>
        <cfvo type="percentile" val="50"/>
        <cfvo type="max"/>
        <color rgb="FFF8696B"/>
        <color rgb="FFFFEB84"/>
        <color rgb="FF63BE7B"/>
      </colorScale>
    </cfRule>
    <cfRule type="cellIs" dxfId="1530" priority="1855" operator="equal">
      <formula>"Tax"</formula>
    </cfRule>
    <cfRule type="cellIs" dxfId="1529" priority="1856" operator="equal">
      <formula>"Income"</formula>
    </cfRule>
    <cfRule type="cellIs" dxfId="1528" priority="1857" operator="equal">
      <formula>"Cost of Sales"</formula>
    </cfRule>
    <cfRule type="cellIs" dxfId="1527" priority="1858" operator="equal">
      <formula>"Payroll"</formula>
    </cfRule>
    <cfRule type="cellIs" dxfId="1526" priority="1859" operator="equal">
      <formula>"Investment"</formula>
    </cfRule>
    <cfRule type="cellIs" dxfId="1525" priority="1860" operator="equal">
      <formula>"Sunk"</formula>
    </cfRule>
    <cfRule type="cellIs" dxfId="1524" priority="1861" operator="equal">
      <formula>"OpEx"</formula>
    </cfRule>
    <cfRule type="cellIs" dxfId="1523" priority="1862" operator="equal">
      <formula>"CapEx"</formula>
    </cfRule>
  </conditionalFormatting>
  <conditionalFormatting sqref="H905:H906">
    <cfRule type="cellIs" dxfId="1522" priority="1849" operator="equal">
      <formula>"GBP"</formula>
    </cfRule>
    <cfRule type="cellIs" dxfId="1521" priority="1850" operator="equal">
      <formula>"EUR"</formula>
    </cfRule>
    <cfRule type="cellIs" dxfId="1520" priority="1851" operator="equal">
      <formula>"USD"</formula>
    </cfRule>
    <cfRule type="cellIs" dxfId="1519" priority="1852" operator="equal">
      <formula>"EGP"</formula>
    </cfRule>
  </conditionalFormatting>
  <conditionalFormatting sqref="F908">
    <cfRule type="cellIs" dxfId="1518" priority="1843" operator="equal">
      <formula>"Cost of Sales"</formula>
    </cfRule>
    <cfRule type="cellIs" dxfId="1517" priority="1844" operator="equal">
      <formula>"Payroll"</formula>
    </cfRule>
    <cfRule type="cellIs" dxfId="1516" priority="1845" operator="equal">
      <formula>"Investment"</formula>
    </cfRule>
    <cfRule type="cellIs" dxfId="1515" priority="1846" operator="equal">
      <formula>"Sunk"</formula>
    </cfRule>
    <cfRule type="cellIs" dxfId="1514" priority="1847" operator="equal">
      <formula>"OpEx"</formula>
    </cfRule>
    <cfRule type="cellIs" dxfId="1513" priority="1848" operator="equal">
      <formula>"CapEx"</formula>
    </cfRule>
  </conditionalFormatting>
  <conditionalFormatting sqref="F908">
    <cfRule type="cellIs" dxfId="1512" priority="1842" operator="equal">
      <formula>"Income"</formula>
    </cfRule>
  </conditionalFormatting>
  <conditionalFormatting sqref="F908">
    <cfRule type="cellIs" dxfId="1511" priority="1841" operator="equal">
      <formula>"Tax"</formula>
    </cfRule>
  </conditionalFormatting>
  <conditionalFormatting sqref="F908">
    <cfRule type="dataBar" priority="1839">
      <dataBar>
        <cfvo type="min"/>
        <cfvo type="max"/>
        <color rgb="FF638EC6"/>
      </dataBar>
    </cfRule>
    <cfRule type="colorScale" priority="1840">
      <colorScale>
        <cfvo type="min"/>
        <cfvo type="percentile" val="50"/>
        <cfvo type="max"/>
        <color rgb="FFF8696B"/>
        <color rgb="FFFFEB84"/>
        <color rgb="FF63BE7B"/>
      </colorScale>
    </cfRule>
  </conditionalFormatting>
  <conditionalFormatting sqref="H908">
    <cfRule type="cellIs" dxfId="1510" priority="1835" operator="equal">
      <formula>"GBP"</formula>
    </cfRule>
    <cfRule type="cellIs" dxfId="1509" priority="1836" operator="equal">
      <formula>"EUR"</formula>
    </cfRule>
    <cfRule type="cellIs" dxfId="1508" priority="1837" operator="equal">
      <formula>"USD"</formula>
    </cfRule>
    <cfRule type="cellIs" dxfId="1507" priority="1838" operator="equal">
      <formula>"EGP"</formula>
    </cfRule>
  </conditionalFormatting>
  <conditionalFormatting sqref="I908">
    <cfRule type="containsBlanks" dxfId="1506" priority="1834">
      <formula>LEN(TRIM(I908))=0</formula>
    </cfRule>
  </conditionalFormatting>
  <conditionalFormatting sqref="I908">
    <cfRule type="cellIs" dxfId="1505" priority="1830" operator="equal">
      <formula>"GBP"</formula>
    </cfRule>
    <cfRule type="cellIs" dxfId="1504" priority="1831" operator="equal">
      <formula>"EUR"</formula>
    </cfRule>
    <cfRule type="cellIs" dxfId="1503" priority="1832" operator="equal">
      <formula>"USD"</formula>
    </cfRule>
    <cfRule type="cellIs" dxfId="1502" priority="1833" operator="equal">
      <formula>"EGP"</formula>
    </cfRule>
  </conditionalFormatting>
  <conditionalFormatting sqref="J908">
    <cfRule type="cellIs" dxfId="1501" priority="1824" operator="equal">
      <formula>5</formula>
    </cfRule>
    <cfRule type="cellIs" dxfId="1500" priority="1825" operator="equal">
      <formula>0</formula>
    </cfRule>
    <cfRule type="cellIs" dxfId="1499" priority="1826" operator="equal">
      <formula>3</formula>
    </cfRule>
    <cfRule type="cellIs" dxfId="1498" priority="1827" operator="equal">
      <formula>2</formula>
    </cfRule>
    <cfRule type="cellIs" dxfId="1497" priority="1828" operator="equal">
      <formula>1</formula>
    </cfRule>
    <cfRule type="cellIs" dxfId="1496" priority="1829" operator="equal">
      <formula>4</formula>
    </cfRule>
  </conditionalFormatting>
  <conditionalFormatting sqref="L908">
    <cfRule type="colorScale" priority="1823">
      <colorScale>
        <cfvo type="min"/>
        <cfvo type="percentile" val="50"/>
        <cfvo type="max"/>
        <color rgb="FFF8696B"/>
        <color rgb="FFFFEB84"/>
        <color rgb="FF63BE7B"/>
      </colorScale>
    </cfRule>
  </conditionalFormatting>
  <conditionalFormatting sqref="M908:P908">
    <cfRule type="colorScale" priority="1822">
      <colorScale>
        <cfvo type="min"/>
        <cfvo type="percentile" val="50"/>
        <cfvo type="max"/>
        <color rgb="FFF8696B"/>
        <color rgb="FFFFEB84"/>
        <color rgb="FF63BE7B"/>
      </colorScale>
    </cfRule>
  </conditionalFormatting>
  <conditionalFormatting sqref="Q908">
    <cfRule type="colorScale" priority="1821">
      <colorScale>
        <cfvo type="min"/>
        <cfvo type="percentile" val="50"/>
        <cfvo type="max"/>
        <color rgb="FFF8696B"/>
        <color rgb="FFFFEB84"/>
        <color rgb="FF63BE7B"/>
      </colorScale>
    </cfRule>
  </conditionalFormatting>
  <conditionalFormatting sqref="R908">
    <cfRule type="colorScale" priority="1820">
      <colorScale>
        <cfvo type="min"/>
        <cfvo type="percentile" val="50"/>
        <cfvo type="max"/>
        <color rgb="FFF8696B"/>
        <color rgb="FFFFEB84"/>
        <color rgb="FF63BE7B"/>
      </colorScale>
    </cfRule>
  </conditionalFormatting>
  <conditionalFormatting sqref="F886:F887">
    <cfRule type="cellIs" dxfId="1495" priority="1819" operator="equal">
      <formula>"Income"</formula>
    </cfRule>
  </conditionalFormatting>
  <conditionalFormatting sqref="F886:F887">
    <cfRule type="cellIs" dxfId="1494" priority="1813" operator="equal">
      <formula>"Cost of Sales"</formula>
    </cfRule>
    <cfRule type="cellIs" dxfId="1493" priority="1814" operator="equal">
      <formula>"Payroll"</formula>
    </cfRule>
    <cfRule type="cellIs" dxfId="1492" priority="1815" operator="equal">
      <formula>"Investment"</formula>
    </cfRule>
    <cfRule type="cellIs" dxfId="1491" priority="1816" operator="equal">
      <formula>"Sunk"</formula>
    </cfRule>
    <cfRule type="cellIs" dxfId="1490" priority="1817" operator="equal">
      <formula>"OpEx"</formula>
    </cfRule>
    <cfRule type="cellIs" dxfId="1489" priority="1818" operator="equal">
      <formula>"CapEx"</formula>
    </cfRule>
  </conditionalFormatting>
  <conditionalFormatting sqref="F886:F887">
    <cfRule type="dataBar" priority="1810">
      <dataBar>
        <cfvo type="min"/>
        <cfvo type="max"/>
        <color rgb="FF638EC6"/>
      </dataBar>
    </cfRule>
    <cfRule type="colorScale" priority="1811">
      <colorScale>
        <cfvo type="min"/>
        <cfvo type="percentile" val="50"/>
        <cfvo type="max"/>
        <color rgb="FFF8696B"/>
        <color rgb="FFFFEB84"/>
        <color rgb="FF63BE7B"/>
      </colorScale>
    </cfRule>
    <cfRule type="cellIs" dxfId="1488" priority="1812" operator="equal">
      <formula>"Tax"</formula>
    </cfRule>
  </conditionalFormatting>
  <conditionalFormatting sqref="H886:H887">
    <cfRule type="cellIs" dxfId="1487" priority="1806" operator="equal">
      <formula>"GBP"</formula>
    </cfRule>
    <cfRule type="cellIs" dxfId="1486" priority="1807" operator="equal">
      <formula>"EUR"</formula>
    </cfRule>
    <cfRule type="cellIs" dxfId="1485" priority="1808" operator="equal">
      <formula>"USD"</formula>
    </cfRule>
    <cfRule type="cellIs" dxfId="1484" priority="1809" operator="equal">
      <formula>"EGP"</formula>
    </cfRule>
  </conditionalFormatting>
  <conditionalFormatting sqref="I886:I887">
    <cfRule type="containsBlanks" dxfId="1483" priority="1805">
      <formula>LEN(TRIM(I886))=0</formula>
    </cfRule>
  </conditionalFormatting>
  <conditionalFormatting sqref="J886:J887">
    <cfRule type="cellIs" dxfId="1482" priority="1799" operator="equal">
      <formula>5</formula>
    </cfRule>
    <cfRule type="cellIs" dxfId="1481" priority="1800" operator="equal">
      <formula>0</formula>
    </cfRule>
    <cfRule type="cellIs" dxfId="1480" priority="1801" operator="equal">
      <formula>3</formula>
    </cfRule>
    <cfRule type="cellIs" dxfId="1479" priority="1802" operator="equal">
      <formula>2</formula>
    </cfRule>
    <cfRule type="cellIs" dxfId="1478" priority="1803" operator="equal">
      <formula>1</formula>
    </cfRule>
    <cfRule type="cellIs" dxfId="1477" priority="1804" operator="equal">
      <formula>4</formula>
    </cfRule>
  </conditionalFormatting>
  <conditionalFormatting sqref="F909">
    <cfRule type="cellIs" dxfId="1476" priority="1798" operator="equal">
      <formula>"Income"</formula>
    </cfRule>
  </conditionalFormatting>
  <conditionalFormatting sqref="F909">
    <cfRule type="cellIs" dxfId="1475" priority="1792" operator="equal">
      <formula>"Cost of Sales"</formula>
    </cfRule>
    <cfRule type="cellIs" dxfId="1474" priority="1793" operator="equal">
      <formula>"Payroll"</formula>
    </cfRule>
    <cfRule type="cellIs" dxfId="1473" priority="1794" operator="equal">
      <formula>"Investment"</formula>
    </cfRule>
    <cfRule type="cellIs" dxfId="1472" priority="1795" operator="equal">
      <formula>"Sunk"</formula>
    </cfRule>
    <cfRule type="cellIs" dxfId="1471" priority="1796" operator="equal">
      <formula>"OpEx"</formula>
    </cfRule>
    <cfRule type="cellIs" dxfId="1470" priority="1797" operator="equal">
      <formula>"CapEx"</formula>
    </cfRule>
  </conditionalFormatting>
  <conditionalFormatting sqref="F909">
    <cfRule type="dataBar" priority="1789">
      <dataBar>
        <cfvo type="min"/>
        <cfvo type="max"/>
        <color rgb="FF638EC6"/>
      </dataBar>
    </cfRule>
    <cfRule type="colorScale" priority="1790">
      <colorScale>
        <cfvo type="min"/>
        <cfvo type="percentile" val="50"/>
        <cfvo type="max"/>
        <color rgb="FFF8696B"/>
        <color rgb="FFFFEB84"/>
        <color rgb="FF63BE7B"/>
      </colorScale>
    </cfRule>
    <cfRule type="cellIs" dxfId="1469" priority="1791" operator="equal">
      <formula>"Tax"</formula>
    </cfRule>
  </conditionalFormatting>
  <conditionalFormatting sqref="H909">
    <cfRule type="cellIs" dxfId="1468" priority="1785" operator="equal">
      <formula>"GBP"</formula>
    </cfRule>
    <cfRule type="cellIs" dxfId="1467" priority="1786" operator="equal">
      <formula>"EUR"</formula>
    </cfRule>
    <cfRule type="cellIs" dxfId="1466" priority="1787" operator="equal">
      <formula>"USD"</formula>
    </cfRule>
    <cfRule type="cellIs" dxfId="1465" priority="1788" operator="equal">
      <formula>"EGP"</formula>
    </cfRule>
  </conditionalFormatting>
  <conditionalFormatting sqref="I909">
    <cfRule type="containsBlanks" dxfId="1464" priority="1784">
      <formula>LEN(TRIM(I909))=0</formula>
    </cfRule>
  </conditionalFormatting>
  <conditionalFormatting sqref="J909">
    <cfRule type="cellIs" dxfId="1463" priority="1778" operator="equal">
      <formula>5</formula>
    </cfRule>
    <cfRule type="cellIs" dxfId="1462" priority="1779" operator="equal">
      <formula>0</formula>
    </cfRule>
    <cfRule type="cellIs" dxfId="1461" priority="1780" operator="equal">
      <formula>3</formula>
    </cfRule>
    <cfRule type="cellIs" dxfId="1460" priority="1781" operator="equal">
      <formula>2</formula>
    </cfRule>
    <cfRule type="cellIs" dxfId="1459" priority="1782" operator="equal">
      <formula>1</formula>
    </cfRule>
    <cfRule type="cellIs" dxfId="1458" priority="1783" operator="equal">
      <formula>4</formula>
    </cfRule>
  </conditionalFormatting>
  <conditionalFormatting sqref="F910">
    <cfRule type="cellIs" dxfId="1457" priority="1771" operator="equal">
      <formula>"Cost of Sales"</formula>
    </cfRule>
    <cfRule type="cellIs" dxfId="1456" priority="1772" operator="equal">
      <formula>"Payroll"</formula>
    </cfRule>
    <cfRule type="cellIs" dxfId="1455" priority="1773" operator="equal">
      <formula>"Investment"</formula>
    </cfRule>
    <cfRule type="cellIs" dxfId="1454" priority="1774" operator="equal">
      <formula>"Sunk"</formula>
    </cfRule>
    <cfRule type="cellIs" dxfId="1453" priority="1775" operator="equal">
      <formula>"OpEx"</formula>
    </cfRule>
    <cfRule type="cellIs" dxfId="1452" priority="1776" operator="equal">
      <formula>"CapEx"</formula>
    </cfRule>
    <cfRule type="cellIs" dxfId="1451" priority="1777" operator="equal">
      <formula>"Income"</formula>
    </cfRule>
  </conditionalFormatting>
  <conditionalFormatting sqref="F910">
    <cfRule type="cellIs" dxfId="1450" priority="1770" operator="equal">
      <formula>"Tax"</formula>
    </cfRule>
  </conditionalFormatting>
  <conditionalFormatting sqref="F910">
    <cfRule type="dataBar" priority="1768">
      <dataBar>
        <cfvo type="min"/>
        <cfvo type="max"/>
        <color rgb="FF638EC6"/>
      </dataBar>
    </cfRule>
    <cfRule type="colorScale" priority="1769">
      <colorScale>
        <cfvo type="min"/>
        <cfvo type="percentile" val="50"/>
        <cfvo type="max"/>
        <color rgb="FFF8696B"/>
        <color rgb="FFFFEB84"/>
        <color rgb="FF63BE7B"/>
      </colorScale>
    </cfRule>
  </conditionalFormatting>
  <conditionalFormatting sqref="I910">
    <cfRule type="containsBlanks" dxfId="1449" priority="1767">
      <formula>LEN(TRIM(I910))=0</formula>
    </cfRule>
  </conditionalFormatting>
  <conditionalFormatting sqref="J910">
    <cfRule type="cellIs" dxfId="1448" priority="1761" operator="equal">
      <formula>5</formula>
    </cfRule>
    <cfRule type="cellIs" dxfId="1447" priority="1762" operator="equal">
      <formula>0</formula>
    </cfRule>
    <cfRule type="cellIs" dxfId="1446" priority="1763" operator="equal">
      <formula>3</formula>
    </cfRule>
    <cfRule type="cellIs" dxfId="1445" priority="1764" operator="equal">
      <formula>2</formula>
    </cfRule>
    <cfRule type="cellIs" dxfId="1444" priority="1765" operator="equal">
      <formula>1</formula>
    </cfRule>
    <cfRule type="cellIs" dxfId="1443" priority="1766" operator="equal">
      <formula>4</formula>
    </cfRule>
  </conditionalFormatting>
  <conditionalFormatting sqref="L910">
    <cfRule type="colorScale" priority="1760">
      <colorScale>
        <cfvo type="min"/>
        <cfvo type="percentile" val="50"/>
        <cfvo type="max"/>
        <color rgb="FFF8696B"/>
        <color rgb="FFFFEB84"/>
        <color rgb="FF63BE7B"/>
      </colorScale>
    </cfRule>
  </conditionalFormatting>
  <conditionalFormatting sqref="F911">
    <cfRule type="cellIs" dxfId="1442" priority="1743" operator="equal">
      <formula>"Tax"</formula>
    </cfRule>
    <cfRule type="cellIs" dxfId="1441" priority="1744" operator="equal">
      <formula>"Income"</formula>
    </cfRule>
    <cfRule type="cellIs" dxfId="1440" priority="1745" operator="equal">
      <formula>"Cost of Sales"</formula>
    </cfRule>
    <cfRule type="cellIs" dxfId="1439" priority="1746" operator="equal">
      <formula>"Payroll"</formula>
    </cfRule>
    <cfRule type="cellIs" dxfId="1438" priority="1747" operator="equal">
      <formula>"Investment"</formula>
    </cfRule>
    <cfRule type="cellIs" dxfId="1437" priority="1748" operator="equal">
      <formula>"Sunk"</formula>
    </cfRule>
    <cfRule type="cellIs" dxfId="1436" priority="1749" operator="equal">
      <formula>"OpEx"</formula>
    </cfRule>
    <cfRule type="cellIs" dxfId="1435" priority="1750" operator="equal">
      <formula>"CapEx"</formula>
    </cfRule>
    <cfRule type="cellIs" dxfId="1434" priority="1751" operator="equal">
      <formula>"Tax"</formula>
    </cfRule>
    <cfRule type="cellIs" dxfId="1433" priority="1752" operator="equal">
      <formula>"Income"</formula>
    </cfRule>
    <cfRule type="cellIs" dxfId="1432" priority="1753" operator="equal">
      <formula>"Tax"</formula>
    </cfRule>
    <cfRule type="cellIs" dxfId="1431" priority="1754" operator="equal">
      <formula>"Cost of Sales"</formula>
    </cfRule>
    <cfRule type="cellIs" dxfId="1430" priority="1755" operator="equal">
      <formula>"Payroll"</formula>
    </cfRule>
    <cfRule type="cellIs" dxfId="1429" priority="1756" operator="equal">
      <formula>"Investment"</formula>
    </cfRule>
    <cfRule type="cellIs" dxfId="1428" priority="1757" operator="equal">
      <formula>"Sunk"</formula>
    </cfRule>
    <cfRule type="cellIs" dxfId="1427" priority="1758" operator="equal">
      <formula>"OpEx"</formula>
    </cfRule>
    <cfRule type="cellIs" dxfId="1426" priority="1759" operator="equal">
      <formula>"CapEx"</formula>
    </cfRule>
  </conditionalFormatting>
  <conditionalFormatting sqref="F911">
    <cfRule type="cellIs" dxfId="1425" priority="1736" operator="equal">
      <formula>"Income"</formula>
    </cfRule>
    <cfRule type="cellIs" dxfId="1424" priority="1737" operator="equal">
      <formula>"Cost of Sales"</formula>
    </cfRule>
    <cfRule type="cellIs" dxfId="1423" priority="1738" operator="equal">
      <formula>"Payroll"</formula>
    </cfRule>
    <cfRule type="cellIs" dxfId="1422" priority="1739" operator="equal">
      <formula>"Investment"</formula>
    </cfRule>
    <cfRule type="cellIs" dxfId="1421" priority="1740" operator="equal">
      <formula>"Sunk"</formula>
    </cfRule>
    <cfRule type="cellIs" dxfId="1420" priority="1741" operator="equal">
      <formula>"OpEx"</formula>
    </cfRule>
    <cfRule type="cellIs" dxfId="1419" priority="1742" operator="equal">
      <formula>"CapEx"</formula>
    </cfRule>
  </conditionalFormatting>
  <conditionalFormatting sqref="F912">
    <cfRule type="dataBar" priority="1726">
      <dataBar>
        <cfvo type="min"/>
        <cfvo type="max"/>
        <color rgb="FF638EC6"/>
      </dataBar>
    </cfRule>
    <cfRule type="colorScale" priority="1727">
      <colorScale>
        <cfvo type="min"/>
        <cfvo type="percentile" val="50"/>
        <cfvo type="max"/>
        <color rgb="FFF8696B"/>
        <color rgb="FFFFEB84"/>
        <color rgb="FF63BE7B"/>
      </colorScale>
    </cfRule>
    <cfRule type="cellIs" dxfId="1418" priority="1728" operator="equal">
      <formula>"Tax"</formula>
    </cfRule>
    <cfRule type="cellIs" dxfId="1417" priority="1729" operator="equal">
      <formula>"Cost of Sales"</formula>
    </cfRule>
    <cfRule type="cellIs" dxfId="1416" priority="1730" operator="equal">
      <formula>"Payroll"</formula>
    </cfRule>
    <cfRule type="cellIs" dxfId="1415" priority="1731" operator="equal">
      <formula>"Investment"</formula>
    </cfRule>
    <cfRule type="cellIs" dxfId="1414" priority="1732" operator="equal">
      <formula>"Sunk"</formula>
    </cfRule>
    <cfRule type="cellIs" dxfId="1413" priority="1733" operator="equal">
      <formula>"OpEx"</formula>
    </cfRule>
    <cfRule type="cellIs" dxfId="1412" priority="1734" operator="equal">
      <formula>"CapEx"</formula>
    </cfRule>
    <cfRule type="cellIs" dxfId="1411" priority="1735" operator="equal">
      <formula>"Income"</formula>
    </cfRule>
  </conditionalFormatting>
  <conditionalFormatting sqref="F989:F991 F931:F932 F913">
    <cfRule type="dataBar" priority="1723">
      <dataBar>
        <cfvo type="min"/>
        <cfvo type="max"/>
        <color rgb="FF638EC6"/>
      </dataBar>
    </cfRule>
    <cfRule type="colorScale" priority="1724">
      <colorScale>
        <cfvo type="min"/>
        <cfvo type="percentile" val="50"/>
        <cfvo type="max"/>
        <color rgb="FFF8696B"/>
        <color rgb="FFFFEB84"/>
        <color rgb="FF63BE7B"/>
      </colorScale>
    </cfRule>
    <cfRule type="cellIs" dxfId="1410" priority="1725" operator="equal">
      <formula>"Tax"</formula>
    </cfRule>
  </conditionalFormatting>
  <conditionalFormatting sqref="F913 F931:F932 F989:F991">
    <cfRule type="cellIs" dxfId="1409" priority="1716" operator="equal">
      <formula>"Cost of Sales"</formula>
    </cfRule>
    <cfRule type="cellIs" dxfId="1408" priority="1717" operator="equal">
      <formula>"Payroll"</formula>
    </cfRule>
    <cfRule type="cellIs" dxfId="1407" priority="1718" operator="equal">
      <formula>"Investment"</formula>
    </cfRule>
    <cfRule type="cellIs" dxfId="1406" priority="1719" operator="equal">
      <formula>"Sunk"</formula>
    </cfRule>
    <cfRule type="cellIs" dxfId="1405" priority="1720" operator="equal">
      <formula>"OpEx"</formula>
    </cfRule>
    <cfRule type="cellIs" dxfId="1404" priority="1721" operator="equal">
      <formula>"CapEx"</formula>
    </cfRule>
    <cfRule type="cellIs" dxfId="1403" priority="1722" operator="equal">
      <formula>"Income"</formula>
    </cfRule>
  </conditionalFormatting>
  <conditionalFormatting sqref="F911">
    <cfRule type="dataBar" priority="1710">
      <dataBar>
        <cfvo type="min"/>
        <cfvo type="max"/>
        <color rgb="FF638EC6"/>
      </dataBar>
    </cfRule>
    <cfRule type="colorScale" priority="1711">
      <colorScale>
        <cfvo type="min"/>
        <cfvo type="percentile" val="50"/>
        <cfvo type="max"/>
        <color rgb="FFF8696B"/>
        <color rgb="FFFFEB84"/>
        <color rgb="FF63BE7B"/>
      </colorScale>
    </cfRule>
    <cfRule type="dataBar" priority="1712">
      <dataBar>
        <cfvo type="min"/>
        <cfvo type="max"/>
        <color rgb="FF638EC6"/>
      </dataBar>
    </cfRule>
    <cfRule type="colorScale" priority="1713">
      <colorScale>
        <cfvo type="min"/>
        <cfvo type="percentile" val="50"/>
        <cfvo type="max"/>
        <color rgb="FFF8696B"/>
        <color rgb="FFFFEB84"/>
        <color rgb="FF63BE7B"/>
      </colorScale>
    </cfRule>
    <cfRule type="dataBar" priority="1714">
      <dataBar>
        <cfvo type="min"/>
        <cfvo type="max"/>
        <color rgb="FF638EC6"/>
      </dataBar>
    </cfRule>
    <cfRule type="colorScale" priority="1715">
      <colorScale>
        <cfvo type="min"/>
        <cfvo type="percentile" val="50"/>
        <cfvo type="max"/>
        <color rgb="FFF8696B"/>
        <color rgb="FFFFEB84"/>
        <color rgb="FF63BE7B"/>
      </colorScale>
    </cfRule>
  </conditionalFormatting>
  <conditionalFormatting sqref="H911:H913 H931:H932 H989:H991">
    <cfRule type="cellIs" dxfId="1402" priority="1706" operator="equal">
      <formula>"GBP"</formula>
    </cfRule>
    <cfRule type="cellIs" dxfId="1401" priority="1707" operator="equal">
      <formula>"EUR"</formula>
    </cfRule>
    <cfRule type="cellIs" dxfId="1400" priority="1708" operator="equal">
      <formula>"USD"</formula>
    </cfRule>
    <cfRule type="cellIs" dxfId="1399" priority="1709" operator="equal">
      <formula>"EGP"</formula>
    </cfRule>
  </conditionalFormatting>
  <conditionalFormatting sqref="I911:I913 I931:I932 I989:I991">
    <cfRule type="containsBlanks" dxfId="1398" priority="1705">
      <formula>LEN(TRIM(I911))=0</formula>
    </cfRule>
  </conditionalFormatting>
  <conditionalFormatting sqref="J911:J913 J931:J932 J989:J991">
    <cfRule type="cellIs" dxfId="1397" priority="1699" operator="equal">
      <formula>5</formula>
    </cfRule>
    <cfRule type="cellIs" dxfId="1396" priority="1700" operator="equal">
      <formula>0</formula>
    </cfRule>
    <cfRule type="cellIs" dxfId="1395" priority="1701" operator="equal">
      <formula>3</formula>
    </cfRule>
    <cfRule type="cellIs" dxfId="1394" priority="1702" operator="equal">
      <formula>2</formula>
    </cfRule>
    <cfRule type="cellIs" dxfId="1393" priority="1703" operator="equal">
      <formula>1</formula>
    </cfRule>
    <cfRule type="cellIs" dxfId="1392" priority="1704" operator="equal">
      <formula>4</formula>
    </cfRule>
  </conditionalFormatting>
  <conditionalFormatting sqref="L911:L912">
    <cfRule type="colorScale" priority="1697">
      <colorScale>
        <cfvo type="min"/>
        <cfvo type="percentile" val="50"/>
        <cfvo type="max"/>
        <color rgb="FFF8696B"/>
        <color rgb="FFFFEB84"/>
        <color rgb="FF63BE7B"/>
      </colorScale>
    </cfRule>
  </conditionalFormatting>
  <conditionalFormatting sqref="F914">
    <cfRule type="cellIs" dxfId="1391" priority="1679" operator="equal">
      <formula>"Cost of Sales"</formula>
    </cfRule>
    <cfRule type="cellIs" dxfId="1390" priority="1680" operator="equal">
      <formula>"Payroll"</formula>
    </cfRule>
    <cfRule type="cellIs" dxfId="1389" priority="1681" operator="equal">
      <formula>"Investment"</formula>
    </cfRule>
    <cfRule type="cellIs" dxfId="1388" priority="1682" operator="equal">
      <formula>"Sunk"</formula>
    </cfRule>
    <cfRule type="cellIs" dxfId="1387" priority="1683" operator="equal">
      <formula>"OpEx"</formula>
    </cfRule>
    <cfRule type="cellIs" dxfId="1386" priority="1684" operator="equal">
      <formula>"CapEx"</formula>
    </cfRule>
    <cfRule type="cellIs" dxfId="1385" priority="1685" operator="equal">
      <formula>"Income"</formula>
    </cfRule>
  </conditionalFormatting>
  <conditionalFormatting sqref="F914">
    <cfRule type="dataBar" priority="1676">
      <dataBar>
        <cfvo type="min"/>
        <cfvo type="max"/>
        <color rgb="FF638EC6"/>
      </dataBar>
    </cfRule>
    <cfRule type="colorScale" priority="1677">
      <colorScale>
        <cfvo type="min"/>
        <cfvo type="percentile" val="50"/>
        <cfvo type="max"/>
        <color rgb="FFF8696B"/>
        <color rgb="FFFFEB84"/>
        <color rgb="FF63BE7B"/>
      </colorScale>
    </cfRule>
    <cfRule type="cellIs" dxfId="1384" priority="1678" operator="equal">
      <formula>"Tax"</formula>
    </cfRule>
  </conditionalFormatting>
  <conditionalFormatting sqref="F915">
    <cfRule type="dataBar" priority="1686">
      <dataBar>
        <cfvo type="min"/>
        <cfvo type="max"/>
        <color rgb="FF638EC6"/>
      </dataBar>
    </cfRule>
    <cfRule type="colorScale" priority="1687">
      <colorScale>
        <cfvo type="min"/>
        <cfvo type="percentile" val="50"/>
        <cfvo type="max"/>
        <color rgb="FFF8696B"/>
        <color rgb="FFFFEB84"/>
        <color rgb="FF63BE7B"/>
      </colorScale>
    </cfRule>
    <cfRule type="cellIs" dxfId="1383" priority="1688" operator="equal">
      <formula>"Tax"</formula>
    </cfRule>
    <cfRule type="cellIs" dxfId="1382" priority="1689" operator="equal">
      <formula>"Cost of Sales"</formula>
    </cfRule>
    <cfRule type="cellIs" dxfId="1381" priority="1690" operator="equal">
      <formula>"Payroll"</formula>
    </cfRule>
    <cfRule type="cellIs" dxfId="1380" priority="1691" operator="equal">
      <formula>"Investment"</formula>
    </cfRule>
    <cfRule type="cellIs" dxfId="1379" priority="1692" operator="equal">
      <formula>"Sunk"</formula>
    </cfRule>
    <cfRule type="cellIs" dxfId="1378" priority="1693" operator="equal">
      <formula>"OpEx"</formula>
    </cfRule>
    <cfRule type="cellIs" dxfId="1377" priority="1694" operator="equal">
      <formula>"CapEx"</formula>
    </cfRule>
    <cfRule type="cellIs" dxfId="1376" priority="1695" operator="equal">
      <formula>"Income"</formula>
    </cfRule>
  </conditionalFormatting>
  <conditionalFormatting sqref="F916">
    <cfRule type="dataBar" priority="1653">
      <dataBar>
        <cfvo type="min"/>
        <cfvo type="max"/>
        <color rgb="FF638EC6"/>
      </dataBar>
    </cfRule>
    <cfRule type="colorScale" priority="1654">
      <colorScale>
        <cfvo type="min"/>
        <cfvo type="percentile" val="50"/>
        <cfvo type="max"/>
        <color rgb="FFF8696B"/>
        <color rgb="FFFFEB84"/>
        <color rgb="FF63BE7B"/>
      </colorScale>
    </cfRule>
    <cfRule type="cellIs" dxfId="1375" priority="1655" operator="equal">
      <formula>"Tax"</formula>
    </cfRule>
    <cfRule type="cellIs" dxfId="1374" priority="1656" operator="equal">
      <formula>"Income"</formula>
    </cfRule>
    <cfRule type="cellIs" dxfId="1373" priority="1657" operator="equal">
      <formula>"Cost of Sales"</formula>
    </cfRule>
    <cfRule type="cellIs" dxfId="1372" priority="1658" operator="equal">
      <formula>"Payroll"</formula>
    </cfRule>
    <cfRule type="cellIs" dxfId="1371" priority="1659" operator="equal">
      <formula>"Investment"</formula>
    </cfRule>
    <cfRule type="cellIs" dxfId="1370" priority="1660" operator="equal">
      <formula>"Sunk"</formula>
    </cfRule>
    <cfRule type="cellIs" dxfId="1369" priority="1661" operator="equal">
      <formula>"OpEx"</formula>
    </cfRule>
    <cfRule type="cellIs" dxfId="1368" priority="1662" operator="equal">
      <formula>"CapEx"</formula>
    </cfRule>
    <cfRule type="dataBar" priority="1663">
      <dataBar>
        <cfvo type="min"/>
        <cfvo type="max"/>
        <color rgb="FF638EC6"/>
      </dataBar>
    </cfRule>
    <cfRule type="colorScale" priority="1664">
      <colorScale>
        <cfvo type="min"/>
        <cfvo type="percentile" val="50"/>
        <cfvo type="max"/>
        <color rgb="FFF8696B"/>
        <color rgb="FFFFEB84"/>
        <color rgb="FF63BE7B"/>
      </colorScale>
    </cfRule>
    <cfRule type="cellIs" dxfId="1367" priority="1665" operator="equal">
      <formula>"Tax"</formula>
    </cfRule>
    <cfRule type="cellIs" dxfId="1366" priority="1666" operator="equal">
      <formula>"Income"</formula>
    </cfRule>
    <cfRule type="dataBar" priority="1667">
      <dataBar>
        <cfvo type="min"/>
        <cfvo type="max"/>
        <color rgb="FF638EC6"/>
      </dataBar>
    </cfRule>
    <cfRule type="colorScale" priority="1668">
      <colorScale>
        <cfvo type="min"/>
        <cfvo type="percentile" val="50"/>
        <cfvo type="max"/>
        <color rgb="FFF8696B"/>
        <color rgb="FFFFEB84"/>
        <color rgb="FF63BE7B"/>
      </colorScale>
    </cfRule>
    <cfRule type="cellIs" dxfId="1365" priority="1669" operator="equal">
      <formula>"Tax"</formula>
    </cfRule>
    <cfRule type="cellIs" dxfId="1364" priority="1670" operator="equal">
      <formula>"Cost of Sales"</formula>
    </cfRule>
    <cfRule type="cellIs" dxfId="1363" priority="1671" operator="equal">
      <formula>"Payroll"</formula>
    </cfRule>
    <cfRule type="cellIs" dxfId="1362" priority="1672" operator="equal">
      <formula>"Investment"</formula>
    </cfRule>
    <cfRule type="cellIs" dxfId="1361" priority="1673" operator="equal">
      <formula>"Sunk"</formula>
    </cfRule>
    <cfRule type="cellIs" dxfId="1360" priority="1674" operator="equal">
      <formula>"OpEx"</formula>
    </cfRule>
    <cfRule type="cellIs" dxfId="1359" priority="1675" operator="equal">
      <formula>"CapEx"</formula>
    </cfRule>
  </conditionalFormatting>
  <conditionalFormatting sqref="F916">
    <cfRule type="cellIs" dxfId="1358" priority="1642" operator="equal">
      <formula>"Income"</formula>
    </cfRule>
    <cfRule type="cellIs" dxfId="1357" priority="1643" operator="equal">
      <formula>"Cost of Sales"</formula>
    </cfRule>
    <cfRule type="cellIs" dxfId="1356" priority="1644" operator="equal">
      <formula>"Payroll"</formula>
    </cfRule>
    <cfRule type="cellIs" dxfId="1355" priority="1645" operator="equal">
      <formula>"Investment"</formula>
    </cfRule>
    <cfRule type="cellIs" dxfId="1354" priority="1646" operator="equal">
      <formula>"Sunk"</formula>
    </cfRule>
    <cfRule type="cellIs" dxfId="1353" priority="1647" operator="equal">
      <formula>"OpEx"</formula>
    </cfRule>
    <cfRule type="cellIs" dxfId="1352" priority="1648" operator="equal">
      <formula>"CapEx"</formula>
    </cfRule>
  </conditionalFormatting>
  <conditionalFormatting sqref="H914:H916">
    <cfRule type="cellIs" dxfId="1351" priority="1649" operator="equal">
      <formula>"GBP"</formula>
    </cfRule>
    <cfRule type="cellIs" dxfId="1350" priority="1650" operator="equal">
      <formula>"EUR"</formula>
    </cfRule>
    <cfRule type="cellIs" dxfId="1349" priority="1651" operator="equal">
      <formula>"USD"</formula>
    </cfRule>
    <cfRule type="cellIs" dxfId="1348" priority="1652" operator="equal">
      <formula>"EGP"</formula>
    </cfRule>
  </conditionalFormatting>
  <conditionalFormatting sqref="I914:I916">
    <cfRule type="containsBlanks" dxfId="1347" priority="1696">
      <formula>LEN(TRIM(I914))=0</formula>
    </cfRule>
  </conditionalFormatting>
  <conditionalFormatting sqref="J914:J916">
    <cfRule type="cellIs" dxfId="1346" priority="1636" operator="equal">
      <formula>5</formula>
    </cfRule>
    <cfRule type="cellIs" dxfId="1345" priority="1637" operator="equal">
      <formula>0</formula>
    </cfRule>
    <cfRule type="cellIs" dxfId="1344" priority="1638" operator="equal">
      <formula>3</formula>
    </cfRule>
    <cfRule type="cellIs" dxfId="1343" priority="1639" operator="equal">
      <formula>2</formula>
    </cfRule>
    <cfRule type="cellIs" dxfId="1342" priority="1640" operator="equal">
      <formula>1</formula>
    </cfRule>
    <cfRule type="cellIs" dxfId="1341" priority="1641" operator="equal">
      <formula>4</formula>
    </cfRule>
  </conditionalFormatting>
  <conditionalFormatting sqref="F917">
    <cfRule type="cellIs" dxfId="1340" priority="1626" operator="equal">
      <formula>"Cost of Sales"</formula>
    </cfRule>
    <cfRule type="cellIs" dxfId="1339" priority="1627" operator="equal">
      <formula>"Payroll"</formula>
    </cfRule>
    <cfRule type="cellIs" dxfId="1338" priority="1628" operator="equal">
      <formula>"Investment"</formula>
    </cfRule>
    <cfRule type="cellIs" dxfId="1337" priority="1629" operator="equal">
      <formula>"Sunk"</formula>
    </cfRule>
    <cfRule type="cellIs" dxfId="1336" priority="1630" operator="equal">
      <formula>"OpEx"</formula>
    </cfRule>
    <cfRule type="cellIs" dxfId="1335" priority="1631" operator="equal">
      <formula>"CapEx"</formula>
    </cfRule>
    <cfRule type="cellIs" dxfId="1334" priority="1632" operator="equal">
      <formula>"Income"</formula>
    </cfRule>
  </conditionalFormatting>
  <conditionalFormatting sqref="F917">
    <cfRule type="dataBar" priority="1633">
      <dataBar>
        <cfvo type="min"/>
        <cfvo type="max"/>
        <color rgb="FF638EC6"/>
      </dataBar>
    </cfRule>
    <cfRule type="colorScale" priority="1634">
      <colorScale>
        <cfvo type="min"/>
        <cfvo type="percentile" val="50"/>
        <cfvo type="max"/>
        <color rgb="FFF8696B"/>
        <color rgb="FFFFEB84"/>
        <color rgb="FF63BE7B"/>
      </colorScale>
    </cfRule>
    <cfRule type="cellIs" dxfId="1333" priority="1635" operator="equal">
      <formula>"Tax"</formula>
    </cfRule>
  </conditionalFormatting>
  <conditionalFormatting sqref="H917">
    <cfRule type="cellIs" dxfId="1332" priority="1622" operator="equal">
      <formula>"GBP"</formula>
    </cfRule>
    <cfRule type="cellIs" dxfId="1331" priority="1623" operator="equal">
      <formula>"EUR"</formula>
    </cfRule>
    <cfRule type="cellIs" dxfId="1330" priority="1624" operator="equal">
      <formula>"USD"</formula>
    </cfRule>
    <cfRule type="cellIs" dxfId="1329" priority="1625" operator="equal">
      <formula>"EGP"</formula>
    </cfRule>
  </conditionalFormatting>
  <conditionalFormatting sqref="I917">
    <cfRule type="containsBlanks" dxfId="1328" priority="1621">
      <formula>LEN(TRIM(I917))=0</formula>
    </cfRule>
  </conditionalFormatting>
  <conditionalFormatting sqref="J917">
    <cfRule type="cellIs" dxfId="1327" priority="1615" operator="equal">
      <formula>5</formula>
    </cfRule>
    <cfRule type="cellIs" dxfId="1326" priority="1616" operator="equal">
      <formula>0</formula>
    </cfRule>
    <cfRule type="cellIs" dxfId="1325" priority="1617" operator="equal">
      <formula>3</formula>
    </cfRule>
    <cfRule type="cellIs" dxfId="1324" priority="1618" operator="equal">
      <formula>2</formula>
    </cfRule>
    <cfRule type="cellIs" dxfId="1323" priority="1619" operator="equal">
      <formula>1</formula>
    </cfRule>
    <cfRule type="cellIs" dxfId="1322" priority="1620" operator="equal">
      <formula>4</formula>
    </cfRule>
  </conditionalFormatting>
  <conditionalFormatting sqref="F918">
    <cfRule type="cellIs" dxfId="1321" priority="1610" operator="equal">
      <formula>"Tax"</formula>
    </cfRule>
  </conditionalFormatting>
  <conditionalFormatting sqref="F918">
    <cfRule type="dataBar" priority="1608">
      <dataBar>
        <cfvo type="min"/>
        <cfvo type="max"/>
        <color rgb="FF638EC6"/>
      </dataBar>
    </cfRule>
    <cfRule type="colorScale" priority="1609">
      <colorScale>
        <cfvo type="min"/>
        <cfvo type="percentile" val="50"/>
        <cfvo type="max"/>
        <color rgb="FFF8696B"/>
        <color rgb="FFFFEB84"/>
        <color rgb="FF63BE7B"/>
      </colorScale>
    </cfRule>
  </conditionalFormatting>
  <conditionalFormatting sqref="F918">
    <cfRule type="cellIs" dxfId="1320" priority="1601" operator="equal">
      <formula>"Income"</formula>
    </cfRule>
    <cfRule type="cellIs" dxfId="1319" priority="1602" operator="equal">
      <formula>"Cost of Sales"</formula>
    </cfRule>
    <cfRule type="cellIs" dxfId="1318" priority="1603" operator="equal">
      <formula>"Payroll"</formula>
    </cfRule>
    <cfRule type="cellIs" dxfId="1317" priority="1604" operator="equal">
      <formula>"Investment"</formula>
    </cfRule>
    <cfRule type="cellIs" dxfId="1316" priority="1605" operator="equal">
      <formula>"Sunk"</formula>
    </cfRule>
    <cfRule type="cellIs" dxfId="1315" priority="1606" operator="equal">
      <formula>"OpEx"</formula>
    </cfRule>
    <cfRule type="cellIs" dxfId="1314" priority="1607" operator="equal">
      <formula>"CapEx"</formula>
    </cfRule>
  </conditionalFormatting>
  <conditionalFormatting sqref="H918">
    <cfRule type="cellIs" dxfId="1313" priority="1611" operator="equal">
      <formula>"GBP"</formula>
    </cfRule>
    <cfRule type="cellIs" dxfId="1312" priority="1612" operator="equal">
      <formula>"EUR"</formula>
    </cfRule>
    <cfRule type="cellIs" dxfId="1311" priority="1613" operator="equal">
      <formula>"USD"</formula>
    </cfRule>
    <cfRule type="cellIs" dxfId="1310" priority="1614" operator="equal">
      <formula>"EGP"</formula>
    </cfRule>
  </conditionalFormatting>
  <conditionalFormatting sqref="I918">
    <cfRule type="containsBlanks" dxfId="1309" priority="1600">
      <formula>LEN(TRIM(I918))=0</formula>
    </cfRule>
  </conditionalFormatting>
  <conditionalFormatting sqref="J918">
    <cfRule type="cellIs" dxfId="1308" priority="1594" operator="equal">
      <formula>5</formula>
    </cfRule>
    <cfRule type="cellIs" dxfId="1307" priority="1595" operator="equal">
      <formula>0</formula>
    </cfRule>
    <cfRule type="cellIs" dxfId="1306" priority="1596" operator="equal">
      <formula>3</formula>
    </cfRule>
    <cfRule type="cellIs" dxfId="1305" priority="1597" operator="equal">
      <formula>2</formula>
    </cfRule>
    <cfRule type="cellIs" dxfId="1304" priority="1598" operator="equal">
      <formula>1</formula>
    </cfRule>
    <cfRule type="cellIs" dxfId="1303" priority="1599" operator="equal">
      <formula>4</formula>
    </cfRule>
  </conditionalFormatting>
  <conditionalFormatting sqref="F919">
    <cfRule type="cellIs" dxfId="1302" priority="1588" operator="equal">
      <formula>"Cost of Sales"</formula>
    </cfRule>
    <cfRule type="cellIs" dxfId="1301" priority="1589" operator="equal">
      <formula>"Payroll"</formula>
    </cfRule>
    <cfRule type="cellIs" dxfId="1300" priority="1590" operator="equal">
      <formula>"Investment"</formula>
    </cfRule>
    <cfRule type="cellIs" dxfId="1299" priority="1591" operator="equal">
      <formula>"Sunk"</formula>
    </cfRule>
    <cfRule type="cellIs" dxfId="1298" priority="1592" operator="equal">
      <formula>"OpEx"</formula>
    </cfRule>
    <cfRule type="cellIs" dxfId="1297" priority="1593" operator="equal">
      <formula>"CapEx"</formula>
    </cfRule>
  </conditionalFormatting>
  <conditionalFormatting sqref="F919">
    <cfRule type="cellIs" dxfId="1296" priority="1580" operator="equal">
      <formula>"Income"</formula>
    </cfRule>
  </conditionalFormatting>
  <conditionalFormatting sqref="F919">
    <cfRule type="dataBar" priority="1585">
      <dataBar>
        <cfvo type="min"/>
        <cfvo type="max"/>
        <color rgb="FF638EC6"/>
      </dataBar>
    </cfRule>
    <cfRule type="colorScale" priority="1586">
      <colorScale>
        <cfvo type="min"/>
        <cfvo type="percentile" val="50"/>
        <cfvo type="max"/>
        <color rgb="FFF8696B"/>
        <color rgb="FFFFEB84"/>
        <color rgb="FF63BE7B"/>
      </colorScale>
    </cfRule>
    <cfRule type="cellIs" dxfId="1295" priority="1587" operator="equal">
      <formula>"Tax"</formula>
    </cfRule>
  </conditionalFormatting>
  <conditionalFormatting sqref="H919">
    <cfRule type="cellIs" dxfId="1294" priority="1576" operator="equal">
      <formula>"GBP"</formula>
    </cfRule>
    <cfRule type="cellIs" dxfId="1293" priority="1577" operator="equal">
      <formula>"EUR"</formula>
    </cfRule>
    <cfRule type="cellIs" dxfId="1292" priority="1578" operator="equal">
      <formula>"USD"</formula>
    </cfRule>
    <cfRule type="cellIs" dxfId="1291" priority="1579" operator="equal">
      <formula>"EGP"</formula>
    </cfRule>
  </conditionalFormatting>
  <conditionalFormatting sqref="I919">
    <cfRule type="containsBlanks" dxfId="1290" priority="1575">
      <formula>LEN(TRIM(I919))=0</formula>
    </cfRule>
  </conditionalFormatting>
  <conditionalFormatting sqref="I919">
    <cfRule type="cellIs" dxfId="1289" priority="1581" operator="equal">
      <formula>"GBP"</formula>
    </cfRule>
    <cfRule type="cellIs" dxfId="1288" priority="1582" operator="equal">
      <formula>"EUR"</formula>
    </cfRule>
    <cfRule type="cellIs" dxfId="1287" priority="1583" operator="equal">
      <formula>"USD"</formula>
    </cfRule>
    <cfRule type="cellIs" dxfId="1286" priority="1584" operator="equal">
      <formula>"EGP"</formula>
    </cfRule>
  </conditionalFormatting>
  <conditionalFormatting sqref="J919">
    <cfRule type="cellIs" dxfId="1285" priority="1569" operator="equal">
      <formula>5</formula>
    </cfRule>
    <cfRule type="cellIs" dxfId="1284" priority="1570" operator="equal">
      <formula>0</formula>
    </cfRule>
    <cfRule type="cellIs" dxfId="1283" priority="1571" operator="equal">
      <formula>3</formula>
    </cfRule>
    <cfRule type="cellIs" dxfId="1282" priority="1572" operator="equal">
      <formula>2</formula>
    </cfRule>
    <cfRule type="cellIs" dxfId="1281" priority="1573" operator="equal">
      <formula>1</formula>
    </cfRule>
    <cfRule type="cellIs" dxfId="1280" priority="1574" operator="equal">
      <formula>4</formula>
    </cfRule>
  </conditionalFormatting>
  <conditionalFormatting sqref="F902">
    <cfRule type="dataBar" priority="1559">
      <dataBar>
        <cfvo type="min"/>
        <cfvo type="max"/>
        <color rgb="FF638EC6"/>
      </dataBar>
    </cfRule>
    <cfRule type="colorScale" priority="1560">
      <colorScale>
        <cfvo type="min"/>
        <cfvo type="percentile" val="50"/>
        <cfvo type="max"/>
        <color rgb="FFF8696B"/>
        <color rgb="FFFFEB84"/>
        <color rgb="FF63BE7B"/>
      </colorScale>
    </cfRule>
    <cfRule type="cellIs" dxfId="1279" priority="1561" operator="equal">
      <formula>"Income"</formula>
    </cfRule>
    <cfRule type="cellIs" dxfId="1278" priority="1562" operator="equal">
      <formula>"Cost of Sales"</formula>
    </cfRule>
    <cfRule type="cellIs" dxfId="1277" priority="1563" operator="equal">
      <formula>"Payroll"</formula>
    </cfRule>
    <cfRule type="cellIs" dxfId="1276" priority="1564" operator="equal">
      <formula>"Investment"</formula>
    </cfRule>
    <cfRule type="cellIs" dxfId="1275" priority="1565" operator="equal">
      <formula>"Sunk"</formula>
    </cfRule>
    <cfRule type="cellIs" dxfId="1274" priority="1566" operator="equal">
      <formula>"OpEx"</formula>
    </cfRule>
    <cfRule type="cellIs" dxfId="1273" priority="1567" operator="equal">
      <formula>"CapEx"</formula>
    </cfRule>
  </conditionalFormatting>
  <conditionalFormatting sqref="F902">
    <cfRule type="cellIs" dxfId="1272" priority="1558" operator="equal">
      <formula>"Tax"</formula>
    </cfRule>
  </conditionalFormatting>
  <conditionalFormatting sqref="H902">
    <cfRule type="cellIs" dxfId="1271" priority="1554" operator="equal">
      <formula>"GBP"</formula>
    </cfRule>
    <cfRule type="cellIs" dxfId="1270" priority="1555" operator="equal">
      <formula>"EUR"</formula>
    </cfRule>
    <cfRule type="cellIs" dxfId="1269" priority="1556" operator="equal">
      <formula>"USD"</formula>
    </cfRule>
    <cfRule type="cellIs" dxfId="1268" priority="1557" operator="equal">
      <formula>"EGP"</formula>
    </cfRule>
  </conditionalFormatting>
  <conditionalFormatting sqref="I902">
    <cfRule type="containsBlanks" dxfId="1267" priority="1568">
      <formula>LEN(TRIM(I902))=0</formula>
    </cfRule>
  </conditionalFormatting>
  <conditionalFormatting sqref="J902">
    <cfRule type="cellIs" dxfId="1266" priority="1548" operator="equal">
      <formula>5</formula>
    </cfRule>
    <cfRule type="cellIs" dxfId="1265" priority="1549" operator="equal">
      <formula>0</formula>
    </cfRule>
    <cfRule type="cellIs" dxfId="1264" priority="1550" operator="equal">
      <formula>3</formula>
    </cfRule>
    <cfRule type="cellIs" dxfId="1263" priority="1551" operator="equal">
      <formula>2</formula>
    </cfRule>
    <cfRule type="cellIs" dxfId="1262" priority="1552" operator="equal">
      <formula>1</formula>
    </cfRule>
    <cfRule type="cellIs" dxfId="1261" priority="1553" operator="equal">
      <formula>4</formula>
    </cfRule>
  </conditionalFormatting>
  <conditionalFormatting sqref="F920">
    <cfRule type="cellIs" dxfId="1260" priority="1540" operator="equal">
      <formula>"Tax"</formula>
    </cfRule>
    <cfRule type="cellIs" dxfId="1259" priority="1541" operator="equal">
      <formula>"Cost of Sales"</formula>
    </cfRule>
    <cfRule type="cellIs" dxfId="1258" priority="1542" operator="equal">
      <formula>"Payroll"</formula>
    </cfRule>
    <cfRule type="cellIs" dxfId="1257" priority="1543" operator="equal">
      <formula>"Investment"</formula>
    </cfRule>
    <cfRule type="cellIs" dxfId="1256" priority="1544" operator="equal">
      <formula>"Sunk"</formula>
    </cfRule>
    <cfRule type="cellIs" dxfId="1255" priority="1545" operator="equal">
      <formula>"OpEx"</formula>
    </cfRule>
    <cfRule type="cellIs" dxfId="1254" priority="1546" operator="equal">
      <formula>"CapEx"</formula>
    </cfRule>
    <cfRule type="cellIs" dxfId="1253" priority="1547" operator="equal">
      <formula>"Income"</formula>
    </cfRule>
  </conditionalFormatting>
  <conditionalFormatting sqref="F920">
    <cfRule type="dataBar" priority="1538">
      <dataBar>
        <cfvo type="min"/>
        <cfvo type="max"/>
        <color rgb="FF638EC6"/>
      </dataBar>
    </cfRule>
    <cfRule type="colorScale" priority="1539">
      <colorScale>
        <cfvo type="min"/>
        <cfvo type="percentile" val="50"/>
        <cfvo type="max"/>
        <color rgb="FFF8696B"/>
        <color rgb="FFFFEB84"/>
        <color rgb="FF63BE7B"/>
      </colorScale>
    </cfRule>
  </conditionalFormatting>
  <conditionalFormatting sqref="F921">
    <cfRule type="dataBar" priority="1528">
      <dataBar>
        <cfvo type="min"/>
        <cfvo type="max"/>
        <color rgb="FF638EC6"/>
      </dataBar>
    </cfRule>
    <cfRule type="colorScale" priority="1529">
      <colorScale>
        <cfvo type="min"/>
        <cfvo type="percentile" val="50"/>
        <cfvo type="max"/>
        <color rgb="FFF8696B"/>
        <color rgb="FFFFEB84"/>
        <color rgb="FF63BE7B"/>
      </colorScale>
    </cfRule>
    <cfRule type="cellIs" dxfId="1252" priority="1530" operator="equal">
      <formula>"Tax"</formula>
    </cfRule>
    <cfRule type="cellIs" dxfId="1251" priority="1531" operator="equal">
      <formula>"Cost of Sales"</formula>
    </cfRule>
    <cfRule type="cellIs" dxfId="1250" priority="1532" operator="equal">
      <formula>"Payroll"</formula>
    </cfRule>
    <cfRule type="cellIs" dxfId="1249" priority="1533" operator="equal">
      <formula>"Investment"</formula>
    </cfRule>
    <cfRule type="cellIs" dxfId="1248" priority="1534" operator="equal">
      <formula>"Sunk"</formula>
    </cfRule>
    <cfRule type="cellIs" dxfId="1247" priority="1535" operator="equal">
      <formula>"OpEx"</formula>
    </cfRule>
    <cfRule type="cellIs" dxfId="1246" priority="1536" operator="equal">
      <formula>"CapEx"</formula>
    </cfRule>
    <cfRule type="cellIs" dxfId="1245" priority="1537" operator="equal">
      <formula>"Income"</formula>
    </cfRule>
  </conditionalFormatting>
  <conditionalFormatting sqref="F922">
    <cfRule type="dataBar" priority="1524">
      <dataBar>
        <cfvo type="min"/>
        <cfvo type="max"/>
        <color rgb="FF638EC6"/>
      </dataBar>
    </cfRule>
    <cfRule type="colorScale" priority="1525">
      <colorScale>
        <cfvo type="min"/>
        <cfvo type="percentile" val="50"/>
        <cfvo type="max"/>
        <color rgb="FFF8696B"/>
        <color rgb="FFFFEB84"/>
        <color rgb="FF63BE7B"/>
      </colorScale>
    </cfRule>
    <cfRule type="cellIs" dxfId="1244" priority="1526" operator="equal">
      <formula>"Tax"</formula>
    </cfRule>
  </conditionalFormatting>
  <conditionalFormatting sqref="F922">
    <cfRule type="cellIs" dxfId="1243" priority="1518" operator="equal">
      <formula>"Cost of Sales"</formula>
    </cfRule>
    <cfRule type="cellIs" dxfId="1242" priority="1519" operator="equal">
      <formula>"Payroll"</formula>
    </cfRule>
    <cfRule type="cellIs" dxfId="1241" priority="1520" operator="equal">
      <formula>"Investment"</formula>
    </cfRule>
    <cfRule type="cellIs" dxfId="1240" priority="1521" operator="equal">
      <formula>"Sunk"</formula>
    </cfRule>
    <cfRule type="cellIs" dxfId="1239" priority="1522" operator="equal">
      <formula>"OpEx"</formula>
    </cfRule>
    <cfRule type="cellIs" dxfId="1238" priority="1523" operator="equal">
      <formula>"CapEx"</formula>
    </cfRule>
  </conditionalFormatting>
  <conditionalFormatting sqref="F922">
    <cfRule type="cellIs" dxfId="1237" priority="1517" operator="equal">
      <formula>"Tax"</formula>
    </cfRule>
  </conditionalFormatting>
  <conditionalFormatting sqref="F922">
    <cfRule type="cellIs" dxfId="1236" priority="1516" operator="equal">
      <formula>"Income"</formula>
    </cfRule>
  </conditionalFormatting>
  <conditionalFormatting sqref="H920:H922">
    <cfRule type="cellIs" dxfId="1235" priority="1512" operator="equal">
      <formula>"GBP"</formula>
    </cfRule>
    <cfRule type="cellIs" dxfId="1234" priority="1513" operator="equal">
      <formula>"USD"</formula>
    </cfRule>
    <cfRule type="cellIs" dxfId="1233" priority="1514" operator="equal">
      <formula>"EGP"</formula>
    </cfRule>
    <cfRule type="cellIs" dxfId="1232" priority="1515" operator="equal">
      <formula>"EUR"</formula>
    </cfRule>
  </conditionalFormatting>
  <conditionalFormatting sqref="I920:I922">
    <cfRule type="containsBlanks" dxfId="1231" priority="1527">
      <formula>LEN(TRIM(I920))=0</formula>
    </cfRule>
  </conditionalFormatting>
  <conditionalFormatting sqref="J920:J922">
    <cfRule type="cellIs" dxfId="1230" priority="1506" operator="equal">
      <formula>5</formula>
    </cfRule>
    <cfRule type="cellIs" dxfId="1229" priority="1507" operator="equal">
      <formula>0</formula>
    </cfRule>
    <cfRule type="cellIs" dxfId="1228" priority="1508" operator="equal">
      <formula>3</formula>
    </cfRule>
    <cfRule type="cellIs" dxfId="1227" priority="1509" operator="equal">
      <formula>2</formula>
    </cfRule>
    <cfRule type="cellIs" dxfId="1226" priority="1510" operator="equal">
      <formula>1</formula>
    </cfRule>
    <cfRule type="cellIs" dxfId="1225" priority="1511" operator="equal">
      <formula>4</formula>
    </cfRule>
  </conditionalFormatting>
  <conditionalFormatting sqref="F923">
    <cfRule type="cellIs" dxfId="1224" priority="1498" operator="equal">
      <formula>"Tax"</formula>
    </cfRule>
    <cfRule type="cellIs" dxfId="1223" priority="1499" operator="equal">
      <formula>"Cost of Sales"</formula>
    </cfRule>
    <cfRule type="cellIs" dxfId="1222" priority="1500" operator="equal">
      <formula>"Payroll"</formula>
    </cfRule>
    <cfRule type="cellIs" dxfId="1221" priority="1501" operator="equal">
      <formula>"Investment"</formula>
    </cfRule>
    <cfRule type="cellIs" dxfId="1220" priority="1502" operator="equal">
      <formula>"Sunk"</formula>
    </cfRule>
    <cfRule type="cellIs" dxfId="1219" priority="1503" operator="equal">
      <formula>"OpEx"</formula>
    </cfRule>
    <cfRule type="cellIs" dxfId="1218" priority="1504" operator="equal">
      <formula>"CapEx"</formula>
    </cfRule>
    <cfRule type="cellIs" dxfId="1217" priority="1505" operator="equal">
      <formula>"Income"</formula>
    </cfRule>
  </conditionalFormatting>
  <conditionalFormatting sqref="F923">
    <cfRule type="dataBar" priority="1496">
      <dataBar>
        <cfvo type="min"/>
        <cfvo type="max"/>
        <color rgb="FF638EC6"/>
      </dataBar>
    </cfRule>
    <cfRule type="colorScale" priority="1497">
      <colorScale>
        <cfvo type="min"/>
        <cfvo type="percentile" val="50"/>
        <cfvo type="max"/>
        <color rgb="FFF8696B"/>
        <color rgb="FFFFEB84"/>
        <color rgb="FF63BE7B"/>
      </colorScale>
    </cfRule>
  </conditionalFormatting>
  <conditionalFormatting sqref="F924">
    <cfRule type="dataBar" priority="1486">
      <dataBar>
        <cfvo type="min"/>
        <cfvo type="max"/>
        <color rgb="FF638EC6"/>
      </dataBar>
    </cfRule>
    <cfRule type="colorScale" priority="1487">
      <colorScale>
        <cfvo type="min"/>
        <cfvo type="percentile" val="50"/>
        <cfvo type="max"/>
        <color rgb="FFF8696B"/>
        <color rgb="FFFFEB84"/>
        <color rgb="FF63BE7B"/>
      </colorScale>
    </cfRule>
    <cfRule type="cellIs" dxfId="1216" priority="1488" operator="equal">
      <formula>"Tax"</formula>
    </cfRule>
    <cfRule type="cellIs" dxfId="1215" priority="1489" operator="equal">
      <formula>"Cost of Sales"</formula>
    </cfRule>
    <cfRule type="cellIs" dxfId="1214" priority="1490" operator="equal">
      <formula>"Payroll"</formula>
    </cfRule>
    <cfRule type="cellIs" dxfId="1213" priority="1491" operator="equal">
      <formula>"Investment"</formula>
    </cfRule>
    <cfRule type="cellIs" dxfId="1212" priority="1492" operator="equal">
      <formula>"Sunk"</formula>
    </cfRule>
    <cfRule type="cellIs" dxfId="1211" priority="1493" operator="equal">
      <formula>"OpEx"</formula>
    </cfRule>
    <cfRule type="cellIs" dxfId="1210" priority="1494" operator="equal">
      <formula>"CapEx"</formula>
    </cfRule>
    <cfRule type="cellIs" dxfId="1209" priority="1495" operator="equal">
      <formula>"Income"</formula>
    </cfRule>
  </conditionalFormatting>
  <conditionalFormatting sqref="F926">
    <cfRule type="dataBar" priority="1482">
      <dataBar>
        <cfvo type="min"/>
        <cfvo type="max"/>
        <color rgb="FF638EC6"/>
      </dataBar>
    </cfRule>
    <cfRule type="colorScale" priority="1483">
      <colorScale>
        <cfvo type="min"/>
        <cfvo type="percentile" val="50"/>
        <cfvo type="max"/>
        <color rgb="FFF8696B"/>
        <color rgb="FFFFEB84"/>
        <color rgb="FF63BE7B"/>
      </colorScale>
    </cfRule>
    <cfRule type="cellIs" dxfId="1208" priority="1484" operator="equal">
      <formula>"Tax"</formula>
    </cfRule>
  </conditionalFormatting>
  <conditionalFormatting sqref="F926">
    <cfRule type="cellIs" dxfId="1207" priority="1476" operator="equal">
      <formula>"Cost of Sales"</formula>
    </cfRule>
    <cfRule type="cellIs" dxfId="1206" priority="1477" operator="equal">
      <formula>"Payroll"</formula>
    </cfRule>
    <cfRule type="cellIs" dxfId="1205" priority="1478" operator="equal">
      <formula>"Investment"</formula>
    </cfRule>
    <cfRule type="cellIs" dxfId="1204" priority="1479" operator="equal">
      <formula>"Sunk"</formula>
    </cfRule>
    <cfRule type="cellIs" dxfId="1203" priority="1480" operator="equal">
      <formula>"OpEx"</formula>
    </cfRule>
    <cfRule type="cellIs" dxfId="1202" priority="1481" operator="equal">
      <formula>"CapEx"</formula>
    </cfRule>
  </conditionalFormatting>
  <conditionalFormatting sqref="F926">
    <cfRule type="cellIs" dxfId="1201" priority="1475" operator="equal">
      <formula>"Tax"</formula>
    </cfRule>
  </conditionalFormatting>
  <conditionalFormatting sqref="F926">
    <cfRule type="cellIs" dxfId="1200" priority="1474" operator="equal">
      <formula>"Income"</formula>
    </cfRule>
  </conditionalFormatting>
  <conditionalFormatting sqref="H923:H924 H926">
    <cfRule type="cellIs" dxfId="1199" priority="1470" operator="equal">
      <formula>"GBP"</formula>
    </cfRule>
    <cfRule type="cellIs" dxfId="1198" priority="1471" operator="equal">
      <formula>"USD"</formula>
    </cfRule>
    <cfRule type="cellIs" dxfId="1197" priority="1472" operator="equal">
      <formula>"EGP"</formula>
    </cfRule>
    <cfRule type="cellIs" dxfId="1196" priority="1473" operator="equal">
      <formula>"EUR"</formula>
    </cfRule>
  </conditionalFormatting>
  <conditionalFormatting sqref="I923:I926">
    <cfRule type="containsBlanks" dxfId="1195" priority="1485">
      <formula>LEN(TRIM(I923))=0</formula>
    </cfRule>
  </conditionalFormatting>
  <conditionalFormatting sqref="J923:J924 J926">
    <cfRule type="cellIs" dxfId="1194" priority="1464" operator="equal">
      <formula>5</formula>
    </cfRule>
    <cfRule type="cellIs" dxfId="1193" priority="1465" operator="equal">
      <formula>0</formula>
    </cfRule>
    <cfRule type="cellIs" dxfId="1192" priority="1466" operator="equal">
      <formula>3</formula>
    </cfRule>
    <cfRule type="cellIs" dxfId="1191" priority="1467" operator="equal">
      <formula>2</formula>
    </cfRule>
    <cfRule type="cellIs" dxfId="1190" priority="1468" operator="equal">
      <formula>1</formula>
    </cfRule>
    <cfRule type="cellIs" dxfId="1189" priority="1469" operator="equal">
      <formula>4</formula>
    </cfRule>
  </conditionalFormatting>
  <conditionalFormatting sqref="F925">
    <cfRule type="dataBar" priority="1454">
      <dataBar>
        <cfvo type="min"/>
        <cfvo type="max"/>
        <color rgb="FF638EC6"/>
      </dataBar>
    </cfRule>
    <cfRule type="colorScale" priority="1455">
      <colorScale>
        <cfvo type="min"/>
        <cfvo type="percentile" val="50"/>
        <cfvo type="max"/>
        <color rgb="FFF8696B"/>
        <color rgb="FFFFEB84"/>
        <color rgb="FF63BE7B"/>
      </colorScale>
    </cfRule>
    <cfRule type="cellIs" dxfId="1188" priority="1456" operator="equal">
      <formula>"Tax"</formula>
    </cfRule>
    <cfRule type="cellIs" dxfId="1187" priority="1457" operator="equal">
      <formula>"Cost of Sales"</formula>
    </cfRule>
    <cfRule type="cellIs" dxfId="1186" priority="1458" operator="equal">
      <formula>"Payroll"</formula>
    </cfRule>
    <cfRule type="cellIs" dxfId="1185" priority="1459" operator="equal">
      <formula>"Investment"</formula>
    </cfRule>
    <cfRule type="cellIs" dxfId="1184" priority="1460" operator="equal">
      <formula>"Sunk"</formula>
    </cfRule>
    <cfRule type="cellIs" dxfId="1183" priority="1461" operator="equal">
      <formula>"OpEx"</formula>
    </cfRule>
    <cfRule type="cellIs" dxfId="1182" priority="1462" operator="equal">
      <formula>"CapEx"</formula>
    </cfRule>
    <cfRule type="cellIs" dxfId="1181" priority="1463" operator="equal">
      <formula>"Income"</formula>
    </cfRule>
  </conditionalFormatting>
  <conditionalFormatting sqref="H925">
    <cfRule type="cellIs" dxfId="1180" priority="1450" operator="equal">
      <formula>"GBP"</formula>
    </cfRule>
    <cfRule type="cellIs" dxfId="1179" priority="1451" operator="equal">
      <formula>"EUR"</formula>
    </cfRule>
    <cfRule type="cellIs" dxfId="1178" priority="1452" operator="equal">
      <formula>"USD"</formula>
    </cfRule>
    <cfRule type="cellIs" dxfId="1177" priority="1453" operator="equal">
      <formula>"EGP"</formula>
    </cfRule>
  </conditionalFormatting>
  <conditionalFormatting sqref="J925">
    <cfRule type="cellIs" dxfId="1176" priority="1443" operator="equal">
      <formula>5</formula>
    </cfRule>
    <cfRule type="cellIs" dxfId="1175" priority="1444" operator="equal">
      <formula>0</formula>
    </cfRule>
    <cfRule type="cellIs" dxfId="1174" priority="1445" operator="equal">
      <formula>3</formula>
    </cfRule>
    <cfRule type="cellIs" dxfId="1173" priority="1446" operator="equal">
      <formula>2</formula>
    </cfRule>
    <cfRule type="cellIs" dxfId="1172" priority="1447" operator="equal">
      <formula>1</formula>
    </cfRule>
    <cfRule type="cellIs" dxfId="1171" priority="1448" operator="equal">
      <formula>4</formula>
    </cfRule>
  </conditionalFormatting>
  <conditionalFormatting sqref="F927">
    <cfRule type="dataBar" priority="1433">
      <dataBar>
        <cfvo type="min"/>
        <cfvo type="max"/>
        <color rgb="FF638EC6"/>
      </dataBar>
    </cfRule>
    <cfRule type="colorScale" priority="1434">
      <colorScale>
        <cfvo type="min"/>
        <cfvo type="percentile" val="50"/>
        <cfvo type="max"/>
        <color rgb="FFF8696B"/>
        <color rgb="FFFFEB84"/>
        <color rgb="FF63BE7B"/>
      </colorScale>
    </cfRule>
    <cfRule type="cellIs" dxfId="1170" priority="1435" operator="equal">
      <formula>"Tax"</formula>
    </cfRule>
    <cfRule type="cellIs" dxfId="1169" priority="1436" operator="equal">
      <formula>"Income"</formula>
    </cfRule>
    <cfRule type="cellIs" dxfId="1168" priority="1437" operator="equal">
      <formula>"Cost of Sales"</formula>
    </cfRule>
    <cfRule type="cellIs" dxfId="1167" priority="1438" operator="equal">
      <formula>"Payroll"</formula>
    </cfRule>
    <cfRule type="cellIs" dxfId="1166" priority="1439" operator="equal">
      <formula>"Investment"</formula>
    </cfRule>
    <cfRule type="cellIs" dxfId="1165" priority="1440" operator="equal">
      <formula>"Sunk"</formula>
    </cfRule>
    <cfRule type="cellIs" dxfId="1164" priority="1441" operator="equal">
      <formula>"OpEx"</formula>
    </cfRule>
    <cfRule type="cellIs" dxfId="1163" priority="1442" operator="equal">
      <formula>"CapEx"</formula>
    </cfRule>
  </conditionalFormatting>
  <conditionalFormatting sqref="H927">
    <cfRule type="cellIs" dxfId="1162" priority="1429" operator="equal">
      <formula>"GBP"</formula>
    </cfRule>
    <cfRule type="cellIs" dxfId="1161" priority="1430" operator="equal">
      <formula>"EUR"</formula>
    </cfRule>
    <cfRule type="cellIs" dxfId="1160" priority="1431" operator="equal">
      <formula>"USD"</formula>
    </cfRule>
    <cfRule type="cellIs" dxfId="1159" priority="1432" operator="equal">
      <formula>"EGP"</formula>
    </cfRule>
  </conditionalFormatting>
  <conditionalFormatting sqref="I927">
    <cfRule type="containsBlanks" dxfId="1158" priority="1428">
      <formula>LEN(TRIM(I927))=0</formula>
    </cfRule>
  </conditionalFormatting>
  <conditionalFormatting sqref="J927">
    <cfRule type="cellIs" dxfId="1157" priority="1422" operator="equal">
      <formula>5</formula>
    </cfRule>
    <cfRule type="cellIs" dxfId="1156" priority="1423" operator="equal">
      <formula>0</formula>
    </cfRule>
    <cfRule type="cellIs" dxfId="1155" priority="1424" operator="equal">
      <formula>3</formula>
    </cfRule>
    <cfRule type="cellIs" dxfId="1154" priority="1425" operator="equal">
      <formula>2</formula>
    </cfRule>
    <cfRule type="cellIs" dxfId="1153" priority="1426" operator="equal">
      <formula>1</formula>
    </cfRule>
    <cfRule type="cellIs" dxfId="1152" priority="1427" operator="equal">
      <formula>4</formula>
    </cfRule>
  </conditionalFormatting>
  <conditionalFormatting sqref="F928">
    <cfRule type="cellIs" dxfId="1151" priority="1367" operator="equal">
      <formula>"Tax"</formula>
    </cfRule>
    <cfRule type="cellIs" dxfId="1150" priority="1368" operator="equal">
      <formula>"Cost of Sales"</formula>
    </cfRule>
    <cfRule type="cellIs" dxfId="1149" priority="1369" operator="equal">
      <formula>"Payroll"</formula>
    </cfRule>
    <cfRule type="cellIs" dxfId="1148" priority="1370" operator="equal">
      <formula>"Investment"</formula>
    </cfRule>
    <cfRule type="cellIs" dxfId="1147" priority="1371" operator="equal">
      <formula>"Sunk"</formula>
    </cfRule>
    <cfRule type="cellIs" dxfId="1146" priority="1372" operator="equal">
      <formula>"OpEx"</formula>
    </cfRule>
    <cfRule type="cellIs" dxfId="1145" priority="1373" operator="equal">
      <formula>"CapEx"</formula>
    </cfRule>
    <cfRule type="cellIs" dxfId="1144" priority="1374" operator="equal">
      <formula>"Income"</formula>
    </cfRule>
  </conditionalFormatting>
  <conditionalFormatting sqref="F928">
    <cfRule type="dataBar" priority="1365">
      <dataBar>
        <cfvo type="min"/>
        <cfvo type="max"/>
        <color rgb="FF638EC6"/>
      </dataBar>
    </cfRule>
    <cfRule type="colorScale" priority="1366">
      <colorScale>
        <cfvo type="min"/>
        <cfvo type="percentile" val="50"/>
        <cfvo type="max"/>
        <color rgb="FFF8696B"/>
        <color rgb="FFFFEB84"/>
        <color rgb="FF63BE7B"/>
      </colorScale>
    </cfRule>
  </conditionalFormatting>
  <conditionalFormatting sqref="F929">
    <cfRule type="dataBar" priority="1355">
      <dataBar>
        <cfvo type="min"/>
        <cfvo type="max"/>
        <color rgb="FF638EC6"/>
      </dataBar>
    </cfRule>
    <cfRule type="colorScale" priority="1356">
      <colorScale>
        <cfvo type="min"/>
        <cfvo type="percentile" val="50"/>
        <cfvo type="max"/>
        <color rgb="FFF8696B"/>
        <color rgb="FFFFEB84"/>
        <color rgb="FF63BE7B"/>
      </colorScale>
    </cfRule>
    <cfRule type="cellIs" dxfId="1143" priority="1357" operator="equal">
      <formula>"Tax"</formula>
    </cfRule>
    <cfRule type="cellIs" dxfId="1142" priority="1358" operator="equal">
      <formula>"Cost of Sales"</formula>
    </cfRule>
    <cfRule type="cellIs" dxfId="1141" priority="1359" operator="equal">
      <formula>"Payroll"</formula>
    </cfRule>
    <cfRule type="cellIs" dxfId="1140" priority="1360" operator="equal">
      <formula>"Investment"</formula>
    </cfRule>
    <cfRule type="cellIs" dxfId="1139" priority="1361" operator="equal">
      <formula>"Sunk"</formula>
    </cfRule>
    <cfRule type="cellIs" dxfId="1138" priority="1362" operator="equal">
      <formula>"OpEx"</formula>
    </cfRule>
    <cfRule type="cellIs" dxfId="1137" priority="1363" operator="equal">
      <formula>"CapEx"</formula>
    </cfRule>
    <cfRule type="cellIs" dxfId="1136" priority="1364" operator="equal">
      <formula>"Income"</formula>
    </cfRule>
  </conditionalFormatting>
  <conditionalFormatting sqref="H928:H929">
    <cfRule type="cellIs" dxfId="1135" priority="1350" operator="equal">
      <formula>"GBP"</formula>
    </cfRule>
    <cfRule type="cellIs" dxfId="1134" priority="1351" operator="equal">
      <formula>"USD"</formula>
    </cfRule>
    <cfRule type="cellIs" dxfId="1133" priority="1352" operator="equal">
      <formula>"EGP"</formula>
    </cfRule>
    <cfRule type="cellIs" dxfId="1132" priority="1353" operator="equal">
      <formula>"EUR"</formula>
    </cfRule>
  </conditionalFormatting>
  <conditionalFormatting sqref="I928:I929">
    <cfRule type="containsBlanks" dxfId="1131" priority="1354">
      <formula>LEN(TRIM(I928))=0</formula>
    </cfRule>
  </conditionalFormatting>
  <conditionalFormatting sqref="J928:J929">
    <cfRule type="cellIs" dxfId="1130" priority="1344" operator="equal">
      <formula>5</formula>
    </cfRule>
    <cfRule type="cellIs" dxfId="1129" priority="1345" operator="equal">
      <formula>0</formula>
    </cfRule>
    <cfRule type="cellIs" dxfId="1128" priority="1346" operator="equal">
      <formula>3</formula>
    </cfRule>
    <cfRule type="cellIs" dxfId="1127" priority="1347" operator="equal">
      <formula>2</formula>
    </cfRule>
    <cfRule type="cellIs" dxfId="1126" priority="1348" operator="equal">
      <formula>1</formula>
    </cfRule>
    <cfRule type="cellIs" dxfId="1125" priority="1349" operator="equal">
      <formula>4</formula>
    </cfRule>
  </conditionalFormatting>
  <conditionalFormatting sqref="I930">
    <cfRule type="containsBlanks" dxfId="1124" priority="1323">
      <formula>LEN(TRIM(I930))=0</formula>
    </cfRule>
  </conditionalFormatting>
  <conditionalFormatting sqref="J930">
    <cfRule type="cellIs" dxfId="1123" priority="1317" operator="equal">
      <formula>5</formula>
    </cfRule>
    <cfRule type="cellIs" dxfId="1122" priority="1318" operator="equal">
      <formula>0</formula>
    </cfRule>
    <cfRule type="cellIs" dxfId="1121" priority="1319" operator="equal">
      <formula>3</formula>
    </cfRule>
    <cfRule type="cellIs" dxfId="1120" priority="1320" operator="equal">
      <formula>2</formula>
    </cfRule>
    <cfRule type="cellIs" dxfId="1119" priority="1321" operator="equal">
      <formula>1</formula>
    </cfRule>
    <cfRule type="cellIs" dxfId="1118" priority="1322" operator="equal">
      <formula>4</formula>
    </cfRule>
  </conditionalFormatting>
  <conditionalFormatting sqref="F930">
    <cfRule type="dataBar" priority="1314">
      <dataBar>
        <cfvo type="min"/>
        <cfvo type="max"/>
        <color rgb="FF638EC6"/>
      </dataBar>
    </cfRule>
    <cfRule type="colorScale" priority="1315">
      <colorScale>
        <cfvo type="min"/>
        <cfvo type="percentile" val="50"/>
        <cfvo type="max"/>
        <color rgb="FFF8696B"/>
        <color rgb="FFFFEB84"/>
        <color rgb="FF63BE7B"/>
      </colorScale>
    </cfRule>
    <cfRule type="cellIs" dxfId="1117" priority="1316" operator="equal">
      <formula>"Tax"</formula>
    </cfRule>
  </conditionalFormatting>
  <conditionalFormatting sqref="F930">
    <cfRule type="cellIs" dxfId="1116" priority="1307" operator="equal">
      <formula>"Cost of Sales"</formula>
    </cfRule>
    <cfRule type="cellIs" dxfId="1115" priority="1308" operator="equal">
      <formula>"Payroll"</formula>
    </cfRule>
    <cfRule type="cellIs" dxfId="1114" priority="1309" operator="equal">
      <formula>"Investment"</formula>
    </cfRule>
    <cfRule type="cellIs" dxfId="1113" priority="1310" operator="equal">
      <formula>"Sunk"</formula>
    </cfRule>
    <cfRule type="cellIs" dxfId="1112" priority="1311" operator="equal">
      <formula>"OpEx"</formula>
    </cfRule>
    <cfRule type="cellIs" dxfId="1111" priority="1312" operator="equal">
      <formula>"CapEx"</formula>
    </cfRule>
    <cfRule type="cellIs" dxfId="1110" priority="1313" operator="equal">
      <formula>"Income"</formula>
    </cfRule>
  </conditionalFormatting>
  <conditionalFormatting sqref="H930">
    <cfRule type="cellIs" dxfId="1109" priority="1303" operator="equal">
      <formula>"GBP"</formula>
    </cfRule>
    <cfRule type="cellIs" dxfId="1108" priority="1304" operator="equal">
      <formula>"EUR"</formula>
    </cfRule>
    <cfRule type="cellIs" dxfId="1107" priority="1305" operator="equal">
      <formula>"USD"</formula>
    </cfRule>
    <cfRule type="cellIs" dxfId="1106" priority="1306" operator="equal">
      <formula>"EGP"</formula>
    </cfRule>
  </conditionalFormatting>
  <conditionalFormatting sqref="L930">
    <cfRule type="colorScale" priority="1302">
      <colorScale>
        <cfvo type="min"/>
        <cfvo type="percentile" val="50"/>
        <cfvo type="max"/>
        <color rgb="FFF8696B"/>
        <color rgb="FFFFEB84"/>
        <color rgb="FF63BE7B"/>
      </colorScale>
    </cfRule>
  </conditionalFormatting>
  <conditionalFormatting sqref="F934">
    <cfRule type="dataBar" priority="1292">
      <dataBar>
        <cfvo type="min"/>
        <cfvo type="max"/>
        <color rgb="FF638EC6"/>
      </dataBar>
    </cfRule>
    <cfRule type="colorScale" priority="1293">
      <colorScale>
        <cfvo type="min"/>
        <cfvo type="percentile" val="50"/>
        <cfvo type="max"/>
        <color rgb="FFF8696B"/>
        <color rgb="FFFFEB84"/>
        <color rgb="FF63BE7B"/>
      </colorScale>
    </cfRule>
    <cfRule type="cellIs" dxfId="1105" priority="1294" operator="equal">
      <formula>"Tax"</formula>
    </cfRule>
    <cfRule type="cellIs" dxfId="1104" priority="1295" operator="equal">
      <formula>"Income"</formula>
    </cfRule>
    <cfRule type="cellIs" dxfId="1103" priority="1296" operator="equal">
      <formula>"Cost of Sales"</formula>
    </cfRule>
    <cfRule type="cellIs" dxfId="1102" priority="1297" operator="equal">
      <formula>"Payroll"</formula>
    </cfRule>
    <cfRule type="cellIs" dxfId="1101" priority="1298" operator="equal">
      <formula>"Investment"</formula>
    </cfRule>
    <cfRule type="cellIs" dxfId="1100" priority="1299" operator="equal">
      <formula>"Sunk"</formula>
    </cfRule>
    <cfRule type="cellIs" dxfId="1099" priority="1300" operator="equal">
      <formula>"OpEx"</formula>
    </cfRule>
    <cfRule type="cellIs" dxfId="1098" priority="1301" operator="equal">
      <formula>"CapEx"</formula>
    </cfRule>
  </conditionalFormatting>
  <conditionalFormatting sqref="H934">
    <cfRule type="cellIs" dxfId="1097" priority="1288" operator="equal">
      <formula>"GBP"</formula>
    </cfRule>
    <cfRule type="cellIs" dxfId="1096" priority="1289" operator="equal">
      <formula>"EUR"</formula>
    </cfRule>
    <cfRule type="cellIs" dxfId="1095" priority="1290" operator="equal">
      <formula>"USD"</formula>
    </cfRule>
    <cfRule type="cellIs" dxfId="1094" priority="1291" operator="equal">
      <formula>"EGP"</formula>
    </cfRule>
  </conditionalFormatting>
  <conditionalFormatting sqref="I934">
    <cfRule type="containsBlanks" dxfId="1093" priority="1287">
      <formula>LEN(TRIM(I934))=0</formula>
    </cfRule>
  </conditionalFormatting>
  <conditionalFormatting sqref="J934">
    <cfRule type="cellIs" dxfId="1092" priority="1281" operator="equal">
      <formula>5</formula>
    </cfRule>
    <cfRule type="cellIs" dxfId="1091" priority="1282" operator="equal">
      <formula>0</formula>
    </cfRule>
    <cfRule type="cellIs" dxfId="1090" priority="1283" operator="equal">
      <formula>3</formula>
    </cfRule>
    <cfRule type="cellIs" dxfId="1089" priority="1284" operator="equal">
      <formula>2</formula>
    </cfRule>
    <cfRule type="cellIs" dxfId="1088" priority="1285" operator="equal">
      <formula>1</formula>
    </cfRule>
    <cfRule type="cellIs" dxfId="1087" priority="1286" operator="equal">
      <formula>4</formula>
    </cfRule>
  </conditionalFormatting>
  <conditionalFormatting sqref="F933">
    <cfRule type="dataBar" priority="1271">
      <dataBar>
        <cfvo type="min"/>
        <cfvo type="max"/>
        <color rgb="FF638EC6"/>
      </dataBar>
    </cfRule>
    <cfRule type="colorScale" priority="1272">
      <colorScale>
        <cfvo type="min"/>
        <cfvo type="percentile" val="50"/>
        <cfvo type="max"/>
        <color rgb="FFF8696B"/>
        <color rgb="FFFFEB84"/>
        <color rgb="FF63BE7B"/>
      </colorScale>
    </cfRule>
    <cfRule type="cellIs" dxfId="1086" priority="1273" operator="equal">
      <formula>"Cost of Sales"</formula>
    </cfRule>
    <cfRule type="cellIs" dxfId="1085" priority="1274" operator="equal">
      <formula>"Payroll"</formula>
    </cfRule>
    <cfRule type="cellIs" dxfId="1084" priority="1275" operator="equal">
      <formula>"Investment"</formula>
    </cfRule>
    <cfRule type="cellIs" dxfId="1083" priority="1276" operator="equal">
      <formula>"Sunk"</formula>
    </cfRule>
    <cfRule type="cellIs" dxfId="1082" priority="1277" operator="equal">
      <formula>"OpEx"</formula>
    </cfRule>
    <cfRule type="cellIs" dxfId="1081" priority="1278" operator="equal">
      <formula>"CapEx"</formula>
    </cfRule>
    <cfRule type="cellIs" dxfId="1080" priority="1279" operator="equal">
      <formula>"Income"</formula>
    </cfRule>
    <cfRule type="cellIs" dxfId="1079" priority="1280" operator="equal">
      <formula>"Tax"</formula>
    </cfRule>
  </conditionalFormatting>
  <conditionalFormatting sqref="H933">
    <cfRule type="cellIs" dxfId="1078" priority="1267" operator="equal">
      <formula>"GBP"</formula>
    </cfRule>
    <cfRule type="cellIs" dxfId="1077" priority="1268" operator="equal">
      <formula>"EUR"</formula>
    </cfRule>
    <cfRule type="cellIs" dxfId="1076" priority="1269" operator="equal">
      <formula>"USD"</formula>
    </cfRule>
    <cfRule type="cellIs" dxfId="1075" priority="1270" operator="equal">
      <formula>"EGP"</formula>
    </cfRule>
  </conditionalFormatting>
  <conditionalFormatting sqref="I933">
    <cfRule type="containsBlanks" dxfId="1074" priority="1266">
      <formula>LEN(TRIM(I933))=0</formula>
    </cfRule>
  </conditionalFormatting>
  <conditionalFormatting sqref="J933">
    <cfRule type="cellIs" dxfId="1073" priority="1260" operator="equal">
      <formula>5</formula>
    </cfRule>
    <cfRule type="cellIs" dxfId="1072" priority="1261" operator="equal">
      <formula>0</formula>
    </cfRule>
    <cfRule type="cellIs" dxfId="1071" priority="1262" operator="equal">
      <formula>3</formula>
    </cfRule>
    <cfRule type="cellIs" dxfId="1070" priority="1263" operator="equal">
      <formula>2</formula>
    </cfRule>
    <cfRule type="cellIs" dxfId="1069" priority="1264" operator="equal">
      <formula>1</formula>
    </cfRule>
    <cfRule type="cellIs" dxfId="1068" priority="1265" operator="equal">
      <formula>4</formula>
    </cfRule>
  </conditionalFormatting>
  <conditionalFormatting sqref="L933:L946">
    <cfRule type="colorScale" priority="1259">
      <colorScale>
        <cfvo type="min"/>
        <cfvo type="percentile" val="50"/>
        <cfvo type="max"/>
        <color rgb="FFF8696B"/>
        <color rgb="FFFFEB84"/>
        <color rgb="FF63BE7B"/>
      </colorScale>
    </cfRule>
  </conditionalFormatting>
  <conditionalFormatting sqref="M933:P946">
    <cfRule type="colorScale" priority="1258">
      <colorScale>
        <cfvo type="min"/>
        <cfvo type="percentile" val="50"/>
        <cfvo type="max"/>
        <color rgb="FFF8696B"/>
        <color rgb="FFFFEB84"/>
        <color rgb="FF63BE7B"/>
      </colorScale>
    </cfRule>
  </conditionalFormatting>
  <conditionalFormatting sqref="Q933:Q946">
    <cfRule type="colorScale" priority="1257">
      <colorScale>
        <cfvo type="min"/>
        <cfvo type="percentile" val="50"/>
        <cfvo type="max"/>
        <color rgb="FFF8696B"/>
        <color rgb="FFFFEB84"/>
        <color rgb="FF63BE7B"/>
      </colorScale>
    </cfRule>
  </conditionalFormatting>
  <conditionalFormatting sqref="R933:R934 R937:R946">
    <cfRule type="colorScale" priority="1256">
      <colorScale>
        <cfvo type="min"/>
        <cfvo type="percentile" val="50"/>
        <cfvo type="max"/>
        <color rgb="FFF8696B"/>
        <color rgb="FFFFEB84"/>
        <color rgb="FF63BE7B"/>
      </colorScale>
    </cfRule>
  </conditionalFormatting>
  <conditionalFormatting sqref="S933:S946">
    <cfRule type="colorScale" priority="1255">
      <colorScale>
        <cfvo type="min"/>
        <cfvo type="percentile" val="50"/>
        <cfvo type="max"/>
        <color rgb="FFF8696B"/>
        <color rgb="FFFFEB84"/>
        <color rgb="FF63BE7B"/>
      </colorScale>
    </cfRule>
  </conditionalFormatting>
  <conditionalFormatting sqref="F947">
    <cfRule type="dataBar" priority="1231">
      <dataBar>
        <cfvo type="min"/>
        <cfvo type="max"/>
        <color rgb="FF638EC6"/>
      </dataBar>
    </cfRule>
    <cfRule type="colorScale" priority="1232">
      <colorScale>
        <cfvo type="min"/>
        <cfvo type="percentile" val="50"/>
        <cfvo type="max"/>
        <color rgb="FFF8696B"/>
        <color rgb="FFFFEB84"/>
        <color rgb="FF63BE7B"/>
      </colorScale>
    </cfRule>
  </conditionalFormatting>
  <conditionalFormatting sqref="F947:F948">
    <cfRule type="cellIs" dxfId="1067" priority="1226" operator="equal">
      <formula>"Tax"</formula>
    </cfRule>
    <cfRule type="cellIs" dxfId="1066" priority="1233" operator="equal">
      <formula>"Cost of Sales"</formula>
    </cfRule>
    <cfRule type="cellIs" dxfId="1065" priority="1234" operator="equal">
      <formula>"Payroll"</formula>
    </cfRule>
    <cfRule type="cellIs" dxfId="1064" priority="1235" operator="equal">
      <formula>"Investment"</formula>
    </cfRule>
    <cfRule type="cellIs" dxfId="1063" priority="1236" operator="equal">
      <formula>"Sunk"</formula>
    </cfRule>
    <cfRule type="cellIs" dxfId="1062" priority="1237" operator="equal">
      <formula>"OpEx"</formula>
    </cfRule>
    <cfRule type="cellIs" dxfId="1061" priority="1238" operator="equal">
      <formula>"CapEx"</formula>
    </cfRule>
    <cfRule type="cellIs" dxfId="1060" priority="1239" operator="equal">
      <formula>"Income"</formula>
    </cfRule>
  </conditionalFormatting>
  <conditionalFormatting sqref="F948">
    <cfRule type="dataBar" priority="1221">
      <dataBar>
        <cfvo type="min"/>
        <cfvo type="max"/>
        <color rgb="FF638EC6"/>
      </dataBar>
    </cfRule>
    <cfRule type="colorScale" priority="1222">
      <colorScale>
        <cfvo type="min"/>
        <cfvo type="percentile" val="50"/>
        <cfvo type="max"/>
        <color rgb="FFF8696B"/>
        <color rgb="FFFFEB84"/>
        <color rgb="FF63BE7B"/>
      </colorScale>
    </cfRule>
    <cfRule type="cellIs" dxfId="1059" priority="1223" operator="equal">
      <formula>"Tax"</formula>
    </cfRule>
    <cfRule type="dataBar" priority="1224">
      <dataBar>
        <cfvo type="min"/>
        <cfvo type="max"/>
        <color rgb="FF638EC6"/>
      </dataBar>
    </cfRule>
    <cfRule type="colorScale" priority="1225">
      <colorScale>
        <cfvo type="min"/>
        <cfvo type="percentile" val="50"/>
        <cfvo type="max"/>
        <color rgb="FFF8696B"/>
        <color rgb="FFFFEB84"/>
        <color rgb="FF63BE7B"/>
      </colorScale>
    </cfRule>
  </conditionalFormatting>
  <conditionalFormatting sqref="F948:F949">
    <cfRule type="cellIs" dxfId="1058" priority="1213" operator="equal">
      <formula>"Income"</formula>
    </cfRule>
    <cfRule type="cellIs" dxfId="1057" priority="1214" operator="equal">
      <formula>"Cost of Sales"</formula>
    </cfRule>
    <cfRule type="cellIs" dxfId="1056" priority="1215" operator="equal">
      <formula>"Payroll"</formula>
    </cfRule>
    <cfRule type="cellIs" dxfId="1055" priority="1216" operator="equal">
      <formula>"Investment"</formula>
    </cfRule>
    <cfRule type="cellIs" dxfId="1054" priority="1217" operator="equal">
      <formula>"Sunk"</formula>
    </cfRule>
    <cfRule type="cellIs" dxfId="1053" priority="1218" operator="equal">
      <formula>"OpEx"</formula>
    </cfRule>
    <cfRule type="cellIs" dxfId="1052" priority="1219" operator="equal">
      <formula>"CapEx"</formula>
    </cfRule>
  </conditionalFormatting>
  <conditionalFormatting sqref="F949">
    <cfRule type="dataBar" priority="1210">
      <dataBar>
        <cfvo type="min"/>
        <cfvo type="max"/>
        <color rgb="FF638EC6"/>
      </dataBar>
    </cfRule>
    <cfRule type="colorScale" priority="1211">
      <colorScale>
        <cfvo type="min"/>
        <cfvo type="percentile" val="50"/>
        <cfvo type="max"/>
        <color rgb="FFF8696B"/>
        <color rgb="FFFFEB84"/>
        <color rgb="FF63BE7B"/>
      </colorScale>
    </cfRule>
    <cfRule type="cellIs" dxfId="1051" priority="1212" operator="equal">
      <formula>"Tax"</formula>
    </cfRule>
  </conditionalFormatting>
  <conditionalFormatting sqref="F950:F951 F955:F957">
    <cfRule type="dataBar" priority="1240">
      <dataBar>
        <cfvo type="min"/>
        <cfvo type="max"/>
        <color rgb="FF638EC6"/>
      </dataBar>
    </cfRule>
    <cfRule type="colorScale" priority="1241">
      <colorScale>
        <cfvo type="min"/>
        <cfvo type="percentile" val="50"/>
        <cfvo type="max"/>
        <color rgb="FFF8696B"/>
        <color rgb="FFFFEB84"/>
        <color rgb="FF63BE7B"/>
      </colorScale>
    </cfRule>
    <cfRule type="cellIs" dxfId="1050" priority="1242" operator="equal">
      <formula>"Tax"</formula>
    </cfRule>
  </conditionalFormatting>
  <conditionalFormatting sqref="F950:F951 F955:F957">
    <cfRule type="cellIs" dxfId="1049" priority="1243" operator="equal">
      <formula>"Income"</formula>
    </cfRule>
    <cfRule type="cellIs" dxfId="1048" priority="1244" operator="equal">
      <formula>"Cost of Sales"</formula>
    </cfRule>
    <cfRule type="cellIs" dxfId="1047" priority="1245" operator="equal">
      <formula>"Payroll"</formula>
    </cfRule>
    <cfRule type="cellIs" dxfId="1046" priority="1246" operator="equal">
      <formula>"Investment"</formula>
    </cfRule>
    <cfRule type="cellIs" dxfId="1045" priority="1247" operator="equal">
      <formula>"Sunk"</formula>
    </cfRule>
    <cfRule type="cellIs" dxfId="1044" priority="1248" operator="equal">
      <formula>"OpEx"</formula>
    </cfRule>
    <cfRule type="cellIs" dxfId="1043" priority="1249" operator="equal">
      <formula>"CapEx"</formula>
    </cfRule>
  </conditionalFormatting>
  <conditionalFormatting sqref="H947:H948">
    <cfRule type="cellIs" dxfId="1042" priority="1227" operator="equal">
      <formula>"GBP"</formula>
    </cfRule>
    <cfRule type="cellIs" dxfId="1041" priority="1228" operator="equal">
      <formula>"EUR"</formula>
    </cfRule>
    <cfRule type="cellIs" dxfId="1040" priority="1229" operator="equal">
      <formula>"USD"</formula>
    </cfRule>
    <cfRule type="cellIs" dxfId="1039" priority="1230" operator="equal">
      <formula>"EGP"</formula>
    </cfRule>
  </conditionalFormatting>
  <conditionalFormatting sqref="H950:H951 H957">
    <cfRule type="cellIs" dxfId="1038" priority="1250" operator="equal">
      <formula>"GBP"</formula>
    </cfRule>
    <cfRule type="cellIs" dxfId="1037" priority="1251" operator="equal">
      <formula>"EUR"</formula>
    </cfRule>
    <cfRule type="cellIs" dxfId="1036" priority="1252" operator="equal">
      <formula>"USD"</formula>
    </cfRule>
    <cfRule type="cellIs" dxfId="1035" priority="1253" operator="equal">
      <formula>"EGP"</formula>
    </cfRule>
  </conditionalFormatting>
  <conditionalFormatting sqref="I947:I951 I955:I957">
    <cfRule type="containsBlanks" dxfId="1034" priority="1254">
      <formula>LEN(TRIM(I947))=0</formula>
    </cfRule>
  </conditionalFormatting>
  <conditionalFormatting sqref="J947:J951 J955:J957">
    <cfRule type="cellIs" dxfId="1033" priority="1202" operator="equal">
      <formula>5</formula>
    </cfRule>
    <cfRule type="cellIs" dxfId="1032" priority="1203" operator="equal">
      <formula>0</formula>
    </cfRule>
    <cfRule type="cellIs" dxfId="1031" priority="1204" operator="equal">
      <formula>3</formula>
    </cfRule>
    <cfRule type="cellIs" dxfId="1030" priority="1205" operator="equal">
      <formula>2</formula>
    </cfRule>
    <cfRule type="cellIs" dxfId="1029" priority="1206" operator="equal">
      <formula>1</formula>
    </cfRule>
    <cfRule type="cellIs" dxfId="1028" priority="1207" operator="equal">
      <formula>4</formula>
    </cfRule>
  </conditionalFormatting>
  <conditionalFormatting sqref="L947:L948">
    <cfRule type="colorScale" priority="1220">
      <colorScale>
        <cfvo type="min"/>
        <cfvo type="percentile" val="50"/>
        <cfvo type="max"/>
        <color rgb="FFF8696B"/>
        <color rgb="FFFFEB84"/>
        <color rgb="FF63BE7B"/>
      </colorScale>
    </cfRule>
  </conditionalFormatting>
  <conditionalFormatting sqref="L949">
    <cfRule type="colorScale" priority="1209">
      <colorScale>
        <cfvo type="min"/>
        <cfvo type="percentile" val="50"/>
        <cfvo type="max"/>
        <color rgb="FFF8696B"/>
        <color rgb="FFFFEB84"/>
        <color rgb="FF63BE7B"/>
      </colorScale>
    </cfRule>
  </conditionalFormatting>
  <conditionalFormatting sqref="L950:L957">
    <cfRule type="colorScale" priority="1208">
      <colorScale>
        <cfvo type="min"/>
        <cfvo type="percentile" val="50"/>
        <cfvo type="max"/>
        <color rgb="FFF8696B"/>
        <color rgb="FFFFEB84"/>
        <color rgb="FF63BE7B"/>
      </colorScale>
    </cfRule>
  </conditionalFormatting>
  <conditionalFormatting sqref="F935">
    <cfRule type="cellIs" dxfId="1027" priority="1195" operator="equal">
      <formula>"Income"</formula>
    </cfRule>
    <cfRule type="cellIs" dxfId="1026" priority="1196" operator="equal">
      <formula>"Cost of Sales"</formula>
    </cfRule>
    <cfRule type="cellIs" dxfId="1025" priority="1197" operator="equal">
      <formula>"Payroll"</formula>
    </cfRule>
    <cfRule type="cellIs" dxfId="1024" priority="1198" operator="equal">
      <formula>"Investment"</formula>
    </cfRule>
    <cfRule type="cellIs" dxfId="1023" priority="1199" operator="equal">
      <formula>"Sunk"</formula>
    </cfRule>
    <cfRule type="cellIs" dxfId="1022" priority="1200" operator="equal">
      <formula>"OpEx"</formula>
    </cfRule>
    <cfRule type="cellIs" dxfId="1021" priority="1201" operator="equal">
      <formula>"CapEx"</formula>
    </cfRule>
  </conditionalFormatting>
  <conditionalFormatting sqref="F935">
    <cfRule type="cellIs" dxfId="1020" priority="1194" operator="equal">
      <formula>"Tax"</formula>
    </cfRule>
  </conditionalFormatting>
  <conditionalFormatting sqref="F935">
    <cfRule type="dataBar" priority="1191">
      <dataBar>
        <cfvo type="min"/>
        <cfvo type="max"/>
        <color rgb="FF638EC6"/>
      </dataBar>
    </cfRule>
    <cfRule type="colorScale" priority="1192">
      <colorScale>
        <cfvo type="min"/>
        <cfvo type="percentile" val="50"/>
        <cfvo type="max"/>
        <color rgb="FFF8696B"/>
        <color rgb="FFFFEB84"/>
        <color rgb="FF63BE7B"/>
      </colorScale>
    </cfRule>
    <cfRule type="cellIs" dxfId="1019" priority="1193" operator="equal">
      <formula>"Income"</formula>
    </cfRule>
  </conditionalFormatting>
  <conditionalFormatting sqref="F935">
    <cfRule type="dataBar" priority="1182">
      <dataBar>
        <cfvo type="min"/>
        <cfvo type="max"/>
        <color rgb="FF638EC6"/>
      </dataBar>
    </cfRule>
    <cfRule type="colorScale" priority="1183">
      <colorScale>
        <cfvo type="min"/>
        <cfvo type="percentile" val="50"/>
        <cfvo type="max"/>
        <color rgb="FFF8696B"/>
        <color rgb="FFFFEB84"/>
        <color rgb="FF63BE7B"/>
      </colorScale>
    </cfRule>
    <cfRule type="cellIs" dxfId="1018" priority="1184" operator="equal">
      <formula>"Tax"</formula>
    </cfRule>
    <cfRule type="cellIs" dxfId="1017" priority="1185" operator="equal">
      <formula>"Cost of Sales"</formula>
    </cfRule>
    <cfRule type="cellIs" dxfId="1016" priority="1186" operator="equal">
      <formula>"Payroll"</formula>
    </cfRule>
    <cfRule type="cellIs" dxfId="1015" priority="1187" operator="equal">
      <formula>"Investment"</formula>
    </cfRule>
    <cfRule type="cellIs" dxfId="1014" priority="1188" operator="equal">
      <formula>"Sunk"</formula>
    </cfRule>
    <cfRule type="cellIs" dxfId="1013" priority="1189" operator="equal">
      <formula>"OpEx"</formula>
    </cfRule>
    <cfRule type="cellIs" dxfId="1012" priority="1190" operator="equal">
      <formula>"CapEx"</formula>
    </cfRule>
  </conditionalFormatting>
  <conditionalFormatting sqref="H935">
    <cfRule type="cellIs" dxfId="1011" priority="1178" operator="equal">
      <formula>"GBP"</formula>
    </cfRule>
    <cfRule type="cellIs" dxfId="1010" priority="1179" operator="equal">
      <formula>"EUR"</formula>
    </cfRule>
    <cfRule type="cellIs" dxfId="1009" priority="1180" operator="equal">
      <formula>"USD"</formula>
    </cfRule>
    <cfRule type="cellIs" dxfId="1008" priority="1181" operator="equal">
      <formula>"EGP"</formula>
    </cfRule>
  </conditionalFormatting>
  <conditionalFormatting sqref="I935">
    <cfRule type="containsBlanks" dxfId="1007" priority="1177">
      <formula>LEN(TRIM(I935))=0</formula>
    </cfRule>
  </conditionalFormatting>
  <conditionalFormatting sqref="J935">
    <cfRule type="cellIs" dxfId="1006" priority="1171" operator="equal">
      <formula>5</formula>
    </cfRule>
    <cfRule type="cellIs" dxfId="1005" priority="1172" operator="equal">
      <formula>0</formula>
    </cfRule>
    <cfRule type="cellIs" dxfId="1004" priority="1173" operator="equal">
      <formula>3</formula>
    </cfRule>
    <cfRule type="cellIs" dxfId="1003" priority="1174" operator="equal">
      <formula>2</formula>
    </cfRule>
    <cfRule type="cellIs" dxfId="1002" priority="1175" operator="equal">
      <formula>1</formula>
    </cfRule>
    <cfRule type="cellIs" dxfId="1001" priority="1176" operator="equal">
      <formula>4</formula>
    </cfRule>
  </conditionalFormatting>
  <conditionalFormatting sqref="F936">
    <cfRule type="dataBar" priority="1169">
      <dataBar>
        <cfvo type="min"/>
        <cfvo type="max"/>
        <color rgb="FF638EC6"/>
      </dataBar>
    </cfRule>
    <cfRule type="colorScale" priority="1170">
      <colorScale>
        <cfvo type="min"/>
        <cfvo type="percentile" val="50"/>
        <cfvo type="max"/>
        <color rgb="FFF8696B"/>
        <color rgb="FFFFEB84"/>
        <color rgb="FF63BE7B"/>
      </colorScale>
    </cfRule>
  </conditionalFormatting>
  <conditionalFormatting sqref="F936">
    <cfRule type="cellIs" dxfId="1000" priority="1161" operator="equal">
      <formula>"Tax"</formula>
    </cfRule>
    <cfRule type="cellIs" dxfId="999" priority="1162" operator="equal">
      <formula>"Cost of Sales"</formula>
    </cfRule>
    <cfRule type="cellIs" dxfId="998" priority="1163" operator="equal">
      <formula>"Payroll"</formula>
    </cfRule>
    <cfRule type="cellIs" dxfId="997" priority="1164" operator="equal">
      <formula>"Investment"</formula>
    </cfRule>
    <cfRule type="cellIs" dxfId="996" priority="1165" operator="equal">
      <formula>"Sunk"</formula>
    </cfRule>
    <cfRule type="cellIs" dxfId="995" priority="1166" operator="equal">
      <formula>"OpEx"</formula>
    </cfRule>
    <cfRule type="cellIs" dxfId="994" priority="1167" operator="equal">
      <formula>"CapEx"</formula>
    </cfRule>
    <cfRule type="cellIs" dxfId="993" priority="1168" operator="equal">
      <formula>"Income"</formula>
    </cfRule>
  </conditionalFormatting>
  <conditionalFormatting sqref="H936">
    <cfRule type="cellIs" dxfId="992" priority="1156" operator="equal">
      <formula>"GBP"</formula>
    </cfRule>
    <cfRule type="cellIs" dxfId="991" priority="1157" operator="equal">
      <formula>"USD"</formula>
    </cfRule>
    <cfRule type="cellIs" dxfId="990" priority="1158" operator="equal">
      <formula>"EGP"</formula>
    </cfRule>
    <cfRule type="cellIs" dxfId="989" priority="1159" operator="equal">
      <formula>"EUR"</formula>
    </cfRule>
  </conditionalFormatting>
  <conditionalFormatting sqref="I936">
    <cfRule type="containsBlanks" dxfId="988" priority="1160">
      <formula>LEN(TRIM(I936))=0</formula>
    </cfRule>
  </conditionalFormatting>
  <conditionalFormatting sqref="J936">
    <cfRule type="cellIs" dxfId="987" priority="1150" operator="equal">
      <formula>5</formula>
    </cfRule>
    <cfRule type="cellIs" dxfId="986" priority="1151" operator="equal">
      <formula>0</formula>
    </cfRule>
    <cfRule type="cellIs" dxfId="985" priority="1152" operator="equal">
      <formula>3</formula>
    </cfRule>
    <cfRule type="cellIs" dxfId="984" priority="1153" operator="equal">
      <formula>2</formula>
    </cfRule>
    <cfRule type="cellIs" dxfId="983" priority="1154" operator="equal">
      <formula>1</formula>
    </cfRule>
    <cfRule type="cellIs" dxfId="982" priority="1155" operator="equal">
      <formula>4</formula>
    </cfRule>
  </conditionalFormatting>
  <conditionalFormatting sqref="F937">
    <cfRule type="cellIs" dxfId="981" priority="1143" operator="equal">
      <formula>"Income"</formula>
    </cfRule>
    <cfRule type="cellIs" dxfId="980" priority="1144" operator="equal">
      <formula>"Cost of Sales"</formula>
    </cfRule>
    <cfRule type="cellIs" dxfId="979" priority="1145" operator="equal">
      <formula>"Payroll"</formula>
    </cfRule>
    <cfRule type="cellIs" dxfId="978" priority="1146" operator="equal">
      <formula>"Investment"</formula>
    </cfRule>
    <cfRule type="cellIs" dxfId="977" priority="1147" operator="equal">
      <formula>"Sunk"</formula>
    </cfRule>
    <cfRule type="cellIs" dxfId="976" priority="1148" operator="equal">
      <formula>"OpEx"</formula>
    </cfRule>
    <cfRule type="cellIs" dxfId="975" priority="1149" operator="equal">
      <formula>"CapEx"</formula>
    </cfRule>
  </conditionalFormatting>
  <conditionalFormatting sqref="F937">
    <cfRule type="cellIs" dxfId="974" priority="1142" operator="equal">
      <formula>"Tax"</formula>
    </cfRule>
  </conditionalFormatting>
  <conditionalFormatting sqref="F937">
    <cfRule type="dataBar" priority="1139">
      <dataBar>
        <cfvo type="min"/>
        <cfvo type="max"/>
        <color rgb="FF638EC6"/>
      </dataBar>
    </cfRule>
    <cfRule type="colorScale" priority="1140">
      <colorScale>
        <cfvo type="min"/>
        <cfvo type="percentile" val="50"/>
        <cfvo type="max"/>
        <color rgb="FFF8696B"/>
        <color rgb="FFFFEB84"/>
        <color rgb="FF63BE7B"/>
      </colorScale>
    </cfRule>
    <cfRule type="cellIs" dxfId="973" priority="1141" operator="equal">
      <formula>"Income"</formula>
    </cfRule>
  </conditionalFormatting>
  <conditionalFormatting sqref="F937">
    <cfRule type="dataBar" priority="1130">
      <dataBar>
        <cfvo type="min"/>
        <cfvo type="max"/>
        <color rgb="FF638EC6"/>
      </dataBar>
    </cfRule>
    <cfRule type="colorScale" priority="1131">
      <colorScale>
        <cfvo type="min"/>
        <cfvo type="percentile" val="50"/>
        <cfvo type="max"/>
        <color rgb="FFF8696B"/>
        <color rgb="FFFFEB84"/>
        <color rgb="FF63BE7B"/>
      </colorScale>
    </cfRule>
    <cfRule type="cellIs" dxfId="972" priority="1132" operator="equal">
      <formula>"Tax"</formula>
    </cfRule>
    <cfRule type="cellIs" dxfId="971" priority="1133" operator="equal">
      <formula>"Cost of Sales"</formula>
    </cfRule>
    <cfRule type="cellIs" dxfId="970" priority="1134" operator="equal">
      <formula>"Payroll"</formula>
    </cfRule>
    <cfRule type="cellIs" dxfId="969" priority="1135" operator="equal">
      <formula>"Investment"</formula>
    </cfRule>
    <cfRule type="cellIs" dxfId="968" priority="1136" operator="equal">
      <formula>"Sunk"</formula>
    </cfRule>
    <cfRule type="cellIs" dxfId="967" priority="1137" operator="equal">
      <formula>"OpEx"</formula>
    </cfRule>
    <cfRule type="cellIs" dxfId="966" priority="1138" operator="equal">
      <formula>"CapEx"</formula>
    </cfRule>
  </conditionalFormatting>
  <conditionalFormatting sqref="H937">
    <cfRule type="cellIs" dxfId="965" priority="1126" operator="equal">
      <formula>"GBP"</formula>
    </cfRule>
    <cfRule type="cellIs" dxfId="964" priority="1127" operator="equal">
      <formula>"EUR"</formula>
    </cfRule>
    <cfRule type="cellIs" dxfId="963" priority="1128" operator="equal">
      <formula>"USD"</formula>
    </cfRule>
    <cfRule type="cellIs" dxfId="962" priority="1129" operator="equal">
      <formula>"EGP"</formula>
    </cfRule>
  </conditionalFormatting>
  <conditionalFormatting sqref="I937">
    <cfRule type="containsBlanks" dxfId="961" priority="1125">
      <formula>LEN(TRIM(I937))=0</formula>
    </cfRule>
  </conditionalFormatting>
  <conditionalFormatting sqref="J937">
    <cfRule type="cellIs" dxfId="960" priority="1119" operator="equal">
      <formula>5</formula>
    </cfRule>
    <cfRule type="cellIs" dxfId="959" priority="1120" operator="equal">
      <formula>0</formula>
    </cfRule>
    <cfRule type="cellIs" dxfId="958" priority="1121" operator="equal">
      <formula>3</formula>
    </cfRule>
    <cfRule type="cellIs" dxfId="957" priority="1122" operator="equal">
      <formula>2</formula>
    </cfRule>
    <cfRule type="cellIs" dxfId="956" priority="1123" operator="equal">
      <formula>1</formula>
    </cfRule>
    <cfRule type="cellIs" dxfId="955" priority="1124" operator="equal">
      <formula>4</formula>
    </cfRule>
  </conditionalFormatting>
  <conditionalFormatting sqref="F938">
    <cfRule type="dataBar" priority="1117">
      <dataBar>
        <cfvo type="min"/>
        <cfvo type="max"/>
        <color rgb="FF638EC6"/>
      </dataBar>
    </cfRule>
    <cfRule type="colorScale" priority="1118">
      <colorScale>
        <cfvo type="min"/>
        <cfvo type="percentile" val="50"/>
        <cfvo type="max"/>
        <color rgb="FFF8696B"/>
        <color rgb="FFFFEB84"/>
        <color rgb="FF63BE7B"/>
      </colorScale>
    </cfRule>
  </conditionalFormatting>
  <conditionalFormatting sqref="F938">
    <cfRule type="cellIs" dxfId="954" priority="1109" operator="equal">
      <formula>"Tax"</formula>
    </cfRule>
    <cfRule type="cellIs" dxfId="953" priority="1110" operator="equal">
      <formula>"Cost of Sales"</formula>
    </cfRule>
    <cfRule type="cellIs" dxfId="952" priority="1111" operator="equal">
      <formula>"Payroll"</formula>
    </cfRule>
    <cfRule type="cellIs" dxfId="951" priority="1112" operator="equal">
      <formula>"Investment"</formula>
    </cfRule>
    <cfRule type="cellIs" dxfId="950" priority="1113" operator="equal">
      <formula>"Sunk"</formula>
    </cfRule>
    <cfRule type="cellIs" dxfId="949" priority="1114" operator="equal">
      <formula>"OpEx"</formula>
    </cfRule>
    <cfRule type="cellIs" dxfId="948" priority="1115" operator="equal">
      <formula>"CapEx"</formula>
    </cfRule>
    <cfRule type="cellIs" dxfId="947" priority="1116" operator="equal">
      <formula>"Income"</formula>
    </cfRule>
  </conditionalFormatting>
  <conditionalFormatting sqref="H938">
    <cfRule type="cellIs" dxfId="946" priority="1104" operator="equal">
      <formula>"GBP"</formula>
    </cfRule>
    <cfRule type="cellIs" dxfId="945" priority="1105" operator="equal">
      <formula>"USD"</formula>
    </cfRule>
    <cfRule type="cellIs" dxfId="944" priority="1106" operator="equal">
      <formula>"EGP"</formula>
    </cfRule>
    <cfRule type="cellIs" dxfId="943" priority="1107" operator="equal">
      <formula>"EUR"</formula>
    </cfRule>
  </conditionalFormatting>
  <conditionalFormatting sqref="I938">
    <cfRule type="containsBlanks" dxfId="942" priority="1108">
      <formula>LEN(TRIM(I938))=0</formula>
    </cfRule>
  </conditionalFormatting>
  <conditionalFormatting sqref="J938">
    <cfRule type="cellIs" dxfId="941" priority="1098" operator="equal">
      <formula>5</formula>
    </cfRule>
    <cfRule type="cellIs" dxfId="940" priority="1099" operator="equal">
      <formula>0</formula>
    </cfRule>
    <cfRule type="cellIs" dxfId="939" priority="1100" operator="equal">
      <formula>3</formula>
    </cfRule>
    <cfRule type="cellIs" dxfId="938" priority="1101" operator="equal">
      <formula>2</formula>
    </cfRule>
    <cfRule type="cellIs" dxfId="937" priority="1102" operator="equal">
      <formula>1</formula>
    </cfRule>
    <cfRule type="cellIs" dxfId="936" priority="1103" operator="equal">
      <formula>4</formula>
    </cfRule>
  </conditionalFormatting>
  <conditionalFormatting sqref="R935:R936">
    <cfRule type="colorScale" priority="1097">
      <colorScale>
        <cfvo type="min"/>
        <cfvo type="percentile" val="50"/>
        <cfvo type="max"/>
        <color rgb="FFF8696B"/>
        <color rgb="FFFFEB84"/>
        <color rgb="FF63BE7B"/>
      </colorScale>
    </cfRule>
  </conditionalFormatting>
  <conditionalFormatting sqref="F939">
    <cfRule type="cellIs" dxfId="935" priority="1090" operator="equal">
      <formula>"Income"</formula>
    </cfRule>
    <cfRule type="cellIs" dxfId="934" priority="1091" operator="equal">
      <formula>"Cost of Sales"</formula>
    </cfRule>
    <cfRule type="cellIs" dxfId="933" priority="1092" operator="equal">
      <formula>"Payroll"</formula>
    </cfRule>
    <cfRule type="cellIs" dxfId="932" priority="1093" operator="equal">
      <formula>"Investment"</formula>
    </cfRule>
    <cfRule type="cellIs" dxfId="931" priority="1094" operator="equal">
      <formula>"Sunk"</formula>
    </cfRule>
    <cfRule type="cellIs" dxfId="930" priority="1095" operator="equal">
      <formula>"OpEx"</formula>
    </cfRule>
    <cfRule type="cellIs" dxfId="929" priority="1096" operator="equal">
      <formula>"CapEx"</formula>
    </cfRule>
  </conditionalFormatting>
  <conditionalFormatting sqref="F939">
    <cfRule type="cellIs" dxfId="928" priority="1089" operator="equal">
      <formula>"Tax"</formula>
    </cfRule>
  </conditionalFormatting>
  <conditionalFormatting sqref="F939">
    <cfRule type="dataBar" priority="1086">
      <dataBar>
        <cfvo type="min"/>
        <cfvo type="max"/>
        <color rgb="FF638EC6"/>
      </dataBar>
    </cfRule>
    <cfRule type="colorScale" priority="1087">
      <colorScale>
        <cfvo type="min"/>
        <cfvo type="percentile" val="50"/>
        <cfvo type="max"/>
        <color rgb="FFF8696B"/>
        <color rgb="FFFFEB84"/>
        <color rgb="FF63BE7B"/>
      </colorScale>
    </cfRule>
    <cfRule type="cellIs" dxfId="927" priority="1088" operator="equal">
      <formula>"Income"</formula>
    </cfRule>
  </conditionalFormatting>
  <conditionalFormatting sqref="F939">
    <cfRule type="dataBar" priority="1077">
      <dataBar>
        <cfvo type="min"/>
        <cfvo type="max"/>
        <color rgb="FF638EC6"/>
      </dataBar>
    </cfRule>
    <cfRule type="colorScale" priority="1078">
      <colorScale>
        <cfvo type="min"/>
        <cfvo type="percentile" val="50"/>
        <cfvo type="max"/>
        <color rgb="FFF8696B"/>
        <color rgb="FFFFEB84"/>
        <color rgb="FF63BE7B"/>
      </colorScale>
    </cfRule>
    <cfRule type="cellIs" dxfId="926" priority="1079" operator="equal">
      <formula>"Tax"</formula>
    </cfRule>
    <cfRule type="cellIs" dxfId="925" priority="1080" operator="equal">
      <formula>"Cost of Sales"</formula>
    </cfRule>
    <cfRule type="cellIs" dxfId="924" priority="1081" operator="equal">
      <formula>"Payroll"</formula>
    </cfRule>
    <cfRule type="cellIs" dxfId="923" priority="1082" operator="equal">
      <formula>"Investment"</formula>
    </cfRule>
    <cfRule type="cellIs" dxfId="922" priority="1083" operator="equal">
      <formula>"Sunk"</formula>
    </cfRule>
    <cfRule type="cellIs" dxfId="921" priority="1084" operator="equal">
      <formula>"OpEx"</formula>
    </cfRule>
    <cfRule type="cellIs" dxfId="920" priority="1085" operator="equal">
      <formula>"CapEx"</formula>
    </cfRule>
  </conditionalFormatting>
  <conditionalFormatting sqref="H939">
    <cfRule type="cellIs" dxfId="919" priority="1073" operator="equal">
      <formula>"GBP"</formula>
    </cfRule>
    <cfRule type="cellIs" dxfId="918" priority="1074" operator="equal">
      <formula>"EUR"</formula>
    </cfRule>
    <cfRule type="cellIs" dxfId="917" priority="1075" operator="equal">
      <formula>"USD"</formula>
    </cfRule>
    <cfRule type="cellIs" dxfId="916" priority="1076" operator="equal">
      <formula>"EGP"</formula>
    </cfRule>
  </conditionalFormatting>
  <conditionalFormatting sqref="I939">
    <cfRule type="containsBlanks" dxfId="915" priority="1072">
      <formula>LEN(TRIM(I939))=0</formula>
    </cfRule>
  </conditionalFormatting>
  <conditionalFormatting sqref="J939">
    <cfRule type="cellIs" dxfId="914" priority="1066" operator="equal">
      <formula>5</formula>
    </cfRule>
    <cfRule type="cellIs" dxfId="913" priority="1067" operator="equal">
      <formula>0</formula>
    </cfRule>
    <cfRule type="cellIs" dxfId="912" priority="1068" operator="equal">
      <formula>3</formula>
    </cfRule>
    <cfRule type="cellIs" dxfId="911" priority="1069" operator="equal">
      <formula>2</formula>
    </cfRule>
    <cfRule type="cellIs" dxfId="910" priority="1070" operator="equal">
      <formula>1</formula>
    </cfRule>
    <cfRule type="cellIs" dxfId="909" priority="1071" operator="equal">
      <formula>4</formula>
    </cfRule>
  </conditionalFormatting>
  <conditionalFormatting sqref="F940">
    <cfRule type="dataBar" priority="1064">
      <dataBar>
        <cfvo type="min"/>
        <cfvo type="max"/>
        <color rgb="FF638EC6"/>
      </dataBar>
    </cfRule>
    <cfRule type="colorScale" priority="1065">
      <colorScale>
        <cfvo type="min"/>
        <cfvo type="percentile" val="50"/>
        <cfvo type="max"/>
        <color rgb="FFF8696B"/>
        <color rgb="FFFFEB84"/>
        <color rgb="FF63BE7B"/>
      </colorScale>
    </cfRule>
  </conditionalFormatting>
  <conditionalFormatting sqref="F940">
    <cfRule type="cellIs" dxfId="908" priority="1056" operator="equal">
      <formula>"Tax"</formula>
    </cfRule>
    <cfRule type="cellIs" dxfId="907" priority="1057" operator="equal">
      <formula>"Cost of Sales"</formula>
    </cfRule>
    <cfRule type="cellIs" dxfId="906" priority="1058" operator="equal">
      <formula>"Payroll"</formula>
    </cfRule>
    <cfRule type="cellIs" dxfId="905" priority="1059" operator="equal">
      <formula>"Investment"</formula>
    </cfRule>
    <cfRule type="cellIs" dxfId="904" priority="1060" operator="equal">
      <formula>"Sunk"</formula>
    </cfRule>
    <cfRule type="cellIs" dxfId="903" priority="1061" operator="equal">
      <formula>"OpEx"</formula>
    </cfRule>
    <cfRule type="cellIs" dxfId="902" priority="1062" operator="equal">
      <formula>"CapEx"</formula>
    </cfRule>
    <cfRule type="cellIs" dxfId="901" priority="1063" operator="equal">
      <formula>"Income"</formula>
    </cfRule>
  </conditionalFormatting>
  <conditionalFormatting sqref="H940">
    <cfRule type="cellIs" dxfId="900" priority="1051" operator="equal">
      <formula>"GBP"</formula>
    </cfRule>
    <cfRule type="cellIs" dxfId="899" priority="1052" operator="equal">
      <formula>"USD"</formula>
    </cfRule>
    <cfRule type="cellIs" dxfId="898" priority="1053" operator="equal">
      <formula>"EGP"</formula>
    </cfRule>
    <cfRule type="cellIs" dxfId="897" priority="1054" operator="equal">
      <formula>"EUR"</formula>
    </cfRule>
  </conditionalFormatting>
  <conditionalFormatting sqref="I940">
    <cfRule type="containsBlanks" dxfId="896" priority="1055">
      <formula>LEN(TRIM(I940))=0</formula>
    </cfRule>
  </conditionalFormatting>
  <conditionalFormatting sqref="J940">
    <cfRule type="cellIs" dxfId="895" priority="1045" operator="equal">
      <formula>5</formula>
    </cfRule>
    <cfRule type="cellIs" dxfId="894" priority="1046" operator="equal">
      <formula>0</formula>
    </cfRule>
    <cfRule type="cellIs" dxfId="893" priority="1047" operator="equal">
      <formula>3</formula>
    </cfRule>
    <cfRule type="cellIs" dxfId="892" priority="1048" operator="equal">
      <formula>2</formula>
    </cfRule>
    <cfRule type="cellIs" dxfId="891" priority="1049" operator="equal">
      <formula>1</formula>
    </cfRule>
    <cfRule type="cellIs" dxfId="890" priority="1050" operator="equal">
      <formula>4</formula>
    </cfRule>
  </conditionalFormatting>
  <conditionalFormatting sqref="F941">
    <cfRule type="cellIs" dxfId="889" priority="1038" operator="equal">
      <formula>"Income"</formula>
    </cfRule>
    <cfRule type="cellIs" dxfId="888" priority="1039" operator="equal">
      <formula>"Cost of Sales"</formula>
    </cfRule>
    <cfRule type="cellIs" dxfId="887" priority="1040" operator="equal">
      <formula>"Payroll"</formula>
    </cfRule>
    <cfRule type="cellIs" dxfId="886" priority="1041" operator="equal">
      <formula>"Investment"</formula>
    </cfRule>
    <cfRule type="cellIs" dxfId="885" priority="1042" operator="equal">
      <formula>"Sunk"</formula>
    </cfRule>
    <cfRule type="cellIs" dxfId="884" priority="1043" operator="equal">
      <formula>"OpEx"</formula>
    </cfRule>
    <cfRule type="cellIs" dxfId="883" priority="1044" operator="equal">
      <formula>"CapEx"</formula>
    </cfRule>
  </conditionalFormatting>
  <conditionalFormatting sqref="F941">
    <cfRule type="cellIs" dxfId="882" priority="1037" operator="equal">
      <formula>"Tax"</formula>
    </cfRule>
  </conditionalFormatting>
  <conditionalFormatting sqref="F941">
    <cfRule type="dataBar" priority="1034">
      <dataBar>
        <cfvo type="min"/>
        <cfvo type="max"/>
        <color rgb="FF638EC6"/>
      </dataBar>
    </cfRule>
    <cfRule type="colorScale" priority="1035">
      <colorScale>
        <cfvo type="min"/>
        <cfvo type="percentile" val="50"/>
        <cfvo type="max"/>
        <color rgb="FFF8696B"/>
        <color rgb="FFFFEB84"/>
        <color rgb="FF63BE7B"/>
      </colorScale>
    </cfRule>
    <cfRule type="cellIs" dxfId="881" priority="1036" operator="equal">
      <formula>"Income"</formula>
    </cfRule>
  </conditionalFormatting>
  <conditionalFormatting sqref="F941">
    <cfRule type="dataBar" priority="1025">
      <dataBar>
        <cfvo type="min"/>
        <cfvo type="max"/>
        <color rgb="FF638EC6"/>
      </dataBar>
    </cfRule>
    <cfRule type="colorScale" priority="1026">
      <colorScale>
        <cfvo type="min"/>
        <cfvo type="percentile" val="50"/>
        <cfvo type="max"/>
        <color rgb="FFF8696B"/>
        <color rgb="FFFFEB84"/>
        <color rgb="FF63BE7B"/>
      </colorScale>
    </cfRule>
    <cfRule type="cellIs" dxfId="880" priority="1027" operator="equal">
      <formula>"Tax"</formula>
    </cfRule>
    <cfRule type="cellIs" dxfId="879" priority="1028" operator="equal">
      <formula>"Cost of Sales"</formula>
    </cfRule>
    <cfRule type="cellIs" dxfId="878" priority="1029" operator="equal">
      <formula>"Payroll"</formula>
    </cfRule>
    <cfRule type="cellIs" dxfId="877" priority="1030" operator="equal">
      <formula>"Investment"</formula>
    </cfRule>
    <cfRule type="cellIs" dxfId="876" priority="1031" operator="equal">
      <formula>"Sunk"</formula>
    </cfRule>
    <cfRule type="cellIs" dxfId="875" priority="1032" operator="equal">
      <formula>"OpEx"</formula>
    </cfRule>
    <cfRule type="cellIs" dxfId="874" priority="1033" operator="equal">
      <formula>"CapEx"</formula>
    </cfRule>
  </conditionalFormatting>
  <conditionalFormatting sqref="H941">
    <cfRule type="cellIs" dxfId="873" priority="1021" operator="equal">
      <formula>"GBP"</formula>
    </cfRule>
    <cfRule type="cellIs" dxfId="872" priority="1022" operator="equal">
      <formula>"EUR"</formula>
    </cfRule>
    <cfRule type="cellIs" dxfId="871" priority="1023" operator="equal">
      <formula>"USD"</formula>
    </cfRule>
    <cfRule type="cellIs" dxfId="870" priority="1024" operator="equal">
      <formula>"EGP"</formula>
    </cfRule>
  </conditionalFormatting>
  <conditionalFormatting sqref="I941">
    <cfRule type="containsBlanks" dxfId="869" priority="1020">
      <formula>LEN(TRIM(I941))=0</formula>
    </cfRule>
  </conditionalFormatting>
  <conditionalFormatting sqref="J941">
    <cfRule type="cellIs" dxfId="868" priority="1014" operator="equal">
      <formula>5</formula>
    </cfRule>
    <cfRule type="cellIs" dxfId="867" priority="1015" operator="equal">
      <formula>0</formula>
    </cfRule>
    <cfRule type="cellIs" dxfId="866" priority="1016" operator="equal">
      <formula>3</formula>
    </cfRule>
    <cfRule type="cellIs" dxfId="865" priority="1017" operator="equal">
      <formula>2</formula>
    </cfRule>
    <cfRule type="cellIs" dxfId="864" priority="1018" operator="equal">
      <formula>1</formula>
    </cfRule>
    <cfRule type="cellIs" dxfId="863" priority="1019" operator="equal">
      <formula>4</formula>
    </cfRule>
  </conditionalFormatting>
  <conditionalFormatting sqref="F942">
    <cfRule type="dataBar" priority="1012">
      <dataBar>
        <cfvo type="min"/>
        <cfvo type="max"/>
        <color rgb="FF638EC6"/>
      </dataBar>
    </cfRule>
    <cfRule type="colorScale" priority="1013">
      <colorScale>
        <cfvo type="min"/>
        <cfvo type="percentile" val="50"/>
        <cfvo type="max"/>
        <color rgb="FFF8696B"/>
        <color rgb="FFFFEB84"/>
        <color rgb="FF63BE7B"/>
      </colorScale>
    </cfRule>
  </conditionalFormatting>
  <conditionalFormatting sqref="F942">
    <cfRule type="cellIs" dxfId="862" priority="1004" operator="equal">
      <formula>"Tax"</formula>
    </cfRule>
    <cfRule type="cellIs" dxfId="861" priority="1005" operator="equal">
      <formula>"Cost of Sales"</formula>
    </cfRule>
    <cfRule type="cellIs" dxfId="860" priority="1006" operator="equal">
      <formula>"Payroll"</formula>
    </cfRule>
    <cfRule type="cellIs" dxfId="859" priority="1007" operator="equal">
      <formula>"Investment"</formula>
    </cfRule>
    <cfRule type="cellIs" dxfId="858" priority="1008" operator="equal">
      <formula>"Sunk"</formula>
    </cfRule>
    <cfRule type="cellIs" dxfId="857" priority="1009" operator="equal">
      <formula>"OpEx"</formula>
    </cfRule>
    <cfRule type="cellIs" dxfId="856" priority="1010" operator="equal">
      <formula>"CapEx"</formula>
    </cfRule>
    <cfRule type="cellIs" dxfId="855" priority="1011" operator="equal">
      <formula>"Income"</formula>
    </cfRule>
  </conditionalFormatting>
  <conditionalFormatting sqref="H942">
    <cfRule type="cellIs" dxfId="854" priority="999" operator="equal">
      <formula>"GBP"</formula>
    </cfRule>
    <cfRule type="cellIs" dxfId="853" priority="1000" operator="equal">
      <formula>"USD"</formula>
    </cfRule>
    <cfRule type="cellIs" dxfId="852" priority="1001" operator="equal">
      <formula>"EGP"</formula>
    </cfRule>
    <cfRule type="cellIs" dxfId="851" priority="1002" operator="equal">
      <formula>"EUR"</formula>
    </cfRule>
  </conditionalFormatting>
  <conditionalFormatting sqref="I942">
    <cfRule type="containsBlanks" dxfId="850" priority="1003">
      <formula>LEN(TRIM(I942))=0</formula>
    </cfRule>
  </conditionalFormatting>
  <conditionalFormatting sqref="J942">
    <cfRule type="cellIs" dxfId="849" priority="993" operator="equal">
      <formula>5</formula>
    </cfRule>
    <cfRule type="cellIs" dxfId="848" priority="994" operator="equal">
      <formula>0</formula>
    </cfRule>
    <cfRule type="cellIs" dxfId="847" priority="995" operator="equal">
      <formula>3</formula>
    </cfRule>
    <cfRule type="cellIs" dxfId="846" priority="996" operator="equal">
      <formula>2</formula>
    </cfRule>
    <cfRule type="cellIs" dxfId="845" priority="997" operator="equal">
      <formula>1</formula>
    </cfRule>
    <cfRule type="cellIs" dxfId="844" priority="998" operator="equal">
      <formula>4</formula>
    </cfRule>
  </conditionalFormatting>
  <conditionalFormatting sqref="F943">
    <cfRule type="cellIs" dxfId="843" priority="986" operator="equal">
      <formula>"Income"</formula>
    </cfRule>
    <cfRule type="cellIs" dxfId="842" priority="987" operator="equal">
      <formula>"Cost of Sales"</formula>
    </cfRule>
    <cfRule type="cellIs" dxfId="841" priority="988" operator="equal">
      <formula>"Payroll"</formula>
    </cfRule>
    <cfRule type="cellIs" dxfId="840" priority="989" operator="equal">
      <formula>"Investment"</formula>
    </cfRule>
    <cfRule type="cellIs" dxfId="839" priority="990" operator="equal">
      <formula>"Sunk"</formula>
    </cfRule>
    <cfRule type="cellIs" dxfId="838" priority="991" operator="equal">
      <formula>"OpEx"</formula>
    </cfRule>
    <cfRule type="cellIs" dxfId="837" priority="992" operator="equal">
      <formula>"CapEx"</formula>
    </cfRule>
  </conditionalFormatting>
  <conditionalFormatting sqref="F943">
    <cfRule type="cellIs" dxfId="836" priority="985" operator="equal">
      <formula>"Tax"</formula>
    </cfRule>
  </conditionalFormatting>
  <conditionalFormatting sqref="F943">
    <cfRule type="dataBar" priority="982">
      <dataBar>
        <cfvo type="min"/>
        <cfvo type="max"/>
        <color rgb="FF638EC6"/>
      </dataBar>
    </cfRule>
    <cfRule type="colorScale" priority="983">
      <colorScale>
        <cfvo type="min"/>
        <cfvo type="percentile" val="50"/>
        <cfvo type="max"/>
        <color rgb="FFF8696B"/>
        <color rgb="FFFFEB84"/>
        <color rgb="FF63BE7B"/>
      </colorScale>
    </cfRule>
    <cfRule type="cellIs" dxfId="835" priority="984" operator="equal">
      <formula>"Income"</formula>
    </cfRule>
  </conditionalFormatting>
  <conditionalFormatting sqref="F943">
    <cfRule type="dataBar" priority="973">
      <dataBar>
        <cfvo type="min"/>
        <cfvo type="max"/>
        <color rgb="FF638EC6"/>
      </dataBar>
    </cfRule>
    <cfRule type="colorScale" priority="974">
      <colorScale>
        <cfvo type="min"/>
        <cfvo type="percentile" val="50"/>
        <cfvo type="max"/>
        <color rgb="FFF8696B"/>
        <color rgb="FFFFEB84"/>
        <color rgb="FF63BE7B"/>
      </colorScale>
    </cfRule>
    <cfRule type="cellIs" dxfId="834" priority="975" operator="equal">
      <formula>"Tax"</formula>
    </cfRule>
    <cfRule type="cellIs" dxfId="833" priority="976" operator="equal">
      <formula>"Cost of Sales"</formula>
    </cfRule>
    <cfRule type="cellIs" dxfId="832" priority="977" operator="equal">
      <formula>"Payroll"</formula>
    </cfRule>
    <cfRule type="cellIs" dxfId="831" priority="978" operator="equal">
      <formula>"Investment"</formula>
    </cfRule>
    <cfRule type="cellIs" dxfId="830" priority="979" operator="equal">
      <formula>"Sunk"</formula>
    </cfRule>
    <cfRule type="cellIs" dxfId="829" priority="980" operator="equal">
      <formula>"OpEx"</formula>
    </cfRule>
    <cfRule type="cellIs" dxfId="828" priority="981" operator="equal">
      <formula>"CapEx"</formula>
    </cfRule>
  </conditionalFormatting>
  <conditionalFormatting sqref="H943">
    <cfRule type="cellIs" dxfId="827" priority="969" operator="equal">
      <formula>"GBP"</formula>
    </cfRule>
    <cfRule type="cellIs" dxfId="826" priority="970" operator="equal">
      <formula>"EUR"</formula>
    </cfRule>
    <cfRule type="cellIs" dxfId="825" priority="971" operator="equal">
      <formula>"USD"</formula>
    </cfRule>
    <cfRule type="cellIs" dxfId="824" priority="972" operator="equal">
      <formula>"EGP"</formula>
    </cfRule>
  </conditionalFormatting>
  <conditionalFormatting sqref="I943">
    <cfRule type="containsBlanks" dxfId="823" priority="968">
      <formula>LEN(TRIM(I943))=0</formula>
    </cfRule>
  </conditionalFormatting>
  <conditionalFormatting sqref="J943">
    <cfRule type="cellIs" dxfId="822" priority="962" operator="equal">
      <formula>5</formula>
    </cfRule>
    <cfRule type="cellIs" dxfId="821" priority="963" operator="equal">
      <formula>0</formula>
    </cfRule>
    <cfRule type="cellIs" dxfId="820" priority="964" operator="equal">
      <formula>3</formula>
    </cfRule>
    <cfRule type="cellIs" dxfId="819" priority="965" operator="equal">
      <formula>2</formula>
    </cfRule>
    <cfRule type="cellIs" dxfId="818" priority="966" operator="equal">
      <formula>1</formula>
    </cfRule>
    <cfRule type="cellIs" dxfId="817" priority="967" operator="equal">
      <formula>4</formula>
    </cfRule>
  </conditionalFormatting>
  <conditionalFormatting sqref="F944">
    <cfRule type="dataBar" priority="960">
      <dataBar>
        <cfvo type="min"/>
        <cfvo type="max"/>
        <color rgb="FF638EC6"/>
      </dataBar>
    </cfRule>
    <cfRule type="colorScale" priority="961">
      <colorScale>
        <cfvo type="min"/>
        <cfvo type="percentile" val="50"/>
        <cfvo type="max"/>
        <color rgb="FFF8696B"/>
        <color rgb="FFFFEB84"/>
        <color rgb="FF63BE7B"/>
      </colorScale>
    </cfRule>
  </conditionalFormatting>
  <conditionalFormatting sqref="F944">
    <cfRule type="cellIs" dxfId="816" priority="952" operator="equal">
      <formula>"Tax"</formula>
    </cfRule>
    <cfRule type="cellIs" dxfId="815" priority="953" operator="equal">
      <formula>"Cost of Sales"</formula>
    </cfRule>
    <cfRule type="cellIs" dxfId="814" priority="954" operator="equal">
      <formula>"Payroll"</formula>
    </cfRule>
    <cfRule type="cellIs" dxfId="813" priority="955" operator="equal">
      <formula>"Investment"</formula>
    </cfRule>
    <cfRule type="cellIs" dxfId="812" priority="956" operator="equal">
      <formula>"Sunk"</formula>
    </cfRule>
    <cfRule type="cellIs" dxfId="811" priority="957" operator="equal">
      <formula>"OpEx"</formula>
    </cfRule>
    <cfRule type="cellIs" dxfId="810" priority="958" operator="equal">
      <formula>"CapEx"</formula>
    </cfRule>
    <cfRule type="cellIs" dxfId="809" priority="959" operator="equal">
      <formula>"Income"</formula>
    </cfRule>
  </conditionalFormatting>
  <conditionalFormatting sqref="H944">
    <cfRule type="cellIs" dxfId="808" priority="947" operator="equal">
      <formula>"GBP"</formula>
    </cfRule>
    <cfRule type="cellIs" dxfId="807" priority="948" operator="equal">
      <formula>"USD"</formula>
    </cfRule>
    <cfRule type="cellIs" dxfId="806" priority="949" operator="equal">
      <formula>"EGP"</formula>
    </cfRule>
    <cfRule type="cellIs" dxfId="805" priority="950" operator="equal">
      <formula>"EUR"</formula>
    </cfRule>
  </conditionalFormatting>
  <conditionalFormatting sqref="I944">
    <cfRule type="containsBlanks" dxfId="804" priority="951">
      <formula>LEN(TRIM(I944))=0</formula>
    </cfRule>
  </conditionalFormatting>
  <conditionalFormatting sqref="J944">
    <cfRule type="cellIs" dxfId="803" priority="941" operator="equal">
      <formula>5</formula>
    </cfRule>
    <cfRule type="cellIs" dxfId="802" priority="942" operator="equal">
      <formula>0</formula>
    </cfRule>
    <cfRule type="cellIs" dxfId="801" priority="943" operator="equal">
      <formula>3</formula>
    </cfRule>
    <cfRule type="cellIs" dxfId="800" priority="944" operator="equal">
      <formula>2</formula>
    </cfRule>
    <cfRule type="cellIs" dxfId="799" priority="945" operator="equal">
      <formula>1</formula>
    </cfRule>
    <cfRule type="cellIs" dxfId="798" priority="946" operator="equal">
      <formula>4</formula>
    </cfRule>
  </conditionalFormatting>
  <conditionalFormatting sqref="F945">
    <cfRule type="cellIs" dxfId="797" priority="934" operator="equal">
      <formula>"Income"</formula>
    </cfRule>
    <cfRule type="cellIs" dxfId="796" priority="935" operator="equal">
      <formula>"Cost of Sales"</formula>
    </cfRule>
    <cfRule type="cellIs" dxfId="795" priority="936" operator="equal">
      <formula>"Payroll"</formula>
    </cfRule>
    <cfRule type="cellIs" dxfId="794" priority="937" operator="equal">
      <formula>"Investment"</formula>
    </cfRule>
    <cfRule type="cellIs" dxfId="793" priority="938" operator="equal">
      <formula>"Sunk"</formula>
    </cfRule>
    <cfRule type="cellIs" dxfId="792" priority="939" operator="equal">
      <formula>"OpEx"</formula>
    </cfRule>
    <cfRule type="cellIs" dxfId="791" priority="940" operator="equal">
      <formula>"CapEx"</formula>
    </cfRule>
  </conditionalFormatting>
  <conditionalFormatting sqref="F945">
    <cfRule type="cellIs" dxfId="790" priority="933" operator="equal">
      <formula>"Tax"</formula>
    </cfRule>
  </conditionalFormatting>
  <conditionalFormatting sqref="F945">
    <cfRule type="dataBar" priority="930">
      <dataBar>
        <cfvo type="min"/>
        <cfvo type="max"/>
        <color rgb="FF638EC6"/>
      </dataBar>
    </cfRule>
    <cfRule type="colorScale" priority="931">
      <colorScale>
        <cfvo type="min"/>
        <cfvo type="percentile" val="50"/>
        <cfvo type="max"/>
        <color rgb="FFF8696B"/>
        <color rgb="FFFFEB84"/>
        <color rgb="FF63BE7B"/>
      </colorScale>
    </cfRule>
    <cfRule type="cellIs" dxfId="789" priority="932" operator="equal">
      <formula>"Income"</formula>
    </cfRule>
  </conditionalFormatting>
  <conditionalFormatting sqref="F945">
    <cfRule type="dataBar" priority="921">
      <dataBar>
        <cfvo type="min"/>
        <cfvo type="max"/>
        <color rgb="FF638EC6"/>
      </dataBar>
    </cfRule>
    <cfRule type="colorScale" priority="922">
      <colorScale>
        <cfvo type="min"/>
        <cfvo type="percentile" val="50"/>
        <cfvo type="max"/>
        <color rgb="FFF8696B"/>
        <color rgb="FFFFEB84"/>
        <color rgb="FF63BE7B"/>
      </colorScale>
    </cfRule>
    <cfRule type="cellIs" dxfId="788" priority="923" operator="equal">
      <formula>"Tax"</formula>
    </cfRule>
    <cfRule type="cellIs" dxfId="787" priority="924" operator="equal">
      <formula>"Cost of Sales"</formula>
    </cfRule>
    <cfRule type="cellIs" dxfId="786" priority="925" operator="equal">
      <formula>"Payroll"</formula>
    </cfRule>
    <cfRule type="cellIs" dxfId="785" priority="926" operator="equal">
      <formula>"Investment"</formula>
    </cfRule>
    <cfRule type="cellIs" dxfId="784" priority="927" operator="equal">
      <formula>"Sunk"</formula>
    </cfRule>
    <cfRule type="cellIs" dxfId="783" priority="928" operator="equal">
      <formula>"OpEx"</formula>
    </cfRule>
    <cfRule type="cellIs" dxfId="782" priority="929" operator="equal">
      <formula>"CapEx"</formula>
    </cfRule>
  </conditionalFormatting>
  <conditionalFormatting sqref="H945">
    <cfRule type="cellIs" dxfId="781" priority="917" operator="equal">
      <formula>"GBP"</formula>
    </cfRule>
    <cfRule type="cellIs" dxfId="780" priority="918" operator="equal">
      <formula>"EUR"</formula>
    </cfRule>
    <cfRule type="cellIs" dxfId="779" priority="919" operator="equal">
      <formula>"USD"</formula>
    </cfRule>
    <cfRule type="cellIs" dxfId="778" priority="920" operator="equal">
      <formula>"EGP"</formula>
    </cfRule>
  </conditionalFormatting>
  <conditionalFormatting sqref="I945">
    <cfRule type="containsBlanks" dxfId="777" priority="916">
      <formula>LEN(TRIM(I945))=0</formula>
    </cfRule>
  </conditionalFormatting>
  <conditionalFormatting sqref="J945">
    <cfRule type="cellIs" dxfId="776" priority="910" operator="equal">
      <formula>5</formula>
    </cfRule>
    <cfRule type="cellIs" dxfId="775" priority="911" operator="equal">
      <formula>0</formula>
    </cfRule>
    <cfRule type="cellIs" dxfId="774" priority="912" operator="equal">
      <formula>3</formula>
    </cfRule>
    <cfRule type="cellIs" dxfId="773" priority="913" operator="equal">
      <formula>2</formula>
    </cfRule>
    <cfRule type="cellIs" dxfId="772" priority="914" operator="equal">
      <formula>1</formula>
    </cfRule>
    <cfRule type="cellIs" dxfId="771" priority="915" operator="equal">
      <formula>4</formula>
    </cfRule>
  </conditionalFormatting>
  <conditionalFormatting sqref="F946">
    <cfRule type="dataBar" priority="908">
      <dataBar>
        <cfvo type="min"/>
        <cfvo type="max"/>
        <color rgb="FF638EC6"/>
      </dataBar>
    </cfRule>
    <cfRule type="colorScale" priority="909">
      <colorScale>
        <cfvo type="min"/>
        <cfvo type="percentile" val="50"/>
        <cfvo type="max"/>
        <color rgb="FFF8696B"/>
        <color rgb="FFFFEB84"/>
        <color rgb="FF63BE7B"/>
      </colorScale>
    </cfRule>
  </conditionalFormatting>
  <conditionalFormatting sqref="F946">
    <cfRule type="cellIs" dxfId="770" priority="900" operator="equal">
      <formula>"Tax"</formula>
    </cfRule>
    <cfRule type="cellIs" dxfId="769" priority="901" operator="equal">
      <formula>"Cost of Sales"</formula>
    </cfRule>
    <cfRule type="cellIs" dxfId="768" priority="902" operator="equal">
      <formula>"Payroll"</formula>
    </cfRule>
    <cfRule type="cellIs" dxfId="767" priority="903" operator="equal">
      <formula>"Investment"</formula>
    </cfRule>
    <cfRule type="cellIs" dxfId="766" priority="904" operator="equal">
      <formula>"Sunk"</formula>
    </cfRule>
    <cfRule type="cellIs" dxfId="765" priority="905" operator="equal">
      <formula>"OpEx"</formula>
    </cfRule>
    <cfRule type="cellIs" dxfId="764" priority="906" operator="equal">
      <formula>"CapEx"</formula>
    </cfRule>
    <cfRule type="cellIs" dxfId="763" priority="907" operator="equal">
      <formula>"Income"</formula>
    </cfRule>
  </conditionalFormatting>
  <conditionalFormatting sqref="H946">
    <cfRule type="cellIs" dxfId="762" priority="895" operator="equal">
      <formula>"GBP"</formula>
    </cfRule>
    <cfRule type="cellIs" dxfId="761" priority="896" operator="equal">
      <formula>"USD"</formula>
    </cfRule>
    <cfRule type="cellIs" dxfId="760" priority="897" operator="equal">
      <formula>"EGP"</formula>
    </cfRule>
    <cfRule type="cellIs" dxfId="759" priority="898" operator="equal">
      <formula>"EUR"</formula>
    </cfRule>
  </conditionalFormatting>
  <conditionalFormatting sqref="I946">
    <cfRule type="containsBlanks" dxfId="758" priority="899">
      <formula>LEN(TRIM(I946))=0</formula>
    </cfRule>
  </conditionalFormatting>
  <conditionalFormatting sqref="J946">
    <cfRule type="cellIs" dxfId="757" priority="889" operator="equal">
      <formula>5</formula>
    </cfRule>
    <cfRule type="cellIs" dxfId="756" priority="890" operator="equal">
      <formula>0</formula>
    </cfRule>
    <cfRule type="cellIs" dxfId="755" priority="891" operator="equal">
      <formula>3</formula>
    </cfRule>
    <cfRule type="cellIs" dxfId="754" priority="892" operator="equal">
      <formula>2</formula>
    </cfRule>
    <cfRule type="cellIs" dxfId="753" priority="893" operator="equal">
      <formula>1</formula>
    </cfRule>
    <cfRule type="cellIs" dxfId="752" priority="894" operator="equal">
      <formula>4</formula>
    </cfRule>
  </conditionalFormatting>
  <conditionalFormatting sqref="F952">
    <cfRule type="cellIs" dxfId="751" priority="883" operator="equal">
      <formula>"Cost of Sales"</formula>
    </cfRule>
    <cfRule type="cellIs" dxfId="750" priority="884" operator="equal">
      <formula>"Payroll"</formula>
    </cfRule>
    <cfRule type="cellIs" dxfId="749" priority="885" operator="equal">
      <formula>"Investment"</formula>
    </cfRule>
    <cfRule type="cellIs" dxfId="748" priority="886" operator="equal">
      <formula>"Sunk"</formula>
    </cfRule>
    <cfRule type="cellIs" dxfId="747" priority="887" operator="equal">
      <formula>"OpEx"</formula>
    </cfRule>
    <cfRule type="cellIs" dxfId="746" priority="888" operator="equal">
      <formula>"CapEx"</formula>
    </cfRule>
  </conditionalFormatting>
  <conditionalFormatting sqref="F952">
    <cfRule type="cellIs" dxfId="745" priority="882" operator="equal">
      <formula>"Income"</formula>
    </cfRule>
  </conditionalFormatting>
  <conditionalFormatting sqref="F952">
    <cfRule type="cellIs" dxfId="744" priority="881" operator="equal">
      <formula>"Tax"</formula>
    </cfRule>
  </conditionalFormatting>
  <conditionalFormatting sqref="F953">
    <cfRule type="dataBar" priority="876">
      <dataBar>
        <cfvo type="min"/>
        <cfvo type="max"/>
        <color rgb="FF638EC6"/>
      </dataBar>
    </cfRule>
    <cfRule type="colorScale" priority="877">
      <colorScale>
        <cfvo type="min"/>
        <cfvo type="percentile" val="50"/>
        <cfvo type="max"/>
        <color rgb="FFF8696B"/>
        <color rgb="FFFFEB84"/>
        <color rgb="FF63BE7B"/>
      </colorScale>
    </cfRule>
    <cfRule type="cellIs" dxfId="743" priority="878" operator="equal">
      <formula>"Tax"</formula>
    </cfRule>
  </conditionalFormatting>
  <conditionalFormatting sqref="F953:F954">
    <cfRule type="cellIs" dxfId="742" priority="869" operator="equal">
      <formula>"Income"</formula>
    </cfRule>
    <cfRule type="cellIs" dxfId="741" priority="870" operator="equal">
      <formula>"Cost of Sales"</formula>
    </cfRule>
    <cfRule type="cellIs" dxfId="740" priority="871" operator="equal">
      <formula>"Payroll"</formula>
    </cfRule>
    <cfRule type="cellIs" dxfId="739" priority="872" operator="equal">
      <formula>"Investment"</formula>
    </cfRule>
    <cfRule type="cellIs" dxfId="738" priority="873" operator="equal">
      <formula>"Sunk"</formula>
    </cfRule>
    <cfRule type="cellIs" dxfId="737" priority="874" operator="equal">
      <formula>"OpEx"</formula>
    </cfRule>
    <cfRule type="cellIs" dxfId="736" priority="875" operator="equal">
      <formula>"CapEx"</formula>
    </cfRule>
  </conditionalFormatting>
  <conditionalFormatting sqref="F954">
    <cfRule type="dataBar" priority="866">
      <dataBar>
        <cfvo type="min"/>
        <cfvo type="max"/>
        <color rgb="FF638EC6"/>
      </dataBar>
    </cfRule>
    <cfRule type="colorScale" priority="867">
      <colorScale>
        <cfvo type="min"/>
        <cfvo type="percentile" val="50"/>
        <cfvo type="max"/>
        <color rgb="FFF8696B"/>
        <color rgb="FFFFEB84"/>
        <color rgb="FF63BE7B"/>
      </colorScale>
    </cfRule>
    <cfRule type="cellIs" dxfId="735" priority="868" operator="equal">
      <formula>"Tax"</formula>
    </cfRule>
  </conditionalFormatting>
  <conditionalFormatting sqref="F952">
    <cfRule type="dataBar" priority="879">
      <dataBar>
        <cfvo type="min"/>
        <cfvo type="max"/>
        <color rgb="FF638EC6"/>
      </dataBar>
    </cfRule>
    <cfRule type="colorScale" priority="880">
      <colorScale>
        <cfvo type="min"/>
        <cfvo type="percentile" val="50"/>
        <cfvo type="max"/>
        <color rgb="FFF8696B"/>
        <color rgb="FFFFEB84"/>
        <color rgb="FF63BE7B"/>
      </colorScale>
    </cfRule>
  </conditionalFormatting>
  <conditionalFormatting sqref="H952:H954">
    <cfRule type="cellIs" dxfId="734" priority="862" operator="equal">
      <formula>"GBP"</formula>
    </cfRule>
    <cfRule type="cellIs" dxfId="733" priority="863" operator="equal">
      <formula>"EUR"</formula>
    </cfRule>
    <cfRule type="cellIs" dxfId="732" priority="864" operator="equal">
      <formula>"USD"</formula>
    </cfRule>
    <cfRule type="cellIs" dxfId="731" priority="865" operator="equal">
      <formula>"EGP"</formula>
    </cfRule>
  </conditionalFormatting>
  <conditionalFormatting sqref="I952:I954">
    <cfRule type="containsBlanks" dxfId="730" priority="861">
      <formula>LEN(TRIM(I952))=0</formula>
    </cfRule>
  </conditionalFormatting>
  <conditionalFormatting sqref="J952:J954">
    <cfRule type="cellIs" dxfId="729" priority="855" operator="equal">
      <formula>5</formula>
    </cfRule>
    <cfRule type="cellIs" dxfId="728" priority="856" operator="equal">
      <formula>0</formula>
    </cfRule>
    <cfRule type="cellIs" dxfId="727" priority="857" operator="equal">
      <formula>3</formula>
    </cfRule>
    <cfRule type="cellIs" dxfId="726" priority="858" operator="equal">
      <formula>2</formula>
    </cfRule>
    <cfRule type="cellIs" dxfId="725" priority="859" operator="equal">
      <formula>1</formula>
    </cfRule>
    <cfRule type="cellIs" dxfId="724" priority="860" operator="equal">
      <formula>4</formula>
    </cfRule>
  </conditionalFormatting>
  <conditionalFormatting sqref="H956">
    <cfRule type="cellIs" dxfId="723" priority="851" operator="equal">
      <formula>"GBP"</formula>
    </cfRule>
    <cfRule type="cellIs" dxfId="722" priority="852" operator="equal">
      <formula>"EUR"</formula>
    </cfRule>
    <cfRule type="cellIs" dxfId="721" priority="853" operator="equal">
      <formula>"USD"</formula>
    </cfRule>
    <cfRule type="cellIs" dxfId="720" priority="854" operator="equal">
      <formula>"EGP"</formula>
    </cfRule>
  </conditionalFormatting>
  <conditionalFormatting sqref="H955">
    <cfRule type="cellIs" dxfId="719" priority="847" operator="equal">
      <formula>"GBP"</formula>
    </cfRule>
    <cfRule type="cellIs" dxfId="718" priority="848" operator="equal">
      <formula>"EUR"</formula>
    </cfRule>
    <cfRule type="cellIs" dxfId="717" priority="849" operator="equal">
      <formula>"USD"</formula>
    </cfRule>
    <cfRule type="cellIs" dxfId="716" priority="850" operator="equal">
      <formula>"EGP"</formula>
    </cfRule>
  </conditionalFormatting>
  <conditionalFormatting sqref="F958">
    <cfRule type="cellIs" dxfId="715" priority="840" operator="equal">
      <formula>"Income"</formula>
    </cfRule>
    <cfRule type="cellIs" dxfId="714" priority="841" operator="equal">
      <formula>"Cost of Sales"</formula>
    </cfRule>
    <cfRule type="cellIs" dxfId="713" priority="842" operator="equal">
      <formula>"Payroll"</formula>
    </cfRule>
    <cfRule type="cellIs" dxfId="712" priority="843" operator="equal">
      <formula>"Investment"</formula>
    </cfRule>
    <cfRule type="cellIs" dxfId="711" priority="844" operator="equal">
      <formula>"Sunk"</formula>
    </cfRule>
    <cfRule type="cellIs" dxfId="710" priority="845" operator="equal">
      <formula>"OpEx"</formula>
    </cfRule>
    <cfRule type="cellIs" dxfId="709" priority="846" operator="equal">
      <formula>"CapEx"</formula>
    </cfRule>
  </conditionalFormatting>
  <conditionalFormatting sqref="F958">
    <cfRule type="dataBar" priority="837">
      <dataBar>
        <cfvo type="min"/>
        <cfvo type="max"/>
        <color rgb="FF638EC6"/>
      </dataBar>
    </cfRule>
    <cfRule type="colorScale" priority="838">
      <colorScale>
        <cfvo type="min"/>
        <cfvo type="percentile" val="50"/>
        <cfvo type="max"/>
        <color rgb="FFF8696B"/>
        <color rgb="FFFFEB84"/>
        <color rgb="FF63BE7B"/>
      </colorScale>
    </cfRule>
    <cfRule type="cellIs" dxfId="708" priority="839" operator="equal">
      <formula>"Tax"</formula>
    </cfRule>
  </conditionalFormatting>
  <conditionalFormatting sqref="H958">
    <cfRule type="cellIs" dxfId="707" priority="833" operator="equal">
      <formula>"GBP"</formula>
    </cfRule>
    <cfRule type="cellIs" dxfId="706" priority="834" operator="equal">
      <formula>"EUR"</formula>
    </cfRule>
    <cfRule type="cellIs" dxfId="705" priority="835" operator="equal">
      <formula>"USD"</formula>
    </cfRule>
    <cfRule type="cellIs" dxfId="704" priority="836" operator="equal">
      <formula>"EGP"</formula>
    </cfRule>
  </conditionalFormatting>
  <conditionalFormatting sqref="I958">
    <cfRule type="containsBlanks" dxfId="703" priority="832">
      <formula>LEN(TRIM(I958))=0</formula>
    </cfRule>
  </conditionalFormatting>
  <conditionalFormatting sqref="J958">
    <cfRule type="cellIs" dxfId="702" priority="826" operator="equal">
      <formula>5</formula>
    </cfRule>
    <cfRule type="cellIs" dxfId="701" priority="827" operator="equal">
      <formula>0</formula>
    </cfRule>
    <cfRule type="cellIs" dxfId="700" priority="828" operator="equal">
      <formula>3</formula>
    </cfRule>
    <cfRule type="cellIs" dxfId="699" priority="829" operator="equal">
      <formula>2</formula>
    </cfRule>
    <cfRule type="cellIs" dxfId="698" priority="830" operator="equal">
      <formula>1</formula>
    </cfRule>
    <cfRule type="cellIs" dxfId="697" priority="831" operator="equal">
      <formula>4</formula>
    </cfRule>
  </conditionalFormatting>
  <conditionalFormatting sqref="L958">
    <cfRule type="colorScale" priority="825">
      <colorScale>
        <cfvo type="min"/>
        <cfvo type="percentile" val="50"/>
        <cfvo type="max"/>
        <color rgb="FFF8696B"/>
        <color rgb="FFFFEB84"/>
        <color rgb="FF63BE7B"/>
      </colorScale>
    </cfRule>
  </conditionalFormatting>
  <conditionalFormatting sqref="F959">
    <cfRule type="cellIs" dxfId="696" priority="808" operator="equal">
      <formula>"Tax"</formula>
    </cfRule>
    <cfRule type="cellIs" dxfId="695" priority="809" operator="equal">
      <formula>"Income"</formula>
    </cfRule>
    <cfRule type="cellIs" dxfId="694" priority="810" operator="equal">
      <formula>"Cost of Sales"</formula>
    </cfRule>
    <cfRule type="cellIs" dxfId="693" priority="811" operator="equal">
      <formula>"Payroll"</formula>
    </cfRule>
    <cfRule type="cellIs" dxfId="692" priority="812" operator="equal">
      <formula>"Investment"</formula>
    </cfRule>
    <cfRule type="cellIs" dxfId="691" priority="813" operator="equal">
      <formula>"Sunk"</formula>
    </cfRule>
    <cfRule type="cellIs" dxfId="690" priority="814" operator="equal">
      <formula>"OpEx"</formula>
    </cfRule>
    <cfRule type="cellIs" dxfId="689" priority="815" operator="equal">
      <formula>"CapEx"</formula>
    </cfRule>
    <cfRule type="cellIs" dxfId="688" priority="816" operator="equal">
      <formula>"Tax"</formula>
    </cfRule>
    <cfRule type="cellIs" dxfId="687" priority="817" operator="equal">
      <formula>"Income"</formula>
    </cfRule>
    <cfRule type="cellIs" dxfId="686" priority="818" operator="equal">
      <formula>"Tax"</formula>
    </cfRule>
    <cfRule type="cellIs" dxfId="685" priority="819" operator="equal">
      <formula>"Cost of Sales"</formula>
    </cfRule>
    <cfRule type="cellIs" dxfId="684" priority="820" operator="equal">
      <formula>"Payroll"</formula>
    </cfRule>
    <cfRule type="cellIs" dxfId="683" priority="821" operator="equal">
      <formula>"Investment"</formula>
    </cfRule>
    <cfRule type="cellIs" dxfId="682" priority="822" operator="equal">
      <formula>"Sunk"</formula>
    </cfRule>
    <cfRule type="cellIs" dxfId="681" priority="823" operator="equal">
      <formula>"OpEx"</formula>
    </cfRule>
    <cfRule type="cellIs" dxfId="680" priority="824" operator="equal">
      <formula>"CapEx"</formula>
    </cfRule>
  </conditionalFormatting>
  <conditionalFormatting sqref="F959">
    <cfRule type="cellIs" dxfId="679" priority="801" operator="equal">
      <formula>"Income"</formula>
    </cfRule>
    <cfRule type="cellIs" dxfId="678" priority="802" operator="equal">
      <formula>"Cost of Sales"</formula>
    </cfRule>
    <cfRule type="cellIs" dxfId="677" priority="803" operator="equal">
      <formula>"Payroll"</formula>
    </cfRule>
    <cfRule type="cellIs" dxfId="676" priority="804" operator="equal">
      <formula>"Investment"</formula>
    </cfRule>
    <cfRule type="cellIs" dxfId="675" priority="805" operator="equal">
      <formula>"Sunk"</formula>
    </cfRule>
    <cfRule type="cellIs" dxfId="674" priority="806" operator="equal">
      <formula>"OpEx"</formula>
    </cfRule>
    <cfRule type="cellIs" dxfId="673" priority="807" operator="equal">
      <formula>"CapEx"</formula>
    </cfRule>
  </conditionalFormatting>
  <conditionalFormatting sqref="F959">
    <cfRule type="dataBar" priority="795">
      <dataBar>
        <cfvo type="min"/>
        <cfvo type="max"/>
        <color rgb="FF638EC6"/>
      </dataBar>
    </cfRule>
    <cfRule type="colorScale" priority="796">
      <colorScale>
        <cfvo type="min"/>
        <cfvo type="percentile" val="50"/>
        <cfvo type="max"/>
        <color rgb="FFF8696B"/>
        <color rgb="FFFFEB84"/>
        <color rgb="FF63BE7B"/>
      </colorScale>
    </cfRule>
    <cfRule type="dataBar" priority="797">
      <dataBar>
        <cfvo type="min"/>
        <cfvo type="max"/>
        <color rgb="FF638EC6"/>
      </dataBar>
    </cfRule>
    <cfRule type="colorScale" priority="798">
      <colorScale>
        <cfvo type="min"/>
        <cfvo type="percentile" val="50"/>
        <cfvo type="max"/>
        <color rgb="FFF8696B"/>
        <color rgb="FFFFEB84"/>
        <color rgb="FF63BE7B"/>
      </colorScale>
    </cfRule>
    <cfRule type="dataBar" priority="799">
      <dataBar>
        <cfvo type="min"/>
        <cfvo type="max"/>
        <color rgb="FF638EC6"/>
      </dataBar>
    </cfRule>
    <cfRule type="colorScale" priority="800">
      <colorScale>
        <cfvo type="min"/>
        <cfvo type="percentile" val="50"/>
        <cfvo type="max"/>
        <color rgb="FFF8696B"/>
        <color rgb="FFFFEB84"/>
        <color rgb="FF63BE7B"/>
      </colorScale>
    </cfRule>
  </conditionalFormatting>
  <conditionalFormatting sqref="H959">
    <cfRule type="cellIs" dxfId="672" priority="791" operator="equal">
      <formula>"GBP"</formula>
    </cfRule>
    <cfRule type="cellIs" dxfId="671" priority="792" operator="equal">
      <formula>"EUR"</formula>
    </cfRule>
    <cfRule type="cellIs" dxfId="670" priority="793" operator="equal">
      <formula>"USD"</formula>
    </cfRule>
    <cfRule type="cellIs" dxfId="669" priority="794" operator="equal">
      <formula>"EGP"</formula>
    </cfRule>
  </conditionalFormatting>
  <conditionalFormatting sqref="I959">
    <cfRule type="containsBlanks" dxfId="668" priority="790">
      <formula>LEN(TRIM(I959))=0</formula>
    </cfRule>
  </conditionalFormatting>
  <conditionalFormatting sqref="J959">
    <cfRule type="cellIs" dxfId="667" priority="784" operator="equal">
      <formula>5</formula>
    </cfRule>
    <cfRule type="cellIs" dxfId="666" priority="785" operator="equal">
      <formula>0</formula>
    </cfRule>
    <cfRule type="cellIs" dxfId="665" priority="786" operator="equal">
      <formula>3</formula>
    </cfRule>
    <cfRule type="cellIs" dxfId="664" priority="787" operator="equal">
      <formula>2</formula>
    </cfRule>
    <cfRule type="cellIs" dxfId="663" priority="788" operator="equal">
      <formula>1</formula>
    </cfRule>
    <cfRule type="cellIs" dxfId="662" priority="789" operator="equal">
      <formula>4</formula>
    </cfRule>
  </conditionalFormatting>
  <conditionalFormatting sqref="L959">
    <cfRule type="colorScale" priority="783">
      <colorScale>
        <cfvo type="min"/>
        <cfvo type="percentile" val="50"/>
        <cfvo type="max"/>
        <color rgb="FFF8696B"/>
        <color rgb="FFFFEB84"/>
        <color rgb="FF63BE7B"/>
      </colorScale>
    </cfRule>
  </conditionalFormatting>
  <conditionalFormatting sqref="F960">
    <cfRule type="dataBar" priority="775">
      <dataBar>
        <cfvo type="min"/>
        <cfvo type="max"/>
        <color rgb="FF638EC6"/>
      </dataBar>
    </cfRule>
    <cfRule type="colorScale" priority="776">
      <colorScale>
        <cfvo type="min"/>
        <cfvo type="percentile" val="50"/>
        <cfvo type="max"/>
        <color rgb="FFF8696B"/>
        <color rgb="FFFFEB84"/>
        <color rgb="FF63BE7B"/>
      </colorScale>
    </cfRule>
    <cfRule type="cellIs" dxfId="661" priority="777" operator="equal">
      <formula>"Cost of Sales"</formula>
    </cfRule>
    <cfRule type="cellIs" dxfId="660" priority="778" operator="equal">
      <formula>"Payroll"</formula>
    </cfRule>
    <cfRule type="cellIs" dxfId="659" priority="779" operator="equal">
      <formula>"Investment"</formula>
    </cfRule>
    <cfRule type="cellIs" dxfId="658" priority="780" operator="equal">
      <formula>"Sunk"</formula>
    </cfRule>
    <cfRule type="cellIs" dxfId="657" priority="781" operator="equal">
      <formula>"OpEx"</formula>
    </cfRule>
    <cfRule type="cellIs" dxfId="656" priority="782" operator="equal">
      <formula>"CapEx"</formula>
    </cfRule>
  </conditionalFormatting>
  <conditionalFormatting sqref="F960:F961">
    <cfRule type="cellIs" dxfId="655" priority="773" operator="equal">
      <formula>"Tax"</formula>
    </cfRule>
    <cfRule type="cellIs" dxfId="654" priority="774" operator="equal">
      <formula>"Income"</formula>
    </cfRule>
  </conditionalFormatting>
  <conditionalFormatting sqref="F961">
    <cfRule type="dataBar" priority="771">
      <dataBar>
        <cfvo type="min"/>
        <cfvo type="max"/>
        <color rgb="FF638EC6"/>
      </dataBar>
    </cfRule>
    <cfRule type="colorScale" priority="772">
      <colorScale>
        <cfvo type="min"/>
        <cfvo type="percentile" val="50"/>
        <cfvo type="max"/>
        <color rgb="FFF8696B"/>
        <color rgb="FFFFEB84"/>
        <color rgb="FF63BE7B"/>
      </colorScale>
    </cfRule>
  </conditionalFormatting>
  <conditionalFormatting sqref="F961">
    <cfRule type="cellIs" dxfId="653" priority="765" operator="equal">
      <formula>"Cost of Sales"</formula>
    </cfRule>
    <cfRule type="cellIs" dxfId="652" priority="766" operator="equal">
      <formula>"Payroll"</formula>
    </cfRule>
    <cfRule type="cellIs" dxfId="651" priority="767" operator="equal">
      <formula>"Investment"</formula>
    </cfRule>
    <cfRule type="cellIs" dxfId="650" priority="768" operator="equal">
      <formula>"Sunk"</formula>
    </cfRule>
    <cfRule type="cellIs" dxfId="649" priority="769" operator="equal">
      <formula>"OpEx"</formula>
    </cfRule>
    <cfRule type="cellIs" dxfId="648" priority="770" operator="equal">
      <formula>"CapEx"</formula>
    </cfRule>
  </conditionalFormatting>
  <conditionalFormatting sqref="H960:H961">
    <cfRule type="cellIs" dxfId="647" priority="761" operator="equal">
      <formula>"GBP"</formula>
    </cfRule>
    <cfRule type="cellIs" dxfId="646" priority="762" operator="equal">
      <formula>"EUR"</formula>
    </cfRule>
    <cfRule type="cellIs" dxfId="645" priority="763" operator="equal">
      <formula>"USD"</formula>
    </cfRule>
    <cfRule type="cellIs" dxfId="644" priority="764" operator="equal">
      <formula>"EGP"</formula>
    </cfRule>
  </conditionalFormatting>
  <conditionalFormatting sqref="I960">
    <cfRule type="containsBlanks" dxfId="643" priority="760">
      <formula>LEN(TRIM(I960))=0</formula>
    </cfRule>
  </conditionalFormatting>
  <conditionalFormatting sqref="J960:J961">
    <cfRule type="cellIs" dxfId="642" priority="754" operator="equal">
      <formula>5</formula>
    </cfRule>
    <cfRule type="cellIs" dxfId="641" priority="755" operator="equal">
      <formula>0</formula>
    </cfRule>
    <cfRule type="cellIs" dxfId="640" priority="756" operator="equal">
      <formula>3</formula>
    </cfRule>
    <cfRule type="cellIs" dxfId="639" priority="757" operator="equal">
      <formula>2</formula>
    </cfRule>
    <cfRule type="cellIs" dxfId="638" priority="758" operator="equal">
      <formula>1</formula>
    </cfRule>
    <cfRule type="cellIs" dxfId="637" priority="759" operator="equal">
      <formula>4</formula>
    </cfRule>
  </conditionalFormatting>
  <conditionalFormatting sqref="L960:L961">
    <cfRule type="colorScale" priority="753">
      <colorScale>
        <cfvo type="min"/>
        <cfvo type="percentile" val="50"/>
        <cfvo type="max"/>
        <color rgb="FFF8696B"/>
        <color rgb="FFFFEB84"/>
        <color rgb="FF63BE7B"/>
      </colorScale>
    </cfRule>
  </conditionalFormatting>
  <conditionalFormatting sqref="M960:P961">
    <cfRule type="colorScale" priority="752">
      <colorScale>
        <cfvo type="min"/>
        <cfvo type="percentile" val="50"/>
        <cfvo type="max"/>
        <color rgb="FFF8696B"/>
        <color rgb="FFFFEB84"/>
        <color rgb="FF63BE7B"/>
      </colorScale>
    </cfRule>
  </conditionalFormatting>
  <conditionalFormatting sqref="Q960:Q961">
    <cfRule type="colorScale" priority="751">
      <colorScale>
        <cfvo type="min"/>
        <cfvo type="percentile" val="50"/>
        <cfvo type="max"/>
        <color rgb="FFF8696B"/>
        <color rgb="FFFFEB84"/>
        <color rgb="FF63BE7B"/>
      </colorScale>
    </cfRule>
  </conditionalFormatting>
  <conditionalFormatting sqref="R960:R961">
    <cfRule type="colorScale" priority="750">
      <colorScale>
        <cfvo type="min"/>
        <cfvo type="percentile" val="50"/>
        <cfvo type="max"/>
        <color rgb="FFF8696B"/>
        <color rgb="FFFFEB84"/>
        <color rgb="FF63BE7B"/>
      </colorScale>
    </cfRule>
  </conditionalFormatting>
  <conditionalFormatting sqref="F962">
    <cfRule type="dataBar" priority="742">
      <dataBar>
        <cfvo type="min"/>
        <cfvo type="max"/>
        <color rgb="FF638EC6"/>
      </dataBar>
    </cfRule>
    <cfRule type="colorScale" priority="743">
      <colorScale>
        <cfvo type="min"/>
        <cfvo type="percentile" val="50"/>
        <cfvo type="max"/>
        <color rgb="FFF8696B"/>
        <color rgb="FFFFEB84"/>
        <color rgb="FF63BE7B"/>
      </colorScale>
    </cfRule>
    <cfRule type="cellIs" dxfId="636" priority="744" operator="equal">
      <formula>"Cost of Sales"</formula>
    </cfRule>
    <cfRule type="cellIs" dxfId="635" priority="745" operator="equal">
      <formula>"Payroll"</formula>
    </cfRule>
    <cfRule type="cellIs" dxfId="634" priority="746" operator="equal">
      <formula>"Investment"</formula>
    </cfRule>
    <cfRule type="cellIs" dxfId="633" priority="747" operator="equal">
      <formula>"Sunk"</formula>
    </cfRule>
    <cfRule type="cellIs" dxfId="632" priority="748" operator="equal">
      <formula>"OpEx"</formula>
    </cfRule>
    <cfRule type="cellIs" dxfId="631" priority="749" operator="equal">
      <formula>"CapEx"</formula>
    </cfRule>
  </conditionalFormatting>
  <conditionalFormatting sqref="F962">
    <cfRule type="cellIs" dxfId="630" priority="740" operator="equal">
      <formula>"Tax"</formula>
    </cfRule>
    <cfRule type="cellIs" dxfId="629" priority="741" operator="equal">
      <formula>"Income"</formula>
    </cfRule>
  </conditionalFormatting>
  <conditionalFormatting sqref="H962">
    <cfRule type="cellIs" dxfId="628" priority="736" operator="equal">
      <formula>"GBP"</formula>
    </cfRule>
    <cfRule type="cellIs" dxfId="627" priority="737" operator="equal">
      <formula>"EUR"</formula>
    </cfRule>
    <cfRule type="cellIs" dxfId="626" priority="738" operator="equal">
      <formula>"USD"</formula>
    </cfRule>
    <cfRule type="cellIs" dxfId="625" priority="739" operator="equal">
      <formula>"EGP"</formula>
    </cfRule>
  </conditionalFormatting>
  <conditionalFormatting sqref="I962">
    <cfRule type="containsBlanks" dxfId="624" priority="735">
      <formula>LEN(TRIM(I962))=0</formula>
    </cfRule>
  </conditionalFormatting>
  <conditionalFormatting sqref="J962">
    <cfRule type="cellIs" dxfId="623" priority="729" operator="equal">
      <formula>5</formula>
    </cfRule>
    <cfRule type="cellIs" dxfId="622" priority="730" operator="equal">
      <formula>0</formula>
    </cfRule>
    <cfRule type="cellIs" dxfId="621" priority="731" operator="equal">
      <formula>3</formula>
    </cfRule>
    <cfRule type="cellIs" dxfId="620" priority="732" operator="equal">
      <formula>2</formula>
    </cfRule>
    <cfRule type="cellIs" dxfId="619" priority="733" operator="equal">
      <formula>1</formula>
    </cfRule>
    <cfRule type="cellIs" dxfId="618" priority="734" operator="equal">
      <formula>4</formula>
    </cfRule>
  </conditionalFormatting>
  <conditionalFormatting sqref="L962">
    <cfRule type="colorScale" priority="728">
      <colorScale>
        <cfvo type="min"/>
        <cfvo type="percentile" val="50"/>
        <cfvo type="max"/>
        <color rgb="FFF8696B"/>
        <color rgb="FFFFEB84"/>
        <color rgb="FF63BE7B"/>
      </colorScale>
    </cfRule>
  </conditionalFormatting>
  <conditionalFormatting sqref="F963">
    <cfRule type="cellIs" dxfId="617" priority="711" operator="equal">
      <formula>"Tax"</formula>
    </cfRule>
    <cfRule type="cellIs" dxfId="616" priority="712" operator="equal">
      <formula>"Income"</formula>
    </cfRule>
    <cfRule type="cellIs" dxfId="615" priority="713" operator="equal">
      <formula>"Cost of Sales"</formula>
    </cfRule>
    <cfRule type="cellIs" dxfId="614" priority="714" operator="equal">
      <formula>"Payroll"</formula>
    </cfRule>
    <cfRule type="cellIs" dxfId="613" priority="715" operator="equal">
      <formula>"Investment"</formula>
    </cfRule>
    <cfRule type="cellIs" dxfId="612" priority="716" operator="equal">
      <formula>"Sunk"</formula>
    </cfRule>
    <cfRule type="cellIs" dxfId="611" priority="717" operator="equal">
      <formula>"OpEx"</formula>
    </cfRule>
    <cfRule type="cellIs" dxfId="610" priority="718" operator="equal">
      <formula>"CapEx"</formula>
    </cfRule>
    <cfRule type="cellIs" dxfId="609" priority="719" operator="equal">
      <formula>"Tax"</formula>
    </cfRule>
    <cfRule type="cellIs" dxfId="608" priority="720" operator="equal">
      <formula>"Income"</formula>
    </cfRule>
    <cfRule type="cellIs" dxfId="607" priority="721" operator="equal">
      <formula>"Tax"</formula>
    </cfRule>
    <cfRule type="cellIs" dxfId="606" priority="722" operator="equal">
      <formula>"Cost of Sales"</formula>
    </cfRule>
    <cfRule type="cellIs" dxfId="605" priority="723" operator="equal">
      <formula>"Payroll"</formula>
    </cfRule>
    <cfRule type="cellIs" dxfId="604" priority="724" operator="equal">
      <formula>"Investment"</formula>
    </cfRule>
    <cfRule type="cellIs" dxfId="603" priority="725" operator="equal">
      <formula>"Sunk"</formula>
    </cfRule>
    <cfRule type="cellIs" dxfId="602" priority="726" operator="equal">
      <formula>"OpEx"</formula>
    </cfRule>
    <cfRule type="cellIs" dxfId="601" priority="727" operator="equal">
      <formula>"CapEx"</formula>
    </cfRule>
  </conditionalFormatting>
  <conditionalFormatting sqref="F963">
    <cfRule type="cellIs" dxfId="600" priority="704" operator="equal">
      <formula>"Income"</formula>
    </cfRule>
    <cfRule type="cellIs" dxfId="599" priority="705" operator="equal">
      <formula>"Cost of Sales"</formula>
    </cfRule>
    <cfRule type="cellIs" dxfId="598" priority="706" operator="equal">
      <formula>"Payroll"</formula>
    </cfRule>
    <cfRule type="cellIs" dxfId="597" priority="707" operator="equal">
      <formula>"Investment"</formula>
    </cfRule>
    <cfRule type="cellIs" dxfId="596" priority="708" operator="equal">
      <formula>"Sunk"</formula>
    </cfRule>
    <cfRule type="cellIs" dxfId="595" priority="709" operator="equal">
      <formula>"OpEx"</formula>
    </cfRule>
    <cfRule type="cellIs" dxfId="594" priority="710" operator="equal">
      <formula>"CapEx"</formula>
    </cfRule>
  </conditionalFormatting>
  <conditionalFormatting sqref="F963">
    <cfRule type="dataBar" priority="698">
      <dataBar>
        <cfvo type="min"/>
        <cfvo type="max"/>
        <color rgb="FF638EC6"/>
      </dataBar>
    </cfRule>
    <cfRule type="colorScale" priority="699">
      <colorScale>
        <cfvo type="min"/>
        <cfvo type="percentile" val="50"/>
        <cfvo type="max"/>
        <color rgb="FFF8696B"/>
        <color rgb="FFFFEB84"/>
        <color rgb="FF63BE7B"/>
      </colorScale>
    </cfRule>
    <cfRule type="dataBar" priority="700">
      <dataBar>
        <cfvo type="min"/>
        <cfvo type="max"/>
        <color rgb="FF638EC6"/>
      </dataBar>
    </cfRule>
    <cfRule type="colorScale" priority="701">
      <colorScale>
        <cfvo type="min"/>
        <cfvo type="percentile" val="50"/>
        <cfvo type="max"/>
        <color rgb="FFF8696B"/>
        <color rgb="FFFFEB84"/>
        <color rgb="FF63BE7B"/>
      </colorScale>
    </cfRule>
    <cfRule type="dataBar" priority="702">
      <dataBar>
        <cfvo type="min"/>
        <cfvo type="max"/>
        <color rgb="FF638EC6"/>
      </dataBar>
    </cfRule>
    <cfRule type="colorScale" priority="703">
      <colorScale>
        <cfvo type="min"/>
        <cfvo type="percentile" val="50"/>
        <cfvo type="max"/>
        <color rgb="FFF8696B"/>
        <color rgb="FFFFEB84"/>
        <color rgb="FF63BE7B"/>
      </colorScale>
    </cfRule>
  </conditionalFormatting>
  <conditionalFormatting sqref="H963">
    <cfRule type="cellIs" dxfId="593" priority="694" operator="equal">
      <formula>"GBP"</formula>
    </cfRule>
    <cfRule type="cellIs" dxfId="592" priority="695" operator="equal">
      <formula>"EUR"</formula>
    </cfRule>
    <cfRule type="cellIs" dxfId="591" priority="696" operator="equal">
      <formula>"USD"</formula>
    </cfRule>
    <cfRule type="cellIs" dxfId="590" priority="697" operator="equal">
      <formula>"EGP"</formula>
    </cfRule>
  </conditionalFormatting>
  <conditionalFormatting sqref="I963">
    <cfRule type="containsBlanks" dxfId="589" priority="693">
      <formula>LEN(TRIM(I963))=0</formula>
    </cfRule>
  </conditionalFormatting>
  <conditionalFormatting sqref="J965:J966 J963">
    <cfRule type="cellIs" dxfId="588" priority="687" operator="equal">
      <formula>5</formula>
    </cfRule>
    <cfRule type="cellIs" dxfId="587" priority="688" operator="equal">
      <formula>0</formula>
    </cfRule>
    <cfRule type="cellIs" dxfId="586" priority="689" operator="equal">
      <formula>3</formula>
    </cfRule>
    <cfRule type="cellIs" dxfId="585" priority="690" operator="equal">
      <formula>2</formula>
    </cfRule>
    <cfRule type="cellIs" dxfId="584" priority="691" operator="equal">
      <formula>1</formula>
    </cfRule>
    <cfRule type="cellIs" dxfId="583" priority="692" operator="equal">
      <formula>4</formula>
    </cfRule>
  </conditionalFormatting>
  <conditionalFormatting sqref="F964">
    <cfRule type="cellIs" dxfId="582" priority="686" operator="equal">
      <formula>"Tax"</formula>
    </cfRule>
  </conditionalFormatting>
  <conditionalFormatting sqref="F964">
    <cfRule type="dataBar" priority="674">
      <dataBar>
        <cfvo type="min"/>
        <cfvo type="max"/>
        <color rgb="FF638EC6"/>
      </dataBar>
    </cfRule>
    <cfRule type="colorScale" priority="675">
      <colorScale>
        <cfvo type="min"/>
        <cfvo type="percentile" val="50"/>
        <cfvo type="max"/>
        <color rgb="FFF8696B"/>
        <color rgb="FFFFEB84"/>
        <color rgb="FF63BE7B"/>
      </colorScale>
    </cfRule>
    <cfRule type="cellIs" dxfId="581" priority="676" operator="equal">
      <formula>"Tax"</formula>
    </cfRule>
    <cfRule type="dataBar" priority="677">
      <dataBar>
        <cfvo type="min"/>
        <cfvo type="max"/>
        <color rgb="FF638EC6"/>
      </dataBar>
    </cfRule>
    <cfRule type="colorScale" priority="678">
      <colorScale>
        <cfvo type="min"/>
        <cfvo type="percentile" val="50"/>
        <cfvo type="max"/>
        <color rgb="FFF8696B"/>
        <color rgb="FFFFEB84"/>
        <color rgb="FF63BE7B"/>
      </colorScale>
    </cfRule>
    <cfRule type="cellIs" dxfId="580" priority="679" operator="equal">
      <formula>"Income"</formula>
    </cfRule>
    <cfRule type="cellIs" dxfId="579" priority="680" operator="equal">
      <formula>"Cost of Sales"</formula>
    </cfRule>
    <cfRule type="cellIs" dxfId="578" priority="681" operator="equal">
      <formula>"Payroll"</formula>
    </cfRule>
    <cfRule type="cellIs" dxfId="577" priority="682" operator="equal">
      <formula>"Investment"</formula>
    </cfRule>
    <cfRule type="cellIs" dxfId="576" priority="683" operator="equal">
      <formula>"Sunk"</formula>
    </cfRule>
    <cfRule type="cellIs" dxfId="575" priority="684" operator="equal">
      <formula>"OpEx"</formula>
    </cfRule>
    <cfRule type="cellIs" dxfId="574" priority="685" operator="equal">
      <formula>"CapEx"</formula>
    </cfRule>
  </conditionalFormatting>
  <conditionalFormatting sqref="F964">
    <cfRule type="cellIs" dxfId="573" priority="667" operator="equal">
      <formula>"Income"</formula>
    </cfRule>
    <cfRule type="cellIs" dxfId="572" priority="668" operator="equal">
      <formula>"Cost of Sales"</formula>
    </cfRule>
    <cfRule type="cellIs" dxfId="571" priority="669" operator="equal">
      <formula>"Payroll"</formula>
    </cfRule>
    <cfRule type="cellIs" dxfId="570" priority="670" operator="equal">
      <formula>"Investment"</formula>
    </cfRule>
    <cfRule type="cellIs" dxfId="569" priority="671" operator="equal">
      <formula>"Sunk"</formula>
    </cfRule>
    <cfRule type="cellIs" dxfId="568" priority="672" operator="equal">
      <formula>"OpEx"</formula>
    </cfRule>
    <cfRule type="cellIs" dxfId="567" priority="673" operator="equal">
      <formula>"CapEx"</formula>
    </cfRule>
  </conditionalFormatting>
  <conditionalFormatting sqref="I964">
    <cfRule type="containsBlanks" dxfId="566" priority="666">
      <formula>LEN(TRIM(I964))=0</formula>
    </cfRule>
  </conditionalFormatting>
  <conditionalFormatting sqref="J964">
    <cfRule type="cellIs" dxfId="565" priority="660" operator="equal">
      <formula>5</formula>
    </cfRule>
    <cfRule type="cellIs" dxfId="564" priority="661" operator="equal">
      <formula>0</formula>
    </cfRule>
    <cfRule type="cellIs" dxfId="563" priority="662" operator="equal">
      <formula>3</formula>
    </cfRule>
    <cfRule type="cellIs" dxfId="562" priority="663" operator="equal">
      <formula>2</formula>
    </cfRule>
    <cfRule type="cellIs" dxfId="561" priority="664" operator="equal">
      <formula>1</formula>
    </cfRule>
    <cfRule type="cellIs" dxfId="560" priority="665" operator="equal">
      <formula>4</formula>
    </cfRule>
  </conditionalFormatting>
  <conditionalFormatting sqref="L963:L964">
    <cfRule type="colorScale" priority="659">
      <colorScale>
        <cfvo type="min"/>
        <cfvo type="percentile" val="50"/>
        <cfvo type="max"/>
        <color rgb="FFF8696B"/>
        <color rgb="FFFFEB84"/>
        <color rgb="FF63BE7B"/>
      </colorScale>
    </cfRule>
  </conditionalFormatting>
  <conditionalFormatting sqref="H966">
    <cfRule type="cellIs" dxfId="559" priority="655" operator="equal">
      <formula>"GBP"</formula>
    </cfRule>
    <cfRule type="cellIs" dxfId="558" priority="656" operator="equal">
      <formula>"EUR"</formula>
    </cfRule>
    <cfRule type="cellIs" dxfId="557" priority="657" operator="equal">
      <formula>"USD"</formula>
    </cfRule>
    <cfRule type="cellIs" dxfId="556" priority="658" operator="equal">
      <formula>"EGP"</formula>
    </cfRule>
  </conditionalFormatting>
  <conditionalFormatting sqref="I965:I966">
    <cfRule type="containsBlanks" dxfId="555" priority="654">
      <formula>LEN(TRIM(I965))=0</formula>
    </cfRule>
  </conditionalFormatting>
  <conditionalFormatting sqref="F965">
    <cfRule type="dataBar" priority="644">
      <dataBar>
        <cfvo type="min"/>
        <cfvo type="max"/>
        <color rgb="FF638EC6"/>
      </dataBar>
    </cfRule>
    <cfRule type="colorScale" priority="645">
      <colorScale>
        <cfvo type="min"/>
        <cfvo type="percentile" val="50"/>
        <cfvo type="max"/>
        <color rgb="FFF8696B"/>
        <color rgb="FFFFEB84"/>
        <color rgb="FF63BE7B"/>
      </colorScale>
    </cfRule>
    <cfRule type="cellIs" dxfId="554" priority="646" operator="equal">
      <formula>"Tax"</formula>
    </cfRule>
    <cfRule type="cellIs" dxfId="553" priority="647" operator="equal">
      <formula>"Income"</formula>
    </cfRule>
    <cfRule type="cellIs" dxfId="552" priority="648" operator="equal">
      <formula>"Cost of Sales"</formula>
    </cfRule>
    <cfRule type="cellIs" dxfId="551" priority="649" operator="equal">
      <formula>"Payroll"</formula>
    </cfRule>
    <cfRule type="cellIs" dxfId="550" priority="650" operator="equal">
      <formula>"Investment"</formula>
    </cfRule>
    <cfRule type="cellIs" dxfId="549" priority="651" operator="equal">
      <formula>"Sunk"</formula>
    </cfRule>
    <cfRule type="cellIs" dxfId="548" priority="652" operator="equal">
      <formula>"OpEx"</formula>
    </cfRule>
    <cfRule type="cellIs" dxfId="547" priority="653" operator="equal">
      <formula>"CapEx"</formula>
    </cfRule>
  </conditionalFormatting>
  <conditionalFormatting sqref="F966">
    <cfRule type="dataBar" priority="631">
      <dataBar>
        <cfvo type="min"/>
        <cfvo type="max"/>
        <color rgb="FF638EC6"/>
      </dataBar>
    </cfRule>
    <cfRule type="colorScale" priority="632">
      <colorScale>
        <cfvo type="min"/>
        <cfvo type="percentile" val="50"/>
        <cfvo type="max"/>
        <color rgb="FFF8696B"/>
        <color rgb="FFFFEB84"/>
        <color rgb="FF63BE7B"/>
      </colorScale>
    </cfRule>
    <cfRule type="cellIs" dxfId="546" priority="633" operator="equal">
      <formula>"Tax"</formula>
    </cfRule>
    <cfRule type="cellIs" dxfId="545" priority="634" operator="equal">
      <formula>"Cost of Sales"</formula>
    </cfRule>
    <cfRule type="cellIs" dxfId="544" priority="635" operator="equal">
      <formula>"Payroll"</formula>
    </cfRule>
    <cfRule type="cellIs" dxfId="543" priority="636" operator="equal">
      <formula>"Investment"</formula>
    </cfRule>
    <cfRule type="cellIs" dxfId="542" priority="637" operator="equal">
      <formula>"Sunk"</formula>
    </cfRule>
    <cfRule type="cellIs" dxfId="541" priority="638" operator="equal">
      <formula>"OpEx"</formula>
    </cfRule>
    <cfRule type="cellIs" dxfId="540" priority="639" operator="equal">
      <formula>"CapEx"</formula>
    </cfRule>
    <cfRule type="cellIs" dxfId="539" priority="640" operator="equal">
      <formula>"Income"</formula>
    </cfRule>
    <cfRule type="dataBar" priority="641">
      <dataBar>
        <cfvo type="min"/>
        <cfvo type="max"/>
        <color rgb="FF638EC6"/>
      </dataBar>
    </cfRule>
    <cfRule type="colorScale" priority="642">
      <colorScale>
        <cfvo type="min"/>
        <cfvo type="percentile" val="50"/>
        <cfvo type="max"/>
        <color rgb="FFF8696B"/>
        <color rgb="FFFFEB84"/>
        <color rgb="FF63BE7B"/>
      </colorScale>
    </cfRule>
    <cfRule type="cellIs" dxfId="538" priority="643" operator="equal">
      <formula>"Tax"</formula>
    </cfRule>
  </conditionalFormatting>
  <conditionalFormatting sqref="L965">
    <cfRule type="colorScale" priority="630">
      <colorScale>
        <cfvo type="min"/>
        <cfvo type="percentile" val="50"/>
        <cfvo type="max"/>
        <color rgb="FFF8696B"/>
        <color rgb="FFFFEB84"/>
        <color rgb="FF63BE7B"/>
      </colorScale>
    </cfRule>
  </conditionalFormatting>
  <conditionalFormatting sqref="L966">
    <cfRule type="colorScale" priority="629">
      <colorScale>
        <cfvo type="min"/>
        <cfvo type="percentile" val="50"/>
        <cfvo type="max"/>
        <color rgb="FFF8696B"/>
        <color rgb="FFFFEB84"/>
        <color rgb="FF63BE7B"/>
      </colorScale>
    </cfRule>
  </conditionalFormatting>
  <conditionalFormatting sqref="F968">
    <cfRule type="cellIs" dxfId="537" priority="614" operator="equal">
      <formula>"Cost of Sales"</formula>
    </cfRule>
    <cfRule type="cellIs" dxfId="536" priority="615" operator="equal">
      <formula>"Payroll"</formula>
    </cfRule>
    <cfRule type="cellIs" dxfId="535" priority="616" operator="equal">
      <formula>"Investment"</formula>
    </cfRule>
    <cfRule type="cellIs" dxfId="534" priority="617" operator="equal">
      <formula>"Sunk"</formula>
    </cfRule>
    <cfRule type="cellIs" dxfId="533" priority="618" operator="equal">
      <formula>"OpEx"</formula>
    </cfRule>
    <cfRule type="cellIs" dxfId="532" priority="619" operator="equal">
      <formula>"CapEx"</formula>
    </cfRule>
  </conditionalFormatting>
  <conditionalFormatting sqref="F968">
    <cfRule type="cellIs" dxfId="531" priority="613" operator="equal">
      <formula>"Income"</formula>
    </cfRule>
  </conditionalFormatting>
  <conditionalFormatting sqref="F968">
    <cfRule type="dataBar" priority="626">
      <dataBar>
        <cfvo type="min"/>
        <cfvo type="max"/>
        <color rgb="FF638EC6"/>
      </dataBar>
    </cfRule>
    <cfRule type="colorScale" priority="627">
      <colorScale>
        <cfvo type="min"/>
        <cfvo type="percentile" val="50"/>
        <cfvo type="max"/>
        <color rgb="FFF8696B"/>
        <color rgb="FFFFEB84"/>
        <color rgb="FF63BE7B"/>
      </colorScale>
    </cfRule>
    <cfRule type="cellIs" dxfId="530" priority="628" operator="equal">
      <formula>"Tax"</formula>
    </cfRule>
  </conditionalFormatting>
  <conditionalFormatting sqref="F968">
    <cfRule type="cellIs" dxfId="529" priority="625" operator="equal">
      <formula>"Tax"</formula>
    </cfRule>
  </conditionalFormatting>
  <conditionalFormatting sqref="H968">
    <cfRule type="cellIs" dxfId="528" priority="620" operator="equal">
      <formula>"GBP"</formula>
    </cfRule>
    <cfRule type="cellIs" dxfId="527" priority="621" operator="equal">
      <formula>"EUR"</formula>
    </cfRule>
    <cfRule type="cellIs" dxfId="526" priority="622" operator="equal">
      <formula>"USD"</formula>
    </cfRule>
    <cfRule type="cellIs" dxfId="525" priority="623" operator="equal">
      <formula>"EGP"</formula>
    </cfRule>
  </conditionalFormatting>
  <conditionalFormatting sqref="I968">
    <cfRule type="containsBlanks" dxfId="524" priority="612">
      <formula>LEN(TRIM(I968))=0</formula>
    </cfRule>
  </conditionalFormatting>
  <conditionalFormatting sqref="J968">
    <cfRule type="cellIs" dxfId="523" priority="606" operator="equal">
      <formula>5</formula>
    </cfRule>
    <cfRule type="cellIs" dxfId="522" priority="607" operator="equal">
      <formula>0</formula>
    </cfRule>
    <cfRule type="cellIs" dxfId="521" priority="608" operator="equal">
      <formula>3</formula>
    </cfRule>
    <cfRule type="cellIs" dxfId="520" priority="609" operator="equal">
      <formula>2</formula>
    </cfRule>
    <cfRule type="cellIs" dxfId="519" priority="610" operator="equal">
      <formula>1</formula>
    </cfRule>
    <cfRule type="cellIs" dxfId="518" priority="611" operator="equal">
      <formula>4</formula>
    </cfRule>
  </conditionalFormatting>
  <conditionalFormatting sqref="L968">
    <cfRule type="colorScale" priority="624">
      <colorScale>
        <cfvo type="min"/>
        <cfvo type="percentile" val="50"/>
        <cfvo type="max"/>
        <color rgb="FFF8696B"/>
        <color rgb="FFFFEB84"/>
        <color rgb="FF63BE7B"/>
      </colorScale>
    </cfRule>
  </conditionalFormatting>
  <conditionalFormatting sqref="F967">
    <cfRule type="cellIs" dxfId="517" priority="599" operator="equal">
      <formula>"Income"</formula>
    </cfRule>
    <cfRule type="cellIs" dxfId="516" priority="600" operator="equal">
      <formula>"Cost of Sales"</formula>
    </cfRule>
    <cfRule type="cellIs" dxfId="515" priority="601" operator="equal">
      <formula>"Payroll"</formula>
    </cfRule>
    <cfRule type="cellIs" dxfId="514" priority="602" operator="equal">
      <formula>"Investment"</formula>
    </cfRule>
    <cfRule type="cellIs" dxfId="513" priority="603" operator="equal">
      <formula>"Sunk"</formula>
    </cfRule>
    <cfRule type="cellIs" dxfId="512" priority="604" operator="equal">
      <formula>"OpEx"</formula>
    </cfRule>
    <cfRule type="cellIs" dxfId="511" priority="605" operator="equal">
      <formula>"CapEx"</formula>
    </cfRule>
  </conditionalFormatting>
  <conditionalFormatting sqref="F967">
    <cfRule type="dataBar" priority="596">
      <dataBar>
        <cfvo type="min"/>
        <cfvo type="max"/>
        <color rgb="FF638EC6"/>
      </dataBar>
    </cfRule>
    <cfRule type="colorScale" priority="597">
      <colorScale>
        <cfvo type="min"/>
        <cfvo type="percentile" val="50"/>
        <cfvo type="max"/>
        <color rgb="FFF8696B"/>
        <color rgb="FFFFEB84"/>
        <color rgb="FF63BE7B"/>
      </colorScale>
    </cfRule>
    <cfRule type="cellIs" dxfId="510" priority="598" operator="equal">
      <formula>"Tax"</formula>
    </cfRule>
  </conditionalFormatting>
  <conditionalFormatting sqref="H967">
    <cfRule type="cellIs" dxfId="509" priority="592" operator="equal">
      <formula>"GBP"</formula>
    </cfRule>
    <cfRule type="cellIs" dxfId="508" priority="593" operator="equal">
      <formula>"EUR"</formula>
    </cfRule>
    <cfRule type="cellIs" dxfId="507" priority="594" operator="equal">
      <formula>"USD"</formula>
    </cfRule>
    <cfRule type="cellIs" dxfId="506" priority="595" operator="equal">
      <formula>"EGP"</formula>
    </cfRule>
  </conditionalFormatting>
  <conditionalFormatting sqref="I967">
    <cfRule type="containsBlanks" dxfId="505" priority="591">
      <formula>LEN(TRIM(I967))=0</formula>
    </cfRule>
  </conditionalFormatting>
  <conditionalFormatting sqref="J967">
    <cfRule type="cellIs" dxfId="504" priority="585" operator="equal">
      <formula>5</formula>
    </cfRule>
    <cfRule type="cellIs" dxfId="503" priority="586" operator="equal">
      <formula>0</formula>
    </cfRule>
    <cfRule type="cellIs" dxfId="502" priority="587" operator="equal">
      <formula>3</formula>
    </cfRule>
    <cfRule type="cellIs" dxfId="501" priority="588" operator="equal">
      <formula>2</formula>
    </cfRule>
    <cfRule type="cellIs" dxfId="500" priority="589" operator="equal">
      <formula>1</formula>
    </cfRule>
    <cfRule type="cellIs" dxfId="499" priority="590" operator="equal">
      <formula>4</formula>
    </cfRule>
  </conditionalFormatting>
  <conditionalFormatting sqref="F985 F973">
    <cfRule type="dataBar" priority="510">
      <dataBar>
        <cfvo type="min"/>
        <cfvo type="max"/>
        <color rgb="FF638EC6"/>
      </dataBar>
    </cfRule>
    <cfRule type="colorScale" priority="511">
      <colorScale>
        <cfvo type="min"/>
        <cfvo type="percentile" val="50"/>
        <cfvo type="max"/>
        <color rgb="FFF8696B"/>
        <color rgb="FFFFEB84"/>
        <color rgb="FF63BE7B"/>
      </colorScale>
    </cfRule>
    <cfRule type="cellIs" dxfId="498" priority="512" operator="equal">
      <formula>"Tax"</formula>
    </cfRule>
    <cfRule type="cellIs" dxfId="497" priority="513" operator="equal">
      <formula>"Income"</formula>
    </cfRule>
    <cfRule type="cellIs" dxfId="496" priority="514" operator="equal">
      <formula>"Cost of Sales"</formula>
    </cfRule>
    <cfRule type="cellIs" dxfId="495" priority="515" operator="equal">
      <formula>"Payroll"</formula>
    </cfRule>
    <cfRule type="cellIs" dxfId="494" priority="516" operator="equal">
      <formula>"Investment"</formula>
    </cfRule>
    <cfRule type="cellIs" dxfId="493" priority="517" operator="equal">
      <formula>"Sunk"</formula>
    </cfRule>
    <cfRule type="cellIs" dxfId="492" priority="518" operator="equal">
      <formula>"OpEx"</formula>
    </cfRule>
    <cfRule type="cellIs" dxfId="491" priority="519" operator="equal">
      <formula>"CapEx"</formula>
    </cfRule>
    <cfRule type="dataBar" priority="520">
      <dataBar>
        <cfvo type="min"/>
        <cfvo type="max"/>
        <color rgb="FF638EC6"/>
      </dataBar>
    </cfRule>
    <cfRule type="colorScale" priority="521">
      <colorScale>
        <cfvo type="min"/>
        <cfvo type="percentile" val="50"/>
        <cfvo type="max"/>
        <color rgb="FFF8696B"/>
        <color rgb="FFFFEB84"/>
        <color rgb="FF63BE7B"/>
      </colorScale>
    </cfRule>
    <cfRule type="cellIs" dxfId="490" priority="522" operator="equal">
      <formula>"Tax"</formula>
    </cfRule>
    <cfRule type="cellIs" dxfId="489" priority="523" operator="equal">
      <formula>"Income"</formula>
    </cfRule>
    <cfRule type="dataBar" priority="524">
      <dataBar>
        <cfvo type="min"/>
        <cfvo type="max"/>
        <color rgb="FF638EC6"/>
      </dataBar>
    </cfRule>
    <cfRule type="colorScale" priority="525">
      <colorScale>
        <cfvo type="min"/>
        <cfvo type="percentile" val="50"/>
        <cfvo type="max"/>
        <color rgb="FFF8696B"/>
        <color rgb="FFFFEB84"/>
        <color rgb="FF63BE7B"/>
      </colorScale>
    </cfRule>
    <cfRule type="cellIs" dxfId="488" priority="526" operator="equal">
      <formula>"Tax"</formula>
    </cfRule>
    <cfRule type="cellIs" dxfId="487" priority="527" operator="equal">
      <formula>"Cost of Sales"</formula>
    </cfRule>
    <cfRule type="cellIs" dxfId="486" priority="528" operator="equal">
      <formula>"Payroll"</formula>
    </cfRule>
    <cfRule type="cellIs" dxfId="485" priority="529" operator="equal">
      <formula>"Investment"</formula>
    </cfRule>
    <cfRule type="cellIs" dxfId="484" priority="530" operator="equal">
      <formula>"Sunk"</formula>
    </cfRule>
    <cfRule type="cellIs" dxfId="483" priority="531" operator="equal">
      <formula>"OpEx"</formula>
    </cfRule>
    <cfRule type="cellIs" dxfId="482" priority="532" operator="equal">
      <formula>"CapEx"</formula>
    </cfRule>
  </conditionalFormatting>
  <conditionalFormatting sqref="F973 F985">
    <cfRule type="cellIs" dxfId="481" priority="499" operator="equal">
      <formula>"Income"</formula>
    </cfRule>
    <cfRule type="cellIs" dxfId="480" priority="500" operator="equal">
      <formula>"Cost of Sales"</formula>
    </cfRule>
    <cfRule type="cellIs" dxfId="479" priority="501" operator="equal">
      <formula>"Payroll"</formula>
    </cfRule>
    <cfRule type="cellIs" dxfId="478" priority="502" operator="equal">
      <formula>"Investment"</formula>
    </cfRule>
    <cfRule type="cellIs" dxfId="477" priority="503" operator="equal">
      <formula>"Sunk"</formula>
    </cfRule>
    <cfRule type="cellIs" dxfId="476" priority="504" operator="equal">
      <formula>"OpEx"</formula>
    </cfRule>
    <cfRule type="cellIs" dxfId="475" priority="505" operator="equal">
      <formula>"CapEx"</formula>
    </cfRule>
  </conditionalFormatting>
  <conditionalFormatting sqref="H973 H985">
    <cfRule type="cellIs" dxfId="474" priority="506" operator="equal">
      <formula>"GBP"</formula>
    </cfRule>
    <cfRule type="cellIs" dxfId="473" priority="507" operator="equal">
      <formula>"EUR"</formula>
    </cfRule>
    <cfRule type="cellIs" dxfId="472" priority="508" operator="equal">
      <formula>"USD"</formula>
    </cfRule>
    <cfRule type="cellIs" dxfId="471" priority="509" operator="equal">
      <formula>"EGP"</formula>
    </cfRule>
  </conditionalFormatting>
  <conditionalFormatting sqref="I973 I985">
    <cfRule type="containsBlanks" dxfId="470" priority="533">
      <formula>LEN(TRIM(I973))=0</formula>
    </cfRule>
  </conditionalFormatting>
  <conditionalFormatting sqref="J973 J985">
    <cfRule type="cellIs" dxfId="469" priority="493" operator="equal">
      <formula>5</formula>
    </cfRule>
    <cfRule type="cellIs" dxfId="468" priority="494" operator="equal">
      <formula>0</formula>
    </cfRule>
    <cfRule type="cellIs" dxfId="467" priority="495" operator="equal">
      <formula>3</formula>
    </cfRule>
    <cfRule type="cellIs" dxfId="466" priority="496" operator="equal">
      <formula>2</formula>
    </cfRule>
    <cfRule type="cellIs" dxfId="465" priority="497" operator="equal">
      <formula>1</formula>
    </cfRule>
    <cfRule type="cellIs" dxfId="464" priority="498" operator="equal">
      <formula>4</formula>
    </cfRule>
  </conditionalFormatting>
  <conditionalFormatting sqref="F969">
    <cfRule type="dataBar" priority="482">
      <dataBar>
        <cfvo type="min"/>
        <cfvo type="max"/>
        <color rgb="FF638EC6"/>
      </dataBar>
    </cfRule>
    <cfRule type="colorScale" priority="483">
      <colorScale>
        <cfvo type="min"/>
        <cfvo type="percentile" val="50"/>
        <cfvo type="max"/>
        <color rgb="FFF8696B"/>
        <color rgb="FFFFEB84"/>
        <color rgb="FF63BE7B"/>
      </colorScale>
    </cfRule>
    <cfRule type="cellIs" dxfId="463" priority="484" operator="equal">
      <formula>"Tax"</formula>
    </cfRule>
    <cfRule type="cellIs" dxfId="462" priority="485" operator="equal">
      <formula>"Income"</formula>
    </cfRule>
    <cfRule type="cellIs" dxfId="461" priority="486" operator="equal">
      <formula>"Cost of Sales"</formula>
    </cfRule>
    <cfRule type="cellIs" dxfId="460" priority="487" operator="equal">
      <formula>"Payroll"</formula>
    </cfRule>
    <cfRule type="cellIs" dxfId="459" priority="488" operator="equal">
      <formula>"Investment"</formula>
    </cfRule>
    <cfRule type="cellIs" dxfId="458" priority="489" operator="equal">
      <formula>"Sunk"</formula>
    </cfRule>
    <cfRule type="cellIs" dxfId="457" priority="490" operator="equal">
      <formula>"OpEx"</formula>
    </cfRule>
    <cfRule type="cellIs" dxfId="456" priority="491" operator="equal">
      <formula>"CapEx"</formula>
    </cfRule>
  </conditionalFormatting>
  <conditionalFormatting sqref="H969">
    <cfRule type="cellIs" dxfId="455" priority="478" operator="equal">
      <formula>"GBP"</formula>
    </cfRule>
    <cfRule type="cellIs" dxfId="454" priority="479" operator="equal">
      <formula>"EUR"</formula>
    </cfRule>
    <cfRule type="cellIs" dxfId="453" priority="480" operator="equal">
      <formula>"USD"</formula>
    </cfRule>
    <cfRule type="cellIs" dxfId="452" priority="481" operator="equal">
      <formula>"EGP"</formula>
    </cfRule>
  </conditionalFormatting>
  <conditionalFormatting sqref="I969">
    <cfRule type="containsBlanks" dxfId="451" priority="492">
      <formula>LEN(TRIM(I969))=0</formula>
    </cfRule>
  </conditionalFormatting>
  <conditionalFormatting sqref="J969">
    <cfRule type="cellIs" dxfId="450" priority="472" operator="equal">
      <formula>5</formula>
    </cfRule>
    <cfRule type="cellIs" dxfId="449" priority="473" operator="equal">
      <formula>0</formula>
    </cfRule>
    <cfRule type="cellIs" dxfId="448" priority="474" operator="equal">
      <formula>3</formula>
    </cfRule>
    <cfRule type="cellIs" dxfId="447" priority="475" operator="equal">
      <formula>2</formula>
    </cfRule>
    <cfRule type="cellIs" dxfId="446" priority="476" operator="equal">
      <formula>1</formula>
    </cfRule>
    <cfRule type="cellIs" dxfId="445" priority="477" operator="equal">
      <formula>4</formula>
    </cfRule>
  </conditionalFormatting>
  <conditionalFormatting sqref="D985:D991 D983 D850:D870 D814:D838 D768:D785 D725:D747 D788:D803 D872:D883 D885:D981">
    <cfRule type="colorScale" priority="194384">
      <colorScale>
        <cfvo type="min"/>
        <cfvo type="percentile" val="50"/>
        <cfvo type="max"/>
        <color rgb="FFF8696B"/>
        <color rgb="FFFFEB84"/>
        <color rgb="FF63BE7B"/>
      </colorScale>
    </cfRule>
  </conditionalFormatting>
  <conditionalFormatting sqref="F970">
    <cfRule type="dataBar" priority="458">
      <dataBar>
        <cfvo type="min"/>
        <cfvo type="max"/>
        <color rgb="FF638EC6"/>
      </dataBar>
    </cfRule>
    <cfRule type="colorScale" priority="459">
      <colorScale>
        <cfvo type="min"/>
        <cfvo type="percentile" val="50"/>
        <cfvo type="max"/>
        <color rgb="FFF8696B"/>
        <color rgb="FFFFEB84"/>
        <color rgb="FF63BE7B"/>
      </colorScale>
    </cfRule>
    <cfRule type="cellIs" dxfId="444" priority="460" operator="equal">
      <formula>"Tax"</formula>
    </cfRule>
    <cfRule type="cellIs" dxfId="443" priority="461" operator="equal">
      <formula>"Cost of Sales"</formula>
    </cfRule>
    <cfRule type="cellIs" dxfId="442" priority="462" operator="equal">
      <formula>"Payroll"</formula>
    </cfRule>
    <cfRule type="cellIs" dxfId="441" priority="463" operator="equal">
      <formula>"Investment"</formula>
    </cfRule>
    <cfRule type="cellIs" dxfId="440" priority="464" operator="equal">
      <formula>"Sunk"</formula>
    </cfRule>
    <cfRule type="cellIs" dxfId="439" priority="465" operator="equal">
      <formula>"OpEx"</formula>
    </cfRule>
    <cfRule type="cellIs" dxfId="438" priority="466" operator="equal">
      <formula>"CapEx"</formula>
    </cfRule>
    <cfRule type="cellIs" dxfId="437" priority="467" operator="equal">
      <formula>"Income"</formula>
    </cfRule>
    <cfRule type="dataBar" priority="468">
      <dataBar>
        <cfvo type="min"/>
        <cfvo type="max"/>
        <color rgb="FF638EC6"/>
      </dataBar>
    </cfRule>
    <cfRule type="colorScale" priority="469">
      <colorScale>
        <cfvo type="min"/>
        <cfvo type="percentile" val="50"/>
        <cfvo type="max"/>
        <color rgb="FFF8696B"/>
        <color rgb="FFFFEB84"/>
        <color rgb="FF63BE7B"/>
      </colorScale>
    </cfRule>
    <cfRule type="cellIs" dxfId="436" priority="470" operator="equal">
      <formula>"Tax"</formula>
    </cfRule>
  </conditionalFormatting>
  <conditionalFormatting sqref="F971">
    <cfRule type="dataBar" priority="435">
      <dataBar>
        <cfvo type="min"/>
        <cfvo type="max"/>
        <color rgb="FF638EC6"/>
      </dataBar>
    </cfRule>
    <cfRule type="colorScale" priority="436">
      <colorScale>
        <cfvo type="min"/>
        <cfvo type="percentile" val="50"/>
        <cfvo type="max"/>
        <color rgb="FFF8696B"/>
        <color rgb="FFFFEB84"/>
        <color rgb="FF63BE7B"/>
      </colorScale>
    </cfRule>
    <cfRule type="cellIs" dxfId="435" priority="437" operator="equal">
      <formula>"Tax"</formula>
    </cfRule>
    <cfRule type="cellIs" dxfId="434" priority="438" operator="equal">
      <formula>"Income"</formula>
    </cfRule>
    <cfRule type="cellIs" dxfId="433" priority="439" operator="equal">
      <formula>"Cost of Sales"</formula>
    </cfRule>
    <cfRule type="cellIs" dxfId="432" priority="440" operator="equal">
      <formula>"Payroll"</formula>
    </cfRule>
    <cfRule type="cellIs" dxfId="431" priority="441" operator="equal">
      <formula>"Investment"</formula>
    </cfRule>
    <cfRule type="cellIs" dxfId="430" priority="442" operator="equal">
      <formula>"Sunk"</formula>
    </cfRule>
    <cfRule type="cellIs" dxfId="429" priority="443" operator="equal">
      <formula>"OpEx"</formula>
    </cfRule>
    <cfRule type="cellIs" dxfId="428" priority="444" operator="equal">
      <formula>"CapEx"</formula>
    </cfRule>
    <cfRule type="dataBar" priority="445">
      <dataBar>
        <cfvo type="min"/>
        <cfvo type="max"/>
        <color rgb="FF638EC6"/>
      </dataBar>
    </cfRule>
    <cfRule type="colorScale" priority="446">
      <colorScale>
        <cfvo type="min"/>
        <cfvo type="percentile" val="50"/>
        <cfvo type="max"/>
        <color rgb="FFF8696B"/>
        <color rgb="FFFFEB84"/>
        <color rgb="FF63BE7B"/>
      </colorScale>
    </cfRule>
    <cfRule type="cellIs" dxfId="427" priority="447" operator="equal">
      <formula>"Tax"</formula>
    </cfRule>
    <cfRule type="cellIs" dxfId="426" priority="448" operator="equal">
      <formula>"Income"</formula>
    </cfRule>
    <cfRule type="dataBar" priority="449">
      <dataBar>
        <cfvo type="min"/>
        <cfvo type="max"/>
        <color rgb="FF638EC6"/>
      </dataBar>
    </cfRule>
    <cfRule type="colorScale" priority="450">
      <colorScale>
        <cfvo type="min"/>
        <cfvo type="percentile" val="50"/>
        <cfvo type="max"/>
        <color rgb="FFF8696B"/>
        <color rgb="FFFFEB84"/>
        <color rgb="FF63BE7B"/>
      </colorScale>
    </cfRule>
    <cfRule type="cellIs" dxfId="425" priority="451" operator="equal">
      <formula>"Tax"</formula>
    </cfRule>
    <cfRule type="cellIs" dxfId="424" priority="452" operator="equal">
      <formula>"Cost of Sales"</formula>
    </cfRule>
    <cfRule type="cellIs" dxfId="423" priority="453" operator="equal">
      <formula>"Payroll"</formula>
    </cfRule>
    <cfRule type="cellIs" dxfId="422" priority="454" operator="equal">
      <formula>"Investment"</formula>
    </cfRule>
    <cfRule type="cellIs" dxfId="421" priority="455" operator="equal">
      <formula>"Sunk"</formula>
    </cfRule>
    <cfRule type="cellIs" dxfId="420" priority="456" operator="equal">
      <formula>"OpEx"</formula>
    </cfRule>
    <cfRule type="cellIs" dxfId="419" priority="457" operator="equal">
      <formula>"CapEx"</formula>
    </cfRule>
  </conditionalFormatting>
  <conditionalFormatting sqref="F971:F972">
    <cfRule type="cellIs" dxfId="418" priority="424" operator="equal">
      <formula>"Income"</formula>
    </cfRule>
    <cfRule type="cellIs" dxfId="417" priority="425" operator="equal">
      <formula>"Cost of Sales"</formula>
    </cfRule>
    <cfRule type="cellIs" dxfId="416" priority="426" operator="equal">
      <formula>"Payroll"</formula>
    </cfRule>
    <cfRule type="cellIs" dxfId="415" priority="427" operator="equal">
      <formula>"Investment"</formula>
    </cfRule>
    <cfRule type="cellIs" dxfId="414" priority="428" operator="equal">
      <formula>"Sunk"</formula>
    </cfRule>
    <cfRule type="cellIs" dxfId="413" priority="429" operator="equal">
      <formula>"OpEx"</formula>
    </cfRule>
    <cfRule type="cellIs" dxfId="412" priority="430" operator="equal">
      <formula>"CapEx"</formula>
    </cfRule>
  </conditionalFormatting>
  <conditionalFormatting sqref="F972">
    <cfRule type="dataBar" priority="421">
      <dataBar>
        <cfvo type="min"/>
        <cfvo type="max"/>
        <color rgb="FF638EC6"/>
      </dataBar>
    </cfRule>
    <cfRule type="colorScale" priority="422">
      <colorScale>
        <cfvo type="min"/>
        <cfvo type="percentile" val="50"/>
        <cfvo type="max"/>
        <color rgb="FFF8696B"/>
        <color rgb="FFFFEB84"/>
        <color rgb="FF63BE7B"/>
      </colorScale>
    </cfRule>
    <cfRule type="cellIs" dxfId="411" priority="423" operator="equal">
      <formula>"Tax"</formula>
    </cfRule>
  </conditionalFormatting>
  <conditionalFormatting sqref="H970:H971">
    <cfRule type="cellIs" dxfId="410" priority="431" operator="equal">
      <formula>"GBP"</formula>
    </cfRule>
    <cfRule type="cellIs" dxfId="409" priority="432" operator="equal">
      <formula>"EUR"</formula>
    </cfRule>
    <cfRule type="cellIs" dxfId="408" priority="433" operator="equal">
      <formula>"USD"</formula>
    </cfRule>
    <cfRule type="cellIs" dxfId="407" priority="434" operator="equal">
      <formula>"EGP"</formula>
    </cfRule>
  </conditionalFormatting>
  <conditionalFormatting sqref="I970:I972">
    <cfRule type="containsBlanks" dxfId="406" priority="471">
      <formula>LEN(TRIM(I970))=0</formula>
    </cfRule>
  </conditionalFormatting>
  <conditionalFormatting sqref="J970:J972">
    <cfRule type="cellIs" dxfId="405" priority="415" operator="equal">
      <formula>5</formula>
    </cfRule>
    <cfRule type="cellIs" dxfId="404" priority="416" operator="equal">
      <formula>0</formula>
    </cfRule>
    <cfRule type="cellIs" dxfId="403" priority="417" operator="equal">
      <formula>3</formula>
    </cfRule>
    <cfRule type="cellIs" dxfId="402" priority="418" operator="equal">
      <formula>2</formula>
    </cfRule>
    <cfRule type="cellIs" dxfId="401" priority="419" operator="equal">
      <formula>1</formula>
    </cfRule>
    <cfRule type="cellIs" dxfId="400" priority="420" operator="equal">
      <formula>4</formula>
    </cfRule>
  </conditionalFormatting>
  <conditionalFormatting sqref="F976">
    <cfRule type="cellIs" dxfId="399" priority="393" operator="equal">
      <formula>"Tax"</formula>
    </cfRule>
    <cfRule type="cellIs" dxfId="398" priority="394" operator="equal">
      <formula>"Income"</formula>
    </cfRule>
    <cfRule type="cellIs" dxfId="397" priority="395" operator="equal">
      <formula>"Cost of Sales"</formula>
    </cfRule>
    <cfRule type="cellIs" dxfId="396" priority="396" operator="equal">
      <formula>"Payroll"</formula>
    </cfRule>
    <cfRule type="cellIs" dxfId="395" priority="397" operator="equal">
      <formula>"Investment"</formula>
    </cfRule>
    <cfRule type="cellIs" dxfId="394" priority="398" operator="equal">
      <formula>"Sunk"</formula>
    </cfRule>
    <cfRule type="cellIs" dxfId="393" priority="399" operator="equal">
      <formula>"OpEx"</formula>
    </cfRule>
    <cfRule type="cellIs" dxfId="392" priority="400" operator="equal">
      <formula>"CapEx"</formula>
    </cfRule>
    <cfRule type="cellIs" dxfId="391" priority="401" operator="equal">
      <formula>"Tax"</formula>
    </cfRule>
    <cfRule type="cellIs" dxfId="390" priority="402" operator="equal">
      <formula>"Income"</formula>
    </cfRule>
    <cfRule type="cellIs" dxfId="389" priority="403" operator="equal">
      <formula>"Tax"</formula>
    </cfRule>
    <cfRule type="cellIs" dxfId="388" priority="404" operator="equal">
      <formula>"Cost of Sales"</formula>
    </cfRule>
    <cfRule type="cellIs" dxfId="387" priority="405" operator="equal">
      <formula>"Payroll"</formula>
    </cfRule>
    <cfRule type="cellIs" dxfId="386" priority="406" operator="equal">
      <formula>"Investment"</formula>
    </cfRule>
    <cfRule type="cellIs" dxfId="385" priority="407" operator="equal">
      <formula>"Sunk"</formula>
    </cfRule>
    <cfRule type="cellIs" dxfId="384" priority="408" operator="equal">
      <formula>"OpEx"</formula>
    </cfRule>
    <cfRule type="cellIs" dxfId="383" priority="409" operator="equal">
      <formula>"CapEx"</formula>
    </cfRule>
  </conditionalFormatting>
  <conditionalFormatting sqref="F976">
    <cfRule type="cellIs" dxfId="382" priority="382" operator="equal">
      <formula>"Income"</formula>
    </cfRule>
    <cfRule type="cellIs" dxfId="381" priority="383" operator="equal">
      <formula>"Cost of Sales"</formula>
    </cfRule>
    <cfRule type="cellIs" dxfId="380" priority="384" operator="equal">
      <formula>"Payroll"</formula>
    </cfRule>
    <cfRule type="cellIs" dxfId="379" priority="385" operator="equal">
      <formula>"Investment"</formula>
    </cfRule>
    <cfRule type="cellIs" dxfId="378" priority="386" operator="equal">
      <formula>"Sunk"</formula>
    </cfRule>
    <cfRule type="cellIs" dxfId="377" priority="387" operator="equal">
      <formula>"OpEx"</formula>
    </cfRule>
    <cfRule type="cellIs" dxfId="376" priority="388" operator="equal">
      <formula>"CapEx"</formula>
    </cfRule>
  </conditionalFormatting>
  <conditionalFormatting sqref="H976">
    <cfRule type="cellIs" dxfId="375" priority="411" operator="equal">
      <formula>"GBP"</formula>
    </cfRule>
    <cfRule type="cellIs" dxfId="374" priority="412" operator="equal">
      <formula>"USD"</formula>
    </cfRule>
    <cfRule type="cellIs" dxfId="373" priority="413" operator="equal">
      <formula>"EGP"</formula>
    </cfRule>
    <cfRule type="cellIs" dxfId="372" priority="414" operator="equal">
      <formula>"EUR"</formula>
    </cfRule>
  </conditionalFormatting>
  <conditionalFormatting sqref="H976">
    <cfRule type="cellIs" dxfId="371" priority="389" operator="equal">
      <formula>"GBP"</formula>
    </cfRule>
    <cfRule type="cellIs" dxfId="370" priority="390" operator="equal">
      <formula>"EUR"</formula>
    </cfRule>
    <cfRule type="cellIs" dxfId="369" priority="391" operator="equal">
      <formula>"USD"</formula>
    </cfRule>
    <cfRule type="cellIs" dxfId="368" priority="392" operator="equal">
      <formula>"EGP"</formula>
    </cfRule>
  </conditionalFormatting>
  <conditionalFormatting sqref="I976">
    <cfRule type="containsBlanks" dxfId="367" priority="410">
      <formula>LEN(TRIM(I976))=0</formula>
    </cfRule>
  </conditionalFormatting>
  <conditionalFormatting sqref="I976">
    <cfRule type="containsBlanks" dxfId="366" priority="381">
      <formula>LEN(TRIM(I976))=0</formula>
    </cfRule>
  </conditionalFormatting>
  <conditionalFormatting sqref="J976">
    <cfRule type="cellIs" dxfId="365" priority="375" operator="equal">
      <formula>5</formula>
    </cfRule>
    <cfRule type="cellIs" dxfId="364" priority="376" operator="equal">
      <formula>0</formula>
    </cfRule>
    <cfRule type="cellIs" dxfId="363" priority="377" operator="equal">
      <formula>3</formula>
    </cfRule>
    <cfRule type="cellIs" dxfId="362" priority="378" operator="equal">
      <formula>2</formula>
    </cfRule>
    <cfRule type="cellIs" dxfId="361" priority="379" operator="equal">
      <formula>1</formula>
    </cfRule>
    <cfRule type="cellIs" dxfId="360" priority="380" operator="equal">
      <formula>4</formula>
    </cfRule>
  </conditionalFormatting>
  <conditionalFormatting sqref="F976">
    <cfRule type="dataBar" priority="373">
      <dataBar>
        <cfvo type="min"/>
        <cfvo type="max"/>
        <color rgb="FF638EC6"/>
      </dataBar>
    </cfRule>
    <cfRule type="colorScale" priority="374">
      <colorScale>
        <cfvo type="min"/>
        <cfvo type="percentile" val="50"/>
        <cfvo type="max"/>
        <color rgb="FFF8696B"/>
        <color rgb="FFFFEB84"/>
        <color rgb="FF63BE7B"/>
      </colorScale>
    </cfRule>
  </conditionalFormatting>
  <conditionalFormatting sqref="F976">
    <cfRule type="cellIs" dxfId="359" priority="365" operator="equal">
      <formula>"Tax"</formula>
    </cfRule>
    <cfRule type="cellIs" dxfId="358" priority="366" operator="equal">
      <formula>"Cost of Sales"</formula>
    </cfRule>
    <cfRule type="cellIs" dxfId="357" priority="367" operator="equal">
      <formula>"Payroll"</formula>
    </cfRule>
    <cfRule type="cellIs" dxfId="356" priority="368" operator="equal">
      <formula>"Investment"</formula>
    </cfRule>
    <cfRule type="cellIs" dxfId="355" priority="369" operator="equal">
      <formula>"Sunk"</formula>
    </cfRule>
    <cfRule type="cellIs" dxfId="354" priority="370" operator="equal">
      <formula>"OpEx"</formula>
    </cfRule>
    <cfRule type="cellIs" dxfId="353" priority="371" operator="equal">
      <formula>"CapEx"</formula>
    </cfRule>
    <cfRule type="cellIs" dxfId="352" priority="372" operator="equal">
      <formula>"Income"</formula>
    </cfRule>
  </conditionalFormatting>
  <conditionalFormatting sqref="I974:I975">
    <cfRule type="containsBlanks" dxfId="351" priority="364">
      <formula>LEN(TRIM(I974))=0</formula>
    </cfRule>
  </conditionalFormatting>
  <conditionalFormatting sqref="J974:J975">
    <cfRule type="cellIs" dxfId="350" priority="358" operator="equal">
      <formula>5</formula>
    </cfRule>
    <cfRule type="cellIs" dxfId="349" priority="359" operator="equal">
      <formula>0</formula>
    </cfRule>
    <cfRule type="cellIs" dxfId="348" priority="360" operator="equal">
      <formula>3</formula>
    </cfRule>
    <cfRule type="cellIs" dxfId="347" priority="361" operator="equal">
      <formula>2</formula>
    </cfRule>
    <cfRule type="cellIs" dxfId="346" priority="362" operator="equal">
      <formula>1</formula>
    </cfRule>
    <cfRule type="cellIs" dxfId="345" priority="363" operator="equal">
      <formula>4</formula>
    </cfRule>
  </conditionalFormatting>
  <conditionalFormatting sqref="F974">
    <cfRule type="dataBar" priority="348">
      <dataBar>
        <cfvo type="min"/>
        <cfvo type="max"/>
        <color rgb="FF638EC6"/>
      </dataBar>
    </cfRule>
    <cfRule type="colorScale" priority="349">
      <colorScale>
        <cfvo type="min"/>
        <cfvo type="percentile" val="50"/>
        <cfvo type="max"/>
        <color rgb="FFF8696B"/>
        <color rgb="FFFFEB84"/>
        <color rgb="FF63BE7B"/>
      </colorScale>
    </cfRule>
    <cfRule type="cellIs" dxfId="344" priority="350" operator="equal">
      <formula>"Tax"</formula>
    </cfRule>
    <cfRule type="cellIs" dxfId="343" priority="351" operator="equal">
      <formula>"Cost of Sales"</formula>
    </cfRule>
    <cfRule type="cellIs" dxfId="342" priority="352" operator="equal">
      <formula>"Payroll"</formula>
    </cfRule>
    <cfRule type="cellIs" dxfId="341" priority="353" operator="equal">
      <formula>"Investment"</formula>
    </cfRule>
    <cfRule type="cellIs" dxfId="340" priority="354" operator="equal">
      <formula>"Sunk"</formula>
    </cfRule>
    <cfRule type="cellIs" dxfId="339" priority="355" operator="equal">
      <formula>"OpEx"</formula>
    </cfRule>
    <cfRule type="cellIs" dxfId="338" priority="356" operator="equal">
      <formula>"CapEx"</formula>
    </cfRule>
    <cfRule type="cellIs" dxfId="337" priority="357" operator="equal">
      <formula>"Income"</formula>
    </cfRule>
  </conditionalFormatting>
  <conditionalFormatting sqref="F975">
    <cfRule type="dataBar" priority="338">
      <dataBar>
        <cfvo type="min"/>
        <cfvo type="max"/>
        <color rgb="FF638EC6"/>
      </dataBar>
    </cfRule>
    <cfRule type="colorScale" priority="339">
      <colorScale>
        <cfvo type="min"/>
        <cfvo type="percentile" val="50"/>
        <cfvo type="max"/>
        <color rgb="FFF8696B"/>
        <color rgb="FFFFEB84"/>
        <color rgb="FF63BE7B"/>
      </colorScale>
    </cfRule>
    <cfRule type="cellIs" dxfId="336" priority="340" operator="equal">
      <formula>"Tax"</formula>
    </cfRule>
    <cfRule type="cellIs" dxfId="335" priority="341" operator="equal">
      <formula>"Income"</formula>
    </cfRule>
    <cfRule type="cellIs" dxfId="334" priority="342" operator="equal">
      <formula>"Cost of Sales"</formula>
    </cfRule>
    <cfRule type="cellIs" dxfId="333" priority="343" operator="equal">
      <formula>"Payroll"</formula>
    </cfRule>
    <cfRule type="cellIs" dxfId="332" priority="344" operator="equal">
      <formula>"Investment"</formula>
    </cfRule>
    <cfRule type="cellIs" dxfId="331" priority="345" operator="equal">
      <formula>"Sunk"</formula>
    </cfRule>
    <cfRule type="cellIs" dxfId="330" priority="346" operator="equal">
      <formula>"OpEx"</formula>
    </cfRule>
    <cfRule type="cellIs" dxfId="329" priority="347" operator="equal">
      <formula>"CapEx"</formula>
    </cfRule>
  </conditionalFormatting>
  <conditionalFormatting sqref="H974:H975">
    <cfRule type="cellIs" dxfId="328" priority="334" operator="equal">
      <formula>"GBP"</formula>
    </cfRule>
    <cfRule type="cellIs" dxfId="327" priority="335" operator="equal">
      <formula>"EUR"</formula>
    </cfRule>
    <cfRule type="cellIs" dxfId="326" priority="336" operator="equal">
      <formula>"USD"</formula>
    </cfRule>
    <cfRule type="cellIs" dxfId="325" priority="337" operator="equal">
      <formula>"EGP"</formula>
    </cfRule>
  </conditionalFormatting>
  <conditionalFormatting sqref="F977">
    <cfRule type="cellIs" dxfId="324" priority="328" operator="equal">
      <formula>"Cost of Sales"</formula>
    </cfRule>
    <cfRule type="cellIs" dxfId="323" priority="329" operator="equal">
      <formula>"Payroll"</formula>
    </cfRule>
    <cfRule type="cellIs" dxfId="322" priority="330" operator="equal">
      <formula>"Investment"</formula>
    </cfRule>
    <cfRule type="cellIs" dxfId="321" priority="331" operator="equal">
      <formula>"Sunk"</formula>
    </cfRule>
    <cfRule type="cellIs" dxfId="320" priority="332" operator="equal">
      <formula>"OpEx"</formula>
    </cfRule>
    <cfRule type="cellIs" dxfId="319" priority="333" operator="equal">
      <formula>"CapEx"</formula>
    </cfRule>
  </conditionalFormatting>
  <conditionalFormatting sqref="F977">
    <cfRule type="cellIs" dxfId="318" priority="327" operator="equal">
      <formula>"Income"</formula>
    </cfRule>
  </conditionalFormatting>
  <conditionalFormatting sqref="F977">
    <cfRule type="cellIs" dxfId="317" priority="326" operator="equal">
      <formula>"Tax"</formula>
    </cfRule>
  </conditionalFormatting>
  <conditionalFormatting sqref="F977">
    <cfRule type="dataBar" priority="324">
      <dataBar>
        <cfvo type="min"/>
        <cfvo type="max"/>
        <color rgb="FF638EC6"/>
      </dataBar>
    </cfRule>
    <cfRule type="colorScale" priority="325">
      <colorScale>
        <cfvo type="min"/>
        <cfvo type="percentile" val="50"/>
        <cfvo type="max"/>
        <color rgb="FFF8696B"/>
        <color rgb="FFFFEB84"/>
        <color rgb="FF63BE7B"/>
      </colorScale>
    </cfRule>
  </conditionalFormatting>
  <conditionalFormatting sqref="H977">
    <cfRule type="cellIs" dxfId="316" priority="320" operator="equal">
      <formula>"GBP"</formula>
    </cfRule>
    <cfRule type="cellIs" dxfId="315" priority="321" operator="equal">
      <formula>"EUR"</formula>
    </cfRule>
    <cfRule type="cellIs" dxfId="314" priority="322" operator="equal">
      <formula>"USD"</formula>
    </cfRule>
    <cfRule type="cellIs" dxfId="313" priority="323" operator="equal">
      <formula>"EGP"</formula>
    </cfRule>
  </conditionalFormatting>
  <conditionalFormatting sqref="I977">
    <cfRule type="containsBlanks" dxfId="312" priority="319">
      <formula>LEN(TRIM(I977))=0</formula>
    </cfRule>
  </conditionalFormatting>
  <conditionalFormatting sqref="I977">
    <cfRule type="cellIs" dxfId="311" priority="315" operator="equal">
      <formula>"GBP"</formula>
    </cfRule>
    <cfRule type="cellIs" dxfId="310" priority="316" operator="equal">
      <formula>"EUR"</formula>
    </cfRule>
    <cfRule type="cellIs" dxfId="309" priority="317" operator="equal">
      <formula>"USD"</formula>
    </cfRule>
    <cfRule type="cellIs" dxfId="308" priority="318" operator="equal">
      <formula>"EGP"</formula>
    </cfRule>
  </conditionalFormatting>
  <conditionalFormatting sqref="J977">
    <cfRule type="cellIs" dxfId="307" priority="309" operator="equal">
      <formula>5</formula>
    </cfRule>
    <cfRule type="cellIs" dxfId="306" priority="310" operator="equal">
      <formula>0</formula>
    </cfRule>
    <cfRule type="cellIs" dxfId="305" priority="311" operator="equal">
      <formula>3</formula>
    </cfRule>
    <cfRule type="cellIs" dxfId="304" priority="312" operator="equal">
      <formula>2</formula>
    </cfRule>
    <cfRule type="cellIs" dxfId="303" priority="313" operator="equal">
      <formula>1</formula>
    </cfRule>
    <cfRule type="cellIs" dxfId="302" priority="314" operator="equal">
      <formula>4</formula>
    </cfRule>
  </conditionalFormatting>
  <conditionalFormatting sqref="F980">
    <cfRule type="cellIs" dxfId="301" priority="246" operator="equal">
      <formula>"Tax"</formula>
    </cfRule>
    <cfRule type="cellIs" dxfId="300" priority="247" operator="equal">
      <formula>"Income"</formula>
    </cfRule>
    <cfRule type="cellIs" dxfId="299" priority="248" operator="equal">
      <formula>"Cost of Sales"</formula>
    </cfRule>
    <cfRule type="cellIs" dxfId="298" priority="249" operator="equal">
      <formula>"Payroll"</formula>
    </cfRule>
    <cfRule type="cellIs" dxfId="297" priority="250" operator="equal">
      <formula>"Investment"</formula>
    </cfRule>
    <cfRule type="cellIs" dxfId="296" priority="251" operator="equal">
      <formula>"Sunk"</formula>
    </cfRule>
    <cfRule type="cellIs" dxfId="295" priority="252" operator="equal">
      <formula>"OpEx"</formula>
    </cfRule>
    <cfRule type="cellIs" dxfId="294" priority="253" operator="equal">
      <formula>"CapEx"</formula>
    </cfRule>
    <cfRule type="cellIs" dxfId="293" priority="254" operator="equal">
      <formula>"Tax"</formula>
    </cfRule>
    <cfRule type="cellIs" dxfId="292" priority="255" operator="equal">
      <formula>"Income"</formula>
    </cfRule>
    <cfRule type="cellIs" dxfId="291" priority="256" operator="equal">
      <formula>"Tax"</formula>
    </cfRule>
    <cfRule type="cellIs" dxfId="290" priority="257" operator="equal">
      <formula>"Cost of Sales"</formula>
    </cfRule>
    <cfRule type="cellIs" dxfId="289" priority="258" operator="equal">
      <formula>"Payroll"</formula>
    </cfRule>
    <cfRule type="cellIs" dxfId="288" priority="259" operator="equal">
      <formula>"Investment"</formula>
    </cfRule>
    <cfRule type="cellIs" dxfId="287" priority="260" operator="equal">
      <formula>"Sunk"</formula>
    </cfRule>
    <cfRule type="cellIs" dxfId="286" priority="261" operator="equal">
      <formula>"OpEx"</formula>
    </cfRule>
    <cfRule type="cellIs" dxfId="285" priority="262" operator="equal">
      <formula>"CapEx"</formula>
    </cfRule>
  </conditionalFormatting>
  <conditionalFormatting sqref="F980">
    <cfRule type="cellIs" dxfId="284" priority="235" operator="equal">
      <formula>"Income"</formula>
    </cfRule>
    <cfRule type="cellIs" dxfId="283" priority="236" operator="equal">
      <formula>"Cost of Sales"</formula>
    </cfRule>
    <cfRule type="cellIs" dxfId="282" priority="237" operator="equal">
      <formula>"Payroll"</formula>
    </cfRule>
    <cfRule type="cellIs" dxfId="281" priority="238" operator="equal">
      <formula>"Investment"</formula>
    </cfRule>
    <cfRule type="cellIs" dxfId="280" priority="239" operator="equal">
      <formula>"Sunk"</formula>
    </cfRule>
    <cfRule type="cellIs" dxfId="279" priority="240" operator="equal">
      <formula>"OpEx"</formula>
    </cfRule>
    <cfRule type="cellIs" dxfId="278" priority="241" operator="equal">
      <formula>"CapEx"</formula>
    </cfRule>
  </conditionalFormatting>
  <conditionalFormatting sqref="H980">
    <cfRule type="cellIs" dxfId="277" priority="264" operator="equal">
      <formula>"GBP"</formula>
    </cfRule>
    <cfRule type="cellIs" dxfId="276" priority="265" operator="equal">
      <formula>"USD"</formula>
    </cfRule>
    <cfRule type="cellIs" dxfId="275" priority="266" operator="equal">
      <formula>"EGP"</formula>
    </cfRule>
    <cfRule type="cellIs" dxfId="274" priority="267" operator="equal">
      <formula>"EUR"</formula>
    </cfRule>
  </conditionalFormatting>
  <conditionalFormatting sqref="H980">
    <cfRule type="cellIs" dxfId="273" priority="242" operator="equal">
      <formula>"GBP"</formula>
    </cfRule>
    <cfRule type="cellIs" dxfId="272" priority="243" operator="equal">
      <formula>"EUR"</formula>
    </cfRule>
    <cfRule type="cellIs" dxfId="271" priority="244" operator="equal">
      <formula>"USD"</formula>
    </cfRule>
    <cfRule type="cellIs" dxfId="270" priority="245" operator="equal">
      <formula>"EGP"</formula>
    </cfRule>
  </conditionalFormatting>
  <conditionalFormatting sqref="I980">
    <cfRule type="containsBlanks" dxfId="269" priority="263">
      <formula>LEN(TRIM(I980))=0</formula>
    </cfRule>
  </conditionalFormatting>
  <conditionalFormatting sqref="I980">
    <cfRule type="containsBlanks" dxfId="268" priority="234">
      <formula>LEN(TRIM(I980))=0</formula>
    </cfRule>
  </conditionalFormatting>
  <conditionalFormatting sqref="J980">
    <cfRule type="cellIs" dxfId="267" priority="228" operator="equal">
      <formula>5</formula>
    </cfRule>
    <cfRule type="cellIs" dxfId="266" priority="229" operator="equal">
      <formula>0</formula>
    </cfRule>
    <cfRule type="cellIs" dxfId="265" priority="230" operator="equal">
      <formula>3</formula>
    </cfRule>
    <cfRule type="cellIs" dxfId="264" priority="231" operator="equal">
      <formula>2</formula>
    </cfRule>
    <cfRule type="cellIs" dxfId="263" priority="232" operator="equal">
      <formula>1</formula>
    </cfRule>
    <cfRule type="cellIs" dxfId="262" priority="233" operator="equal">
      <formula>4</formula>
    </cfRule>
  </conditionalFormatting>
  <conditionalFormatting sqref="F980">
    <cfRule type="dataBar" priority="226">
      <dataBar>
        <cfvo type="min"/>
        <cfvo type="max"/>
        <color rgb="FF638EC6"/>
      </dataBar>
    </cfRule>
    <cfRule type="colorScale" priority="227">
      <colorScale>
        <cfvo type="min"/>
        <cfvo type="percentile" val="50"/>
        <cfvo type="max"/>
        <color rgb="FFF8696B"/>
        <color rgb="FFFFEB84"/>
        <color rgb="FF63BE7B"/>
      </colorScale>
    </cfRule>
  </conditionalFormatting>
  <conditionalFormatting sqref="F980">
    <cfRule type="cellIs" dxfId="261" priority="218" operator="equal">
      <formula>"Tax"</formula>
    </cfRule>
    <cfRule type="cellIs" dxfId="260" priority="219" operator="equal">
      <formula>"Cost of Sales"</formula>
    </cfRule>
    <cfRule type="cellIs" dxfId="259" priority="220" operator="equal">
      <formula>"Payroll"</formula>
    </cfRule>
    <cfRule type="cellIs" dxfId="258" priority="221" operator="equal">
      <formula>"Investment"</formula>
    </cfRule>
    <cfRule type="cellIs" dxfId="257" priority="222" operator="equal">
      <formula>"Sunk"</formula>
    </cfRule>
    <cfRule type="cellIs" dxfId="256" priority="223" operator="equal">
      <formula>"OpEx"</formula>
    </cfRule>
    <cfRule type="cellIs" dxfId="255" priority="224" operator="equal">
      <formula>"CapEx"</formula>
    </cfRule>
    <cfRule type="cellIs" dxfId="254" priority="225" operator="equal">
      <formula>"Income"</formula>
    </cfRule>
  </conditionalFormatting>
  <conditionalFormatting sqref="I978:I979">
    <cfRule type="containsBlanks" dxfId="253" priority="217">
      <formula>LEN(TRIM(I978))=0</formula>
    </cfRule>
  </conditionalFormatting>
  <conditionalFormatting sqref="J978:J979">
    <cfRule type="cellIs" dxfId="252" priority="211" operator="equal">
      <formula>5</formula>
    </cfRule>
    <cfRule type="cellIs" dxfId="251" priority="212" operator="equal">
      <formula>0</formula>
    </cfRule>
    <cfRule type="cellIs" dxfId="250" priority="213" operator="equal">
      <formula>3</formula>
    </cfRule>
    <cfRule type="cellIs" dxfId="249" priority="214" operator="equal">
      <formula>2</formula>
    </cfRule>
    <cfRule type="cellIs" dxfId="248" priority="215" operator="equal">
      <formula>1</formula>
    </cfRule>
    <cfRule type="cellIs" dxfId="247" priority="216" operator="equal">
      <formula>4</formula>
    </cfRule>
  </conditionalFormatting>
  <conditionalFormatting sqref="F978">
    <cfRule type="dataBar" priority="201">
      <dataBar>
        <cfvo type="min"/>
        <cfvo type="max"/>
        <color rgb="FF638EC6"/>
      </dataBar>
    </cfRule>
    <cfRule type="colorScale" priority="202">
      <colorScale>
        <cfvo type="min"/>
        <cfvo type="percentile" val="50"/>
        <cfvo type="max"/>
        <color rgb="FFF8696B"/>
        <color rgb="FFFFEB84"/>
        <color rgb="FF63BE7B"/>
      </colorScale>
    </cfRule>
    <cfRule type="cellIs" dxfId="246" priority="203" operator="equal">
      <formula>"Tax"</formula>
    </cfRule>
    <cfRule type="cellIs" dxfId="245" priority="204" operator="equal">
      <formula>"Cost of Sales"</formula>
    </cfRule>
    <cfRule type="cellIs" dxfId="244" priority="205" operator="equal">
      <formula>"Payroll"</formula>
    </cfRule>
    <cfRule type="cellIs" dxfId="243" priority="206" operator="equal">
      <formula>"Investment"</formula>
    </cfRule>
    <cfRule type="cellIs" dxfId="242" priority="207" operator="equal">
      <formula>"Sunk"</formula>
    </cfRule>
    <cfRule type="cellIs" dxfId="241" priority="208" operator="equal">
      <formula>"OpEx"</formula>
    </cfRule>
    <cfRule type="cellIs" dxfId="240" priority="209" operator="equal">
      <formula>"CapEx"</formula>
    </cfRule>
    <cfRule type="cellIs" dxfId="239" priority="210" operator="equal">
      <formula>"Income"</formula>
    </cfRule>
  </conditionalFormatting>
  <conditionalFormatting sqref="F979">
    <cfRule type="dataBar" priority="191">
      <dataBar>
        <cfvo type="min"/>
        <cfvo type="max"/>
        <color rgb="FF638EC6"/>
      </dataBar>
    </cfRule>
    <cfRule type="colorScale" priority="192">
      <colorScale>
        <cfvo type="min"/>
        <cfvo type="percentile" val="50"/>
        <cfvo type="max"/>
        <color rgb="FFF8696B"/>
        <color rgb="FFFFEB84"/>
        <color rgb="FF63BE7B"/>
      </colorScale>
    </cfRule>
    <cfRule type="cellIs" dxfId="238" priority="193" operator="equal">
      <formula>"Tax"</formula>
    </cfRule>
    <cfRule type="cellIs" dxfId="237" priority="194" operator="equal">
      <formula>"Income"</formula>
    </cfRule>
    <cfRule type="cellIs" dxfId="236" priority="195" operator="equal">
      <formula>"Cost of Sales"</formula>
    </cfRule>
    <cfRule type="cellIs" dxfId="235" priority="196" operator="equal">
      <formula>"Payroll"</formula>
    </cfRule>
    <cfRule type="cellIs" dxfId="234" priority="197" operator="equal">
      <formula>"Investment"</formula>
    </cfRule>
    <cfRule type="cellIs" dxfId="233" priority="198" operator="equal">
      <formula>"Sunk"</formula>
    </cfRule>
    <cfRule type="cellIs" dxfId="232" priority="199" operator="equal">
      <formula>"OpEx"</formula>
    </cfRule>
    <cfRule type="cellIs" dxfId="231" priority="200" operator="equal">
      <formula>"CapEx"</formula>
    </cfRule>
  </conditionalFormatting>
  <conditionalFormatting sqref="H978:H979">
    <cfRule type="cellIs" dxfId="230" priority="187" operator="equal">
      <formula>"GBP"</formula>
    </cfRule>
    <cfRule type="cellIs" dxfId="229" priority="188" operator="equal">
      <formula>"EUR"</formula>
    </cfRule>
    <cfRule type="cellIs" dxfId="228" priority="189" operator="equal">
      <formula>"USD"</formula>
    </cfRule>
    <cfRule type="cellIs" dxfId="227" priority="190" operator="equal">
      <formula>"EGP"</formula>
    </cfRule>
  </conditionalFormatting>
  <conditionalFormatting sqref="F981">
    <cfRule type="cellIs" dxfId="226" priority="181" operator="equal">
      <formula>"Cost of Sales"</formula>
    </cfRule>
    <cfRule type="cellIs" dxfId="225" priority="182" operator="equal">
      <formula>"Payroll"</formula>
    </cfRule>
    <cfRule type="cellIs" dxfId="224" priority="183" operator="equal">
      <formula>"Investment"</formula>
    </cfRule>
    <cfRule type="cellIs" dxfId="223" priority="184" operator="equal">
      <formula>"Sunk"</formula>
    </cfRule>
    <cfRule type="cellIs" dxfId="222" priority="185" operator="equal">
      <formula>"OpEx"</formula>
    </cfRule>
    <cfRule type="cellIs" dxfId="221" priority="186" operator="equal">
      <formula>"CapEx"</formula>
    </cfRule>
  </conditionalFormatting>
  <conditionalFormatting sqref="F981">
    <cfRule type="cellIs" dxfId="220" priority="180" operator="equal">
      <formula>"Income"</formula>
    </cfRule>
  </conditionalFormatting>
  <conditionalFormatting sqref="F981">
    <cfRule type="cellIs" dxfId="219" priority="179" operator="equal">
      <formula>"Tax"</formula>
    </cfRule>
  </conditionalFormatting>
  <conditionalFormatting sqref="F981">
    <cfRule type="dataBar" priority="177">
      <dataBar>
        <cfvo type="min"/>
        <cfvo type="max"/>
        <color rgb="FF638EC6"/>
      </dataBar>
    </cfRule>
    <cfRule type="colorScale" priority="178">
      <colorScale>
        <cfvo type="min"/>
        <cfvo type="percentile" val="50"/>
        <cfvo type="max"/>
        <color rgb="FFF8696B"/>
        <color rgb="FFFFEB84"/>
        <color rgb="FF63BE7B"/>
      </colorScale>
    </cfRule>
  </conditionalFormatting>
  <conditionalFormatting sqref="H981">
    <cfRule type="cellIs" dxfId="218" priority="173" operator="equal">
      <formula>"GBP"</formula>
    </cfRule>
    <cfRule type="cellIs" dxfId="217" priority="174" operator="equal">
      <formula>"EUR"</formula>
    </cfRule>
    <cfRule type="cellIs" dxfId="216" priority="175" operator="equal">
      <formula>"USD"</formula>
    </cfRule>
    <cfRule type="cellIs" dxfId="215" priority="176" operator="equal">
      <formula>"EGP"</formula>
    </cfRule>
  </conditionalFormatting>
  <conditionalFormatting sqref="I981">
    <cfRule type="containsBlanks" dxfId="214" priority="172">
      <formula>LEN(TRIM(I981))=0</formula>
    </cfRule>
  </conditionalFormatting>
  <conditionalFormatting sqref="I981">
    <cfRule type="cellIs" dxfId="213" priority="168" operator="equal">
      <formula>"GBP"</formula>
    </cfRule>
    <cfRule type="cellIs" dxfId="212" priority="169" operator="equal">
      <formula>"EUR"</formula>
    </cfRule>
    <cfRule type="cellIs" dxfId="211" priority="170" operator="equal">
      <formula>"USD"</formula>
    </cfRule>
    <cfRule type="cellIs" dxfId="210" priority="171" operator="equal">
      <formula>"EGP"</formula>
    </cfRule>
  </conditionalFormatting>
  <conditionalFormatting sqref="J981">
    <cfRule type="cellIs" dxfId="209" priority="162" operator="equal">
      <formula>5</formula>
    </cfRule>
    <cfRule type="cellIs" dxfId="208" priority="163" operator="equal">
      <formula>0</formula>
    </cfRule>
    <cfRule type="cellIs" dxfId="207" priority="164" operator="equal">
      <formula>3</formula>
    </cfRule>
    <cfRule type="cellIs" dxfId="206" priority="165" operator="equal">
      <formula>2</formula>
    </cfRule>
    <cfRule type="cellIs" dxfId="205" priority="166" operator="equal">
      <formula>1</formula>
    </cfRule>
    <cfRule type="cellIs" dxfId="204" priority="167" operator="equal">
      <formula>4</formula>
    </cfRule>
  </conditionalFormatting>
  <conditionalFormatting sqref="D982">
    <cfRule type="colorScale" priority="161">
      <colorScale>
        <cfvo type="min"/>
        <cfvo type="percentile" val="50"/>
        <cfvo type="max"/>
        <color rgb="FFF8696B"/>
        <color rgb="FFFFEB84"/>
        <color rgb="FF63BE7B"/>
      </colorScale>
    </cfRule>
  </conditionalFormatting>
  <conditionalFormatting sqref="F982">
    <cfRule type="cellIs" dxfId="203" priority="144" operator="equal">
      <formula>"Tax"</formula>
    </cfRule>
    <cfRule type="cellIs" dxfId="202" priority="145" operator="equal">
      <formula>"Income"</formula>
    </cfRule>
    <cfRule type="cellIs" dxfId="201" priority="146" operator="equal">
      <formula>"Cost of Sales"</formula>
    </cfRule>
    <cfRule type="cellIs" dxfId="200" priority="147" operator="equal">
      <formula>"Payroll"</formula>
    </cfRule>
    <cfRule type="cellIs" dxfId="199" priority="148" operator="equal">
      <formula>"Investment"</formula>
    </cfRule>
    <cfRule type="cellIs" dxfId="198" priority="149" operator="equal">
      <formula>"Sunk"</formula>
    </cfRule>
    <cfRule type="cellIs" dxfId="197" priority="150" operator="equal">
      <formula>"OpEx"</formula>
    </cfRule>
    <cfRule type="cellIs" dxfId="196" priority="151" operator="equal">
      <formula>"CapEx"</formula>
    </cfRule>
    <cfRule type="cellIs" dxfId="195" priority="152" operator="equal">
      <formula>"Tax"</formula>
    </cfRule>
    <cfRule type="cellIs" dxfId="194" priority="153" operator="equal">
      <formula>"Income"</formula>
    </cfRule>
    <cfRule type="cellIs" dxfId="193" priority="154" operator="equal">
      <formula>"Tax"</formula>
    </cfRule>
    <cfRule type="cellIs" dxfId="192" priority="155" operator="equal">
      <formula>"Cost of Sales"</formula>
    </cfRule>
    <cfRule type="cellIs" dxfId="191" priority="156" operator="equal">
      <formula>"Payroll"</formula>
    </cfRule>
    <cfRule type="cellIs" dxfId="190" priority="157" operator="equal">
      <formula>"Investment"</formula>
    </cfRule>
    <cfRule type="cellIs" dxfId="189" priority="158" operator="equal">
      <formula>"Sunk"</formula>
    </cfRule>
    <cfRule type="cellIs" dxfId="188" priority="159" operator="equal">
      <formula>"OpEx"</formula>
    </cfRule>
    <cfRule type="cellIs" dxfId="187" priority="160" operator="equal">
      <formula>"CapEx"</formula>
    </cfRule>
  </conditionalFormatting>
  <conditionalFormatting sqref="F982">
    <cfRule type="cellIs" dxfId="186" priority="137" operator="equal">
      <formula>"Income"</formula>
    </cfRule>
    <cfRule type="cellIs" dxfId="185" priority="138" operator="equal">
      <formula>"Cost of Sales"</formula>
    </cfRule>
    <cfRule type="cellIs" dxfId="184" priority="139" operator="equal">
      <formula>"Payroll"</formula>
    </cfRule>
    <cfRule type="cellIs" dxfId="183" priority="140" operator="equal">
      <formula>"Investment"</formula>
    </cfRule>
    <cfRule type="cellIs" dxfId="182" priority="141" operator="equal">
      <formula>"Sunk"</formula>
    </cfRule>
    <cfRule type="cellIs" dxfId="181" priority="142" operator="equal">
      <formula>"OpEx"</formula>
    </cfRule>
    <cfRule type="cellIs" dxfId="180" priority="143" operator="equal">
      <formula>"CapEx"</formula>
    </cfRule>
  </conditionalFormatting>
  <conditionalFormatting sqref="F982">
    <cfRule type="dataBar" priority="131">
      <dataBar>
        <cfvo type="min"/>
        <cfvo type="max"/>
        <color rgb="FF638EC6"/>
      </dataBar>
    </cfRule>
    <cfRule type="colorScale" priority="132">
      <colorScale>
        <cfvo type="min"/>
        <cfvo type="percentile" val="50"/>
        <cfvo type="max"/>
        <color rgb="FFF8696B"/>
        <color rgb="FFFFEB84"/>
        <color rgb="FF63BE7B"/>
      </colorScale>
    </cfRule>
    <cfRule type="dataBar" priority="133">
      <dataBar>
        <cfvo type="min"/>
        <cfvo type="max"/>
        <color rgb="FF638EC6"/>
      </dataBar>
    </cfRule>
    <cfRule type="colorScale" priority="134">
      <colorScale>
        <cfvo type="min"/>
        <cfvo type="percentile" val="50"/>
        <cfvo type="max"/>
        <color rgb="FFF8696B"/>
        <color rgb="FFFFEB84"/>
        <color rgb="FF63BE7B"/>
      </colorScale>
    </cfRule>
    <cfRule type="dataBar" priority="135">
      <dataBar>
        <cfvo type="min"/>
        <cfvo type="max"/>
        <color rgb="FF638EC6"/>
      </dataBar>
    </cfRule>
    <cfRule type="colorScale" priority="136">
      <colorScale>
        <cfvo type="min"/>
        <cfvo type="percentile" val="50"/>
        <cfvo type="max"/>
        <color rgb="FFF8696B"/>
        <color rgb="FFFFEB84"/>
        <color rgb="FF63BE7B"/>
      </colorScale>
    </cfRule>
  </conditionalFormatting>
  <conditionalFormatting sqref="H982">
    <cfRule type="cellIs" dxfId="179" priority="127" operator="equal">
      <formula>"GBP"</formula>
    </cfRule>
    <cfRule type="cellIs" dxfId="178" priority="128" operator="equal">
      <formula>"EUR"</formula>
    </cfRule>
    <cfRule type="cellIs" dxfId="177" priority="129" operator="equal">
      <formula>"USD"</formula>
    </cfRule>
    <cfRule type="cellIs" dxfId="176" priority="130" operator="equal">
      <formula>"EGP"</formula>
    </cfRule>
  </conditionalFormatting>
  <conditionalFormatting sqref="I982">
    <cfRule type="containsBlanks" dxfId="175" priority="126">
      <formula>LEN(TRIM(I982))=0</formula>
    </cfRule>
  </conditionalFormatting>
  <conditionalFormatting sqref="J982">
    <cfRule type="cellIs" dxfId="174" priority="120" operator="equal">
      <formula>5</formula>
    </cfRule>
    <cfRule type="cellIs" dxfId="173" priority="121" operator="equal">
      <formula>0</formula>
    </cfRule>
    <cfRule type="cellIs" dxfId="172" priority="122" operator="equal">
      <formula>3</formula>
    </cfRule>
    <cfRule type="cellIs" dxfId="171" priority="123" operator="equal">
      <formula>2</formula>
    </cfRule>
    <cfRule type="cellIs" dxfId="170" priority="124" operator="equal">
      <formula>1</formula>
    </cfRule>
    <cfRule type="cellIs" dxfId="169" priority="125" operator="equal">
      <formula>4</formula>
    </cfRule>
  </conditionalFormatting>
  <conditionalFormatting sqref="L985:L991 L913:L929 L902 L931:L932 L967 L969:L982">
    <cfRule type="colorScale" priority="194453">
      <colorScale>
        <cfvo type="min"/>
        <cfvo type="percentile" val="50"/>
        <cfvo type="max"/>
        <color rgb="FFF8696B"/>
        <color rgb="FFFFEB84"/>
        <color rgb="FF63BE7B"/>
      </colorScale>
    </cfRule>
  </conditionalFormatting>
  <conditionalFormatting sqref="F983">
    <cfRule type="dataBar" priority="88">
      <dataBar>
        <cfvo type="min"/>
        <cfvo type="max"/>
        <color rgb="FF638EC6"/>
      </dataBar>
    </cfRule>
    <cfRule type="colorScale" priority="89">
      <colorScale>
        <cfvo type="min"/>
        <cfvo type="percentile" val="50"/>
        <cfvo type="max"/>
        <color rgb="FFF8696B"/>
        <color rgb="FFFFEB84"/>
        <color rgb="FF63BE7B"/>
      </colorScale>
    </cfRule>
    <cfRule type="cellIs" dxfId="168" priority="90" operator="equal">
      <formula>"Tax"</formula>
    </cfRule>
    <cfRule type="cellIs" dxfId="167" priority="91" operator="equal">
      <formula>"Cost of Sales"</formula>
    </cfRule>
    <cfRule type="cellIs" dxfId="166" priority="92" operator="equal">
      <formula>"Payroll"</formula>
    </cfRule>
    <cfRule type="cellIs" dxfId="165" priority="93" operator="equal">
      <formula>"Investment"</formula>
    </cfRule>
    <cfRule type="cellIs" dxfId="164" priority="94" operator="equal">
      <formula>"Sunk"</formula>
    </cfRule>
    <cfRule type="cellIs" dxfId="163" priority="95" operator="equal">
      <formula>"OpEx"</formula>
    </cfRule>
    <cfRule type="cellIs" dxfId="162" priority="96" operator="equal">
      <formula>"CapEx"</formula>
    </cfRule>
    <cfRule type="cellIs" dxfId="161" priority="97" operator="equal">
      <formula>"Income"</formula>
    </cfRule>
  </conditionalFormatting>
  <conditionalFormatting sqref="H983">
    <cfRule type="cellIs" dxfId="160" priority="84" operator="equal">
      <formula>"GBP"</formula>
    </cfRule>
    <cfRule type="cellIs" dxfId="159" priority="85" operator="equal">
      <formula>"EUR"</formula>
    </cfRule>
    <cfRule type="cellIs" dxfId="158" priority="86" operator="equal">
      <formula>"USD"</formula>
    </cfRule>
    <cfRule type="cellIs" dxfId="157" priority="87" operator="equal">
      <formula>"EGP"</formula>
    </cfRule>
  </conditionalFormatting>
  <conditionalFormatting sqref="I983">
    <cfRule type="containsBlanks" dxfId="156" priority="83">
      <formula>LEN(TRIM(I983))=0</formula>
    </cfRule>
  </conditionalFormatting>
  <conditionalFormatting sqref="J983">
    <cfRule type="cellIs" dxfId="155" priority="77" operator="equal">
      <formula>5</formula>
    </cfRule>
    <cfRule type="cellIs" dxfId="154" priority="78" operator="equal">
      <formula>0</formula>
    </cfRule>
    <cfRule type="cellIs" dxfId="153" priority="79" operator="equal">
      <formula>3</formula>
    </cfRule>
    <cfRule type="cellIs" dxfId="152" priority="80" operator="equal">
      <formula>2</formula>
    </cfRule>
    <cfRule type="cellIs" dxfId="151" priority="81" operator="equal">
      <formula>1</formula>
    </cfRule>
    <cfRule type="cellIs" dxfId="150" priority="82" operator="equal">
      <formula>4</formula>
    </cfRule>
  </conditionalFormatting>
  <conditionalFormatting sqref="L983">
    <cfRule type="colorScale" priority="76">
      <colorScale>
        <cfvo type="min"/>
        <cfvo type="percentile" val="50"/>
        <cfvo type="max"/>
        <color rgb="FFF8696B"/>
        <color rgb="FFFFEB84"/>
        <color rgb="FF63BE7B"/>
      </colorScale>
    </cfRule>
  </conditionalFormatting>
  <conditionalFormatting sqref="D984">
    <cfRule type="colorScale" priority="75">
      <colorScale>
        <cfvo type="min"/>
        <cfvo type="percentile" val="50"/>
        <cfvo type="max"/>
        <color rgb="FFF8696B"/>
        <color rgb="FFFFEB84"/>
        <color rgb="FF63BE7B"/>
      </colorScale>
    </cfRule>
  </conditionalFormatting>
  <conditionalFormatting sqref="F984">
    <cfRule type="dataBar" priority="65">
      <dataBar>
        <cfvo type="min"/>
        <cfvo type="max"/>
        <color rgb="FF638EC6"/>
      </dataBar>
    </cfRule>
    <cfRule type="colorScale" priority="66">
      <colorScale>
        <cfvo type="min"/>
        <cfvo type="percentile" val="50"/>
        <cfvo type="max"/>
        <color rgb="FFF8696B"/>
        <color rgb="FFFFEB84"/>
        <color rgb="FF63BE7B"/>
      </colorScale>
    </cfRule>
    <cfRule type="cellIs" dxfId="149" priority="67" operator="equal">
      <formula>"Tax"</formula>
    </cfRule>
    <cfRule type="cellIs" dxfId="148" priority="68" operator="equal">
      <formula>"Cost of Sales"</formula>
    </cfRule>
    <cfRule type="cellIs" dxfId="147" priority="69" operator="equal">
      <formula>"Payroll"</formula>
    </cfRule>
    <cfRule type="cellIs" dxfId="146" priority="70" operator="equal">
      <formula>"Investment"</formula>
    </cfRule>
    <cfRule type="cellIs" dxfId="145" priority="71" operator="equal">
      <formula>"Sunk"</formula>
    </cfRule>
    <cfRule type="cellIs" dxfId="144" priority="72" operator="equal">
      <formula>"OpEx"</formula>
    </cfRule>
    <cfRule type="cellIs" dxfId="143" priority="73" operator="equal">
      <formula>"CapEx"</formula>
    </cfRule>
    <cfRule type="cellIs" dxfId="142" priority="74" operator="equal">
      <formula>"Income"</formula>
    </cfRule>
  </conditionalFormatting>
  <conditionalFormatting sqref="H984">
    <cfRule type="cellIs" dxfId="141" priority="61" operator="equal">
      <formula>"GBP"</formula>
    </cfRule>
    <cfRule type="cellIs" dxfId="140" priority="62" operator="equal">
      <formula>"EUR"</formula>
    </cfRule>
    <cfRule type="cellIs" dxfId="139" priority="63" operator="equal">
      <formula>"USD"</formula>
    </cfRule>
    <cfRule type="cellIs" dxfId="138" priority="64" operator="equal">
      <formula>"EGP"</formula>
    </cfRule>
  </conditionalFormatting>
  <conditionalFormatting sqref="I984">
    <cfRule type="containsBlanks" dxfId="137" priority="60">
      <formula>LEN(TRIM(I984))=0</formula>
    </cfRule>
  </conditionalFormatting>
  <conditionalFormatting sqref="J984">
    <cfRule type="cellIs" dxfId="136" priority="54" operator="equal">
      <formula>5</formula>
    </cfRule>
    <cfRule type="cellIs" dxfId="135" priority="55" operator="equal">
      <formula>0</formula>
    </cfRule>
    <cfRule type="cellIs" dxfId="134" priority="56" operator="equal">
      <formula>3</formula>
    </cfRule>
    <cfRule type="cellIs" dxfId="133" priority="57" operator="equal">
      <formula>2</formula>
    </cfRule>
    <cfRule type="cellIs" dxfId="132" priority="58" operator="equal">
      <formula>1</formula>
    </cfRule>
    <cfRule type="cellIs" dxfId="131" priority="59" operator="equal">
      <formula>4</formula>
    </cfRule>
  </conditionalFormatting>
  <conditionalFormatting sqref="L984">
    <cfRule type="colorScale" priority="53">
      <colorScale>
        <cfvo type="min"/>
        <cfvo type="percentile" val="50"/>
        <cfvo type="max"/>
        <color rgb="FFF8696B"/>
        <color rgb="FFFFEB84"/>
        <color rgb="FF63BE7B"/>
      </colorScale>
    </cfRule>
  </conditionalFormatting>
  <conditionalFormatting sqref="M814:P856 M785:P785 M727:P729 M788:P798 M861:P870 M872:P876 M909:P932 M878:P907 M947:P959 M962:P991">
    <cfRule type="colorScale" priority="194505">
      <colorScale>
        <cfvo type="min"/>
        <cfvo type="percentile" val="50"/>
        <cfvo type="max"/>
        <color rgb="FFF8696B"/>
        <color rgb="FFFFEB84"/>
        <color rgb="FF63BE7B"/>
      </colorScale>
    </cfRule>
  </conditionalFormatting>
  <conditionalFormatting sqref="Q814:Q856 Q786:Q798 Q861:Q870 Q872:Q876 Q909:Q932 Q878:Q907 Q947:Q959 Q962:Q991">
    <cfRule type="colorScale" priority="194516">
      <colorScale>
        <cfvo type="min"/>
        <cfvo type="percentile" val="50"/>
        <cfvo type="max"/>
        <color rgb="FFF8696B"/>
        <color rgb="FFFFEB84"/>
        <color rgb="FF63BE7B"/>
      </colorScale>
    </cfRule>
  </conditionalFormatting>
  <conditionalFormatting sqref="R814:R820 R727:R729 R785 R788:R798 R827:R856 R861:R870 R909:R932 R872:R907 R947:R959 R962:R991">
    <cfRule type="colorScale" priority="194525">
      <colorScale>
        <cfvo type="min"/>
        <cfvo type="percentile" val="50"/>
        <cfvo type="max"/>
        <color rgb="FFF8696B"/>
        <color rgb="FFFFEB84"/>
        <color rgb="FF63BE7B"/>
      </colorScale>
    </cfRule>
  </conditionalFormatting>
  <conditionalFormatting sqref="S814:S858 S725:S729 S732:S803 S861:S870 S872:S932 S947:S991">
    <cfRule type="colorScale" priority="194541">
      <colorScale>
        <cfvo type="min"/>
        <cfvo type="percentile" val="50"/>
        <cfvo type="max"/>
        <color rgb="FFF8696B"/>
        <color rgb="FFFFEB84"/>
        <color rgb="FF63BE7B"/>
      </colorScale>
    </cfRule>
  </conditionalFormatting>
  <conditionalFormatting sqref="F986">
    <cfRule type="dataBar" priority="43">
      <dataBar>
        <cfvo type="min"/>
        <cfvo type="max"/>
        <color rgb="FF638EC6"/>
      </dataBar>
    </cfRule>
    <cfRule type="colorScale" priority="44">
      <colorScale>
        <cfvo type="min"/>
        <cfvo type="percentile" val="50"/>
        <cfvo type="max"/>
        <color rgb="FFF8696B"/>
        <color rgb="FFFFEB84"/>
        <color rgb="FF63BE7B"/>
      </colorScale>
    </cfRule>
    <cfRule type="cellIs" dxfId="130" priority="45" operator="equal">
      <formula>"Tax"</formula>
    </cfRule>
    <cfRule type="cellIs" dxfId="129" priority="46" operator="equal">
      <formula>"Cost of Sales"</formula>
    </cfRule>
    <cfRule type="cellIs" dxfId="128" priority="47" operator="equal">
      <formula>"Payroll"</formula>
    </cfRule>
    <cfRule type="cellIs" dxfId="127" priority="48" operator="equal">
      <formula>"Investment"</formula>
    </cfRule>
    <cfRule type="cellIs" dxfId="126" priority="49" operator="equal">
      <formula>"Sunk"</formula>
    </cfRule>
    <cfRule type="cellIs" dxfId="125" priority="50" operator="equal">
      <formula>"OpEx"</formula>
    </cfRule>
    <cfRule type="cellIs" dxfId="124" priority="51" operator="equal">
      <formula>"CapEx"</formula>
    </cfRule>
    <cfRule type="cellIs" dxfId="123" priority="52" operator="equal">
      <formula>"Income"</formula>
    </cfRule>
  </conditionalFormatting>
  <conditionalFormatting sqref="F987">
    <cfRule type="dataBar" priority="40">
      <dataBar>
        <cfvo type="min"/>
        <cfvo type="max"/>
        <color rgb="FF638EC6"/>
      </dataBar>
    </cfRule>
    <cfRule type="colorScale" priority="41">
      <colorScale>
        <cfvo type="min"/>
        <cfvo type="percentile" val="50"/>
        <cfvo type="max"/>
        <color rgb="FFF8696B"/>
        <color rgb="FFFFEB84"/>
        <color rgb="FF63BE7B"/>
      </colorScale>
    </cfRule>
    <cfRule type="cellIs" dxfId="122" priority="42" operator="equal">
      <formula>"Tax"</formula>
    </cfRule>
  </conditionalFormatting>
  <conditionalFormatting sqref="F987">
    <cfRule type="cellIs" dxfId="121" priority="33" operator="equal">
      <formula>"Cost of Sales"</formula>
    </cfRule>
    <cfRule type="cellIs" dxfId="120" priority="34" operator="equal">
      <formula>"Payroll"</formula>
    </cfRule>
    <cfRule type="cellIs" dxfId="119" priority="35" operator="equal">
      <formula>"Investment"</formula>
    </cfRule>
    <cfRule type="cellIs" dxfId="118" priority="36" operator="equal">
      <formula>"Sunk"</formula>
    </cfRule>
    <cfRule type="cellIs" dxfId="117" priority="37" operator="equal">
      <formula>"OpEx"</formula>
    </cfRule>
    <cfRule type="cellIs" dxfId="116" priority="38" operator="equal">
      <formula>"CapEx"</formula>
    </cfRule>
    <cfRule type="cellIs" dxfId="115" priority="39" operator="equal">
      <formula>"Income"</formula>
    </cfRule>
  </conditionalFormatting>
  <conditionalFormatting sqref="H986:H987">
    <cfRule type="cellIs" dxfId="114" priority="29" operator="equal">
      <formula>"GBP"</formula>
    </cfRule>
    <cfRule type="cellIs" dxfId="113" priority="30" operator="equal">
      <formula>"EUR"</formula>
    </cfRule>
    <cfRule type="cellIs" dxfId="112" priority="31" operator="equal">
      <formula>"USD"</formula>
    </cfRule>
    <cfRule type="cellIs" dxfId="111" priority="32" operator="equal">
      <formula>"EGP"</formula>
    </cfRule>
  </conditionalFormatting>
  <conditionalFormatting sqref="I986:I987">
    <cfRule type="containsBlanks" dxfId="110" priority="28">
      <formula>LEN(TRIM(I986))=0</formula>
    </cfRule>
  </conditionalFormatting>
  <conditionalFormatting sqref="J986:J987">
    <cfRule type="cellIs" dxfId="109" priority="22" operator="equal">
      <formula>5</formula>
    </cfRule>
    <cfRule type="cellIs" dxfId="108" priority="23" operator="equal">
      <formula>0</formula>
    </cfRule>
    <cfRule type="cellIs" dxfId="107" priority="24" operator="equal">
      <formula>3</formula>
    </cfRule>
    <cfRule type="cellIs" dxfId="106" priority="25" operator="equal">
      <formula>2</formula>
    </cfRule>
    <cfRule type="cellIs" dxfId="105" priority="26" operator="equal">
      <formula>1</formula>
    </cfRule>
    <cfRule type="cellIs" dxfId="104" priority="27" operator="equal">
      <formula>4</formula>
    </cfRule>
  </conditionalFormatting>
  <conditionalFormatting sqref="F988">
    <cfRule type="cellIs" dxfId="103" priority="14" operator="equal">
      <formula>"Cost of Sales"</formula>
    </cfRule>
    <cfRule type="cellIs" dxfId="102" priority="15" operator="equal">
      <formula>"Payroll"</formula>
    </cfRule>
    <cfRule type="cellIs" dxfId="101" priority="16" operator="equal">
      <formula>"Investment"</formula>
    </cfRule>
    <cfRule type="cellIs" dxfId="100" priority="17" operator="equal">
      <formula>"Sunk"</formula>
    </cfRule>
    <cfRule type="cellIs" dxfId="99" priority="18" operator="equal">
      <formula>"OpEx"</formula>
    </cfRule>
    <cfRule type="cellIs" dxfId="98" priority="19" operator="equal">
      <formula>"CapEx"</formula>
    </cfRule>
    <cfRule type="cellIs" dxfId="97" priority="20" operator="equal">
      <formula>"Income"</formula>
    </cfRule>
  </conditionalFormatting>
  <conditionalFormatting sqref="F988">
    <cfRule type="dataBar" priority="11">
      <dataBar>
        <cfvo type="min"/>
        <cfvo type="max"/>
        <color rgb="FF638EC6"/>
      </dataBar>
    </cfRule>
    <cfRule type="colorScale" priority="12">
      <colorScale>
        <cfvo type="min"/>
        <cfvo type="percentile" val="50"/>
        <cfvo type="max"/>
        <color rgb="FFF8696B"/>
        <color rgb="FFFFEB84"/>
        <color rgb="FF63BE7B"/>
      </colorScale>
    </cfRule>
    <cfRule type="cellIs" dxfId="96" priority="13" operator="equal">
      <formula>"Tax"</formula>
    </cfRule>
  </conditionalFormatting>
  <conditionalFormatting sqref="H988">
    <cfRule type="cellIs" dxfId="95" priority="7" operator="equal">
      <formula>"GBP"</formula>
    </cfRule>
    <cfRule type="cellIs" dxfId="94" priority="8" operator="equal">
      <formula>"EUR"</formula>
    </cfRule>
    <cfRule type="cellIs" dxfId="93" priority="9" operator="equal">
      <formula>"USD"</formula>
    </cfRule>
    <cfRule type="cellIs" dxfId="92" priority="10" operator="equal">
      <formula>"EGP"</formula>
    </cfRule>
  </conditionalFormatting>
  <conditionalFormatting sqref="I988">
    <cfRule type="containsBlanks" dxfId="91" priority="21">
      <formula>LEN(TRIM(I988))=0</formula>
    </cfRule>
  </conditionalFormatting>
  <conditionalFormatting sqref="J988">
    <cfRule type="cellIs" dxfId="90" priority="1" operator="equal">
      <formula>5</formula>
    </cfRule>
    <cfRule type="cellIs" dxfId="89" priority="2" operator="equal">
      <formula>0</formula>
    </cfRule>
    <cfRule type="cellIs" dxfId="88" priority="3" operator="equal">
      <formula>3</formula>
    </cfRule>
    <cfRule type="cellIs" dxfId="87" priority="4" operator="equal">
      <formula>2</formula>
    </cfRule>
    <cfRule type="cellIs" dxfId="86" priority="5" operator="equal">
      <formula>1</formula>
    </cfRule>
    <cfRule type="cellIs" dxfId="85" priority="6" operator="equal">
      <formula>4</formula>
    </cfRule>
  </conditionalFormatting>
  <pageMargins left="0.25" right="0.25" top="0.75" bottom="0.75" header="0.3" footer="0.3"/>
  <pageSetup paperSize="9" orientation="portrait" horizontalDpi="300" verticalDpi="300"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J48"/>
  <sheetViews>
    <sheetView topLeftCell="A4" zoomScale="80" zoomScaleNormal="8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v>1504</v>
      </c>
    </row>
    <row r="3" spans="1:10" x14ac:dyDescent="0.25">
      <c r="A3" s="100">
        <v>45662</v>
      </c>
      <c r="B3" t="s">
        <v>166</v>
      </c>
      <c r="C3">
        <f>2*48+25</f>
        <v>121</v>
      </c>
      <c r="E3">
        <f>E2-C3+D3</f>
        <v>1383</v>
      </c>
    </row>
    <row r="4" spans="1:10" x14ac:dyDescent="0.25">
      <c r="A4" s="100">
        <v>45662</v>
      </c>
      <c r="B4" t="s">
        <v>168</v>
      </c>
      <c r="C4">
        <f>30+25</f>
        <v>55</v>
      </c>
      <c r="E4">
        <f t="shared" ref="E4:E21" si="0">E3-C4+D4</f>
        <v>1328</v>
      </c>
      <c r="J4" t="s">
        <v>253</v>
      </c>
    </row>
    <row r="5" spans="1:10" x14ac:dyDescent="0.25">
      <c r="A5" s="100">
        <v>45662</v>
      </c>
      <c r="B5" t="s">
        <v>169</v>
      </c>
      <c r="C5">
        <v>50</v>
      </c>
      <c r="E5">
        <f t="shared" si="0"/>
        <v>1278</v>
      </c>
      <c r="H5" t="s">
        <v>254</v>
      </c>
      <c r="I5">
        <f>C3+C8+C10+C13+C14+C15+C16+C19+C20+C21+C22+C24</f>
        <v>2603</v>
      </c>
      <c r="J5">
        <f>C18</f>
        <v>2652.35</v>
      </c>
    </row>
    <row r="6" spans="1:10" x14ac:dyDescent="0.25">
      <c r="A6" s="100">
        <v>45662</v>
      </c>
      <c r="B6" t="s">
        <v>256</v>
      </c>
      <c r="C6">
        <f>18+2</f>
        <v>20</v>
      </c>
      <c r="E6">
        <f t="shared" si="0"/>
        <v>1258</v>
      </c>
      <c r="H6" t="s">
        <v>32</v>
      </c>
      <c r="I6">
        <f>C4+C5+C9</f>
        <v>147</v>
      </c>
    </row>
    <row r="7" spans="1:10" x14ac:dyDescent="0.25">
      <c r="A7" s="100">
        <v>45663</v>
      </c>
      <c r="B7" t="s">
        <v>167</v>
      </c>
      <c r="C7">
        <f>113+2</f>
        <v>115</v>
      </c>
      <c r="E7">
        <f t="shared" si="0"/>
        <v>1143</v>
      </c>
      <c r="H7" t="s">
        <v>101</v>
      </c>
      <c r="I7">
        <f>C11+C12+C23</f>
        <v>112</v>
      </c>
    </row>
    <row r="8" spans="1:10" x14ac:dyDescent="0.25">
      <c r="A8" s="100">
        <v>45665</v>
      </c>
      <c r="B8" t="s">
        <v>166</v>
      </c>
      <c r="C8">
        <f>2*48+85*2+5+70</f>
        <v>341</v>
      </c>
      <c r="E8">
        <f t="shared" si="0"/>
        <v>802</v>
      </c>
      <c r="H8" t="s">
        <v>256</v>
      </c>
      <c r="I8">
        <f>C6</f>
        <v>20</v>
      </c>
    </row>
    <row r="9" spans="1:10" x14ac:dyDescent="0.25">
      <c r="A9" s="100">
        <v>45665</v>
      </c>
      <c r="B9" t="s">
        <v>170</v>
      </c>
      <c r="C9">
        <v>42</v>
      </c>
      <c r="E9">
        <f t="shared" si="0"/>
        <v>760</v>
      </c>
    </row>
    <row r="10" spans="1:10" x14ac:dyDescent="0.25">
      <c r="A10" s="100">
        <v>45666</v>
      </c>
      <c r="B10" t="s">
        <v>171</v>
      </c>
      <c r="C10">
        <f>1105.75+0.25</f>
        <v>1106</v>
      </c>
      <c r="E10">
        <f t="shared" si="0"/>
        <v>-346</v>
      </c>
      <c r="H10" t="s">
        <v>167</v>
      </c>
      <c r="I10">
        <f>C7</f>
        <v>115</v>
      </c>
    </row>
    <row r="11" spans="1:10" x14ac:dyDescent="0.25">
      <c r="A11" s="100">
        <v>45666</v>
      </c>
      <c r="B11" t="s">
        <v>172</v>
      </c>
      <c r="C11">
        <v>28</v>
      </c>
      <c r="E11">
        <f t="shared" si="0"/>
        <v>-374</v>
      </c>
    </row>
    <row r="12" spans="1:10" x14ac:dyDescent="0.25">
      <c r="A12" s="100">
        <v>45670</v>
      </c>
      <c r="B12" t="s">
        <v>173</v>
      </c>
      <c r="C12">
        <f>28*2</f>
        <v>56</v>
      </c>
      <c r="E12">
        <f t="shared" si="0"/>
        <v>-430</v>
      </c>
    </row>
    <row r="13" spans="1:10" x14ac:dyDescent="0.25">
      <c r="A13" s="100">
        <v>45670</v>
      </c>
      <c r="B13" t="s">
        <v>174</v>
      </c>
      <c r="C13">
        <v>75</v>
      </c>
      <c r="E13">
        <f t="shared" si="0"/>
        <v>-505</v>
      </c>
    </row>
    <row r="14" spans="1:10" x14ac:dyDescent="0.25">
      <c r="A14" s="100">
        <v>45677</v>
      </c>
      <c r="B14" t="s">
        <v>204</v>
      </c>
      <c r="C14">
        <f>75+96</f>
        <v>171</v>
      </c>
      <c r="E14">
        <f t="shared" si="0"/>
        <v>-676</v>
      </c>
      <c r="I14" s="117"/>
      <c r="J14" s="117"/>
    </row>
    <row r="15" spans="1:10" x14ac:dyDescent="0.25">
      <c r="A15" s="100">
        <v>45680</v>
      </c>
      <c r="B15" t="s">
        <v>205</v>
      </c>
      <c r="C15">
        <f>170+5+5</f>
        <v>180</v>
      </c>
      <c r="E15">
        <f t="shared" si="0"/>
        <v>-856</v>
      </c>
    </row>
    <row r="16" spans="1:10" x14ac:dyDescent="0.25">
      <c r="A16" s="100">
        <v>45680</v>
      </c>
      <c r="B16" t="s">
        <v>174</v>
      </c>
      <c r="C16">
        <v>75</v>
      </c>
      <c r="E16">
        <f t="shared" si="0"/>
        <v>-931</v>
      </c>
    </row>
    <row r="17" spans="1:8" x14ac:dyDescent="0.25">
      <c r="A17" s="100">
        <v>45678</v>
      </c>
      <c r="B17" t="s">
        <v>4</v>
      </c>
      <c r="D17">
        <v>2652.35</v>
      </c>
      <c r="E17">
        <f t="shared" si="0"/>
        <v>1721.35</v>
      </c>
    </row>
    <row r="18" spans="1:8" x14ac:dyDescent="0.25">
      <c r="A18" s="100">
        <v>45678</v>
      </c>
      <c r="B18" t="s">
        <v>171</v>
      </c>
      <c r="C18">
        <v>2652.35</v>
      </c>
      <c r="E18">
        <f t="shared" si="0"/>
        <v>-931</v>
      </c>
    </row>
    <row r="19" spans="1:8" x14ac:dyDescent="0.25">
      <c r="A19" s="100">
        <v>45671</v>
      </c>
      <c r="B19" t="s">
        <v>207</v>
      </c>
      <c r="C19">
        <f>48*2</f>
        <v>96</v>
      </c>
      <c r="E19">
        <f t="shared" si="0"/>
        <v>-1027</v>
      </c>
      <c r="H19" s="44"/>
    </row>
    <row r="20" spans="1:8" x14ac:dyDescent="0.25">
      <c r="A20" s="100">
        <v>45676</v>
      </c>
      <c r="B20" t="s">
        <v>207</v>
      </c>
      <c r="C20">
        <f>48*2</f>
        <v>96</v>
      </c>
      <c r="E20">
        <f t="shared" si="0"/>
        <v>-1123</v>
      </c>
    </row>
    <row r="21" spans="1:8" x14ac:dyDescent="0.25">
      <c r="A21" s="100">
        <v>45684</v>
      </c>
      <c r="B21" t="s">
        <v>166</v>
      </c>
      <c r="C21">
        <f>125+5</f>
        <v>130</v>
      </c>
      <c r="E21">
        <f t="shared" si="0"/>
        <v>-1253</v>
      </c>
    </row>
    <row r="22" spans="1:8" x14ac:dyDescent="0.25">
      <c r="A22" s="100">
        <v>45685</v>
      </c>
      <c r="B22" t="s">
        <v>205</v>
      </c>
      <c r="C22">
        <v>6</v>
      </c>
      <c r="E22">
        <f>E21-C22+D22</f>
        <v>-1259</v>
      </c>
    </row>
    <row r="23" spans="1:8" x14ac:dyDescent="0.25">
      <c r="A23" s="100">
        <v>45685</v>
      </c>
      <c r="B23" t="s">
        <v>255</v>
      </c>
      <c r="C23">
        <v>28</v>
      </c>
      <c r="E23">
        <f>E22-C23+D23</f>
        <v>-1287</v>
      </c>
    </row>
    <row r="24" spans="1:8" x14ac:dyDescent="0.25">
      <c r="A24" s="100">
        <v>45686</v>
      </c>
      <c r="B24" t="s">
        <v>166</v>
      </c>
      <c r="C24">
        <v>206</v>
      </c>
      <c r="E24">
        <f>E23-C24+D24</f>
        <v>-1493</v>
      </c>
    </row>
    <row r="25" spans="1:8" x14ac:dyDescent="0.25">
      <c r="A25" s="100"/>
    </row>
    <row r="26" spans="1:8" x14ac:dyDescent="0.25">
      <c r="A26" s="100"/>
    </row>
    <row r="27" spans="1:8" x14ac:dyDescent="0.25">
      <c r="A27" s="100"/>
    </row>
    <row r="28" spans="1:8" x14ac:dyDescent="0.25">
      <c r="A28" s="100"/>
      <c r="H28" s="101"/>
    </row>
    <row r="29" spans="1:8" x14ac:dyDescent="0.25">
      <c r="A29" s="100"/>
    </row>
    <row r="30" spans="1:8" x14ac:dyDescent="0.25">
      <c r="A30" s="100"/>
    </row>
    <row r="31" spans="1:8" x14ac:dyDescent="0.25">
      <c r="A31" s="100"/>
    </row>
    <row r="32" spans="1:8" x14ac:dyDescent="0.25">
      <c r="A32" s="100"/>
    </row>
    <row r="33" spans="1:2" x14ac:dyDescent="0.25">
      <c r="A33" s="100"/>
    </row>
    <row r="34" spans="1:2" x14ac:dyDescent="0.25">
      <c r="A34" s="100"/>
    </row>
    <row r="35" spans="1:2" x14ac:dyDescent="0.25">
      <c r="A35" s="100"/>
    </row>
    <row r="36" spans="1:2" x14ac:dyDescent="0.25">
      <c r="A36" s="100"/>
    </row>
    <row r="37" spans="1:2" x14ac:dyDescent="0.25">
      <c r="A37" s="100"/>
    </row>
    <row r="38" spans="1:2" x14ac:dyDescent="0.25">
      <c r="A38" s="100"/>
    </row>
    <row r="39" spans="1:2" x14ac:dyDescent="0.25">
      <c r="A39" s="100"/>
    </row>
    <row r="40" spans="1:2" x14ac:dyDescent="0.25">
      <c r="A40" s="100"/>
    </row>
    <row r="41" spans="1:2" x14ac:dyDescent="0.25">
      <c r="A41" s="100"/>
    </row>
    <row r="42" spans="1:2" x14ac:dyDescent="0.25">
      <c r="A42" s="100"/>
    </row>
    <row r="43" spans="1:2" x14ac:dyDescent="0.25">
      <c r="A43" s="100"/>
    </row>
    <row r="44" spans="1:2" x14ac:dyDescent="0.25">
      <c r="A44" s="100"/>
    </row>
    <row r="45" spans="1:2" x14ac:dyDescent="0.25">
      <c r="A45" s="100"/>
    </row>
    <row r="46" spans="1:2" x14ac:dyDescent="0.25">
      <c r="A46" s="100"/>
      <c r="B46" s="44"/>
    </row>
    <row r="47" spans="1:2" x14ac:dyDescent="0.25">
      <c r="A47" s="100"/>
    </row>
    <row r="48" spans="1:2" x14ac:dyDescent="0.25">
      <c r="A48" s="100"/>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J49"/>
  <sheetViews>
    <sheetView topLeftCell="C1"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E2">
        <f>Jan!E24</f>
        <v>-1493</v>
      </c>
    </row>
    <row r="3" spans="1:10" x14ac:dyDescent="0.25">
      <c r="A3" s="100">
        <v>45690</v>
      </c>
      <c r="B3" t="s">
        <v>4</v>
      </c>
      <c r="D3">
        <v>1000</v>
      </c>
      <c r="E3">
        <f>E2-C3+D3</f>
        <v>-493</v>
      </c>
    </row>
    <row r="4" spans="1:10" x14ac:dyDescent="0.25">
      <c r="A4" s="100">
        <v>45690</v>
      </c>
      <c r="B4" t="s">
        <v>388</v>
      </c>
      <c r="C4">
        <v>1000</v>
      </c>
      <c r="E4">
        <f t="shared" ref="E4:E28" si="0">E3-C4+D4</f>
        <v>-1493</v>
      </c>
    </row>
    <row r="5" spans="1:10" x14ac:dyDescent="0.25">
      <c r="A5" s="100">
        <v>45690</v>
      </c>
      <c r="B5" t="s">
        <v>166</v>
      </c>
      <c r="C5">
        <v>221</v>
      </c>
      <c r="E5">
        <f t="shared" si="0"/>
        <v>-1714</v>
      </c>
    </row>
    <row r="6" spans="1:10" x14ac:dyDescent="0.25">
      <c r="A6" s="100">
        <v>45690</v>
      </c>
      <c r="B6" t="s">
        <v>261</v>
      </c>
      <c r="C6">
        <v>17</v>
      </c>
      <c r="E6">
        <f t="shared" si="0"/>
        <v>-1731</v>
      </c>
      <c r="J6" t="s">
        <v>253</v>
      </c>
    </row>
    <row r="7" spans="1:10" x14ac:dyDescent="0.25">
      <c r="A7" s="100">
        <v>45690</v>
      </c>
      <c r="B7" t="s">
        <v>4</v>
      </c>
      <c r="D7">
        <v>4000</v>
      </c>
      <c r="E7">
        <f t="shared" si="0"/>
        <v>2269</v>
      </c>
      <c r="H7" t="s">
        <v>254</v>
      </c>
      <c r="I7">
        <f>C5+C8+C13+C14+C15+C16+C18+C20+C21+C22+C23+C25+C26+C27</f>
        <v>5922</v>
      </c>
    </row>
    <row r="8" spans="1:10" x14ac:dyDescent="0.25">
      <c r="A8" s="100">
        <v>45691</v>
      </c>
      <c r="B8" t="s">
        <v>171</v>
      </c>
      <c r="C8">
        <f>1765.85+0.15</f>
        <v>1766</v>
      </c>
      <c r="E8">
        <f t="shared" si="0"/>
        <v>503</v>
      </c>
      <c r="H8" t="s">
        <v>32</v>
      </c>
      <c r="I8">
        <v>0</v>
      </c>
    </row>
    <row r="9" spans="1:10" x14ac:dyDescent="0.25">
      <c r="A9" s="100">
        <v>45691</v>
      </c>
      <c r="B9" t="s">
        <v>172</v>
      </c>
      <c r="C9">
        <v>45</v>
      </c>
      <c r="E9">
        <f t="shared" si="0"/>
        <v>458</v>
      </c>
      <c r="H9" t="s">
        <v>101</v>
      </c>
      <c r="I9">
        <f>C9+C10+C12+C17+C28</f>
        <v>213</v>
      </c>
    </row>
    <row r="10" spans="1:10" x14ac:dyDescent="0.25">
      <c r="A10" s="100">
        <v>45691</v>
      </c>
      <c r="B10" t="s">
        <v>260</v>
      </c>
      <c r="C10">
        <v>28</v>
      </c>
      <c r="E10">
        <f t="shared" si="0"/>
        <v>430</v>
      </c>
      <c r="H10" t="s">
        <v>256</v>
      </c>
      <c r="I10">
        <f>C6</f>
        <v>17</v>
      </c>
    </row>
    <row r="11" spans="1:10" x14ac:dyDescent="0.25">
      <c r="A11" s="100">
        <v>45691</v>
      </c>
      <c r="B11" t="s">
        <v>167</v>
      </c>
      <c r="C11">
        <f>113+2</f>
        <v>115</v>
      </c>
      <c r="E11">
        <f t="shared" si="0"/>
        <v>315</v>
      </c>
      <c r="H11" t="s">
        <v>293</v>
      </c>
      <c r="I11">
        <f>C24</f>
        <v>270</v>
      </c>
    </row>
    <row r="12" spans="1:10" x14ac:dyDescent="0.25">
      <c r="A12" s="100">
        <v>45692</v>
      </c>
      <c r="B12" t="s">
        <v>260</v>
      </c>
      <c r="C12">
        <v>28</v>
      </c>
      <c r="E12">
        <f t="shared" si="0"/>
        <v>287</v>
      </c>
      <c r="H12" t="s">
        <v>167</v>
      </c>
      <c r="I12">
        <f>C11</f>
        <v>115</v>
      </c>
    </row>
    <row r="13" spans="1:10" x14ac:dyDescent="0.25">
      <c r="A13" s="100">
        <v>45692</v>
      </c>
      <c r="B13" t="s">
        <v>207</v>
      </c>
      <c r="C13">
        <v>96</v>
      </c>
      <c r="E13">
        <f t="shared" si="0"/>
        <v>191</v>
      </c>
      <c r="H13" t="s">
        <v>388</v>
      </c>
      <c r="I13">
        <v>1000</v>
      </c>
    </row>
    <row r="14" spans="1:10" x14ac:dyDescent="0.25">
      <c r="A14" s="100">
        <v>45693</v>
      </c>
      <c r="B14" t="s">
        <v>266</v>
      </c>
      <c r="C14">
        <f>144+85+5</f>
        <v>234</v>
      </c>
      <c r="E14">
        <f t="shared" si="0"/>
        <v>-43</v>
      </c>
      <c r="F14" t="s">
        <v>268</v>
      </c>
      <c r="I14" s="117"/>
      <c r="J14" s="117"/>
    </row>
    <row r="15" spans="1:10" x14ac:dyDescent="0.25">
      <c r="A15" s="100">
        <v>45694</v>
      </c>
      <c r="B15" t="s">
        <v>174</v>
      </c>
      <c r="C15">
        <v>145</v>
      </c>
      <c r="E15">
        <f t="shared" si="0"/>
        <v>-188</v>
      </c>
      <c r="F15" t="s">
        <v>267</v>
      </c>
    </row>
    <row r="16" spans="1:10" x14ac:dyDescent="0.25">
      <c r="A16" s="100">
        <v>45694</v>
      </c>
      <c r="B16" t="s">
        <v>207</v>
      </c>
      <c r="C16">
        <v>96</v>
      </c>
      <c r="E16">
        <f t="shared" si="0"/>
        <v>-284</v>
      </c>
      <c r="F16" t="s">
        <v>281</v>
      </c>
    </row>
    <row r="17" spans="1:8" x14ac:dyDescent="0.25">
      <c r="A17" s="100">
        <v>45698</v>
      </c>
      <c r="B17" t="s">
        <v>269</v>
      </c>
      <c r="C17">
        <f>28*2</f>
        <v>56</v>
      </c>
      <c r="E17">
        <f t="shared" si="0"/>
        <v>-340</v>
      </c>
      <c r="F17" t="s">
        <v>268</v>
      </c>
    </row>
    <row r="18" spans="1:8" x14ac:dyDescent="0.25">
      <c r="A18" s="100">
        <v>45698</v>
      </c>
      <c r="B18" t="s">
        <v>207</v>
      </c>
      <c r="C18">
        <v>96</v>
      </c>
      <c r="E18">
        <f t="shared" si="0"/>
        <v>-436</v>
      </c>
      <c r="F18" t="s">
        <v>280</v>
      </c>
    </row>
    <row r="19" spans="1:8" x14ac:dyDescent="0.25">
      <c r="A19" s="100">
        <v>45699</v>
      </c>
      <c r="B19" t="s">
        <v>4</v>
      </c>
      <c r="D19">
        <v>4000</v>
      </c>
      <c r="E19">
        <f t="shared" si="0"/>
        <v>3564</v>
      </c>
    </row>
    <row r="20" spans="1:8" x14ac:dyDescent="0.25">
      <c r="A20" s="100">
        <v>45699</v>
      </c>
      <c r="B20" t="s">
        <v>266</v>
      </c>
      <c r="C20">
        <f>85*2+48*2+5</f>
        <v>271</v>
      </c>
      <c r="E20">
        <f t="shared" si="0"/>
        <v>3293</v>
      </c>
      <c r="H20" s="44"/>
    </row>
    <row r="21" spans="1:8" x14ac:dyDescent="0.25">
      <c r="A21" s="100">
        <v>45700</v>
      </c>
      <c r="B21" t="s">
        <v>171</v>
      </c>
      <c r="C21">
        <v>890</v>
      </c>
      <c r="E21">
        <f t="shared" si="0"/>
        <v>2403</v>
      </c>
    </row>
    <row r="22" spans="1:8" x14ac:dyDescent="0.25">
      <c r="A22" s="100">
        <v>45706</v>
      </c>
      <c r="B22" t="s">
        <v>174</v>
      </c>
      <c r="C22">
        <v>150</v>
      </c>
      <c r="E22">
        <f t="shared" si="0"/>
        <v>2253</v>
      </c>
    </row>
    <row r="23" spans="1:8" x14ac:dyDescent="0.25">
      <c r="A23" s="100">
        <v>45706</v>
      </c>
      <c r="B23" t="s">
        <v>205</v>
      </c>
      <c r="C23">
        <f>175+6</f>
        <v>181</v>
      </c>
      <c r="E23">
        <f t="shared" si="0"/>
        <v>2072</v>
      </c>
    </row>
    <row r="24" spans="1:8" x14ac:dyDescent="0.25">
      <c r="A24" s="100">
        <v>45706</v>
      </c>
      <c r="B24" t="s">
        <v>293</v>
      </c>
      <c r="C24">
        <f>200+50+20</f>
        <v>270</v>
      </c>
      <c r="E24">
        <f t="shared" si="0"/>
        <v>1802</v>
      </c>
    </row>
    <row r="25" spans="1:8" x14ac:dyDescent="0.25">
      <c r="A25" s="100">
        <v>45711</v>
      </c>
      <c r="B25" t="s">
        <v>174</v>
      </c>
      <c r="C25">
        <v>150</v>
      </c>
      <c r="E25">
        <f t="shared" si="0"/>
        <v>1652</v>
      </c>
    </row>
    <row r="26" spans="1:8" x14ac:dyDescent="0.25">
      <c r="A26" s="100">
        <v>45712</v>
      </c>
      <c r="B26" t="s">
        <v>171</v>
      </c>
      <c r="C26">
        <f>1450.55+0.45</f>
        <v>1451</v>
      </c>
      <c r="E26">
        <f t="shared" si="0"/>
        <v>201</v>
      </c>
    </row>
    <row r="27" spans="1:8" x14ac:dyDescent="0.25">
      <c r="A27" s="100">
        <v>45715</v>
      </c>
      <c r="B27" t="s">
        <v>205</v>
      </c>
      <c r="C27">
        <f>85*2+5</f>
        <v>175</v>
      </c>
      <c r="E27">
        <f t="shared" si="0"/>
        <v>26</v>
      </c>
    </row>
    <row r="28" spans="1:8" x14ac:dyDescent="0.25">
      <c r="A28" s="100">
        <v>45715</v>
      </c>
      <c r="B28" t="s">
        <v>298</v>
      </c>
      <c r="C28">
        <f>28*2</f>
        <v>56</v>
      </c>
      <c r="E28">
        <f t="shared" si="0"/>
        <v>-30</v>
      </c>
      <c r="F28" t="s">
        <v>297</v>
      </c>
    </row>
    <row r="29" spans="1:8" x14ac:dyDescent="0.25">
      <c r="A29" s="100"/>
      <c r="H29" s="101"/>
    </row>
    <row r="30" spans="1:8" x14ac:dyDescent="0.25">
      <c r="A30" s="100"/>
    </row>
    <row r="31" spans="1:8" x14ac:dyDescent="0.25">
      <c r="A31" s="100"/>
    </row>
    <row r="32" spans="1:8" x14ac:dyDescent="0.25">
      <c r="A32" s="100"/>
    </row>
    <row r="33" spans="1:2" x14ac:dyDescent="0.25">
      <c r="A33" s="100"/>
    </row>
    <row r="34" spans="1:2" x14ac:dyDescent="0.25">
      <c r="A34" s="100"/>
    </row>
    <row r="35" spans="1:2" x14ac:dyDescent="0.25">
      <c r="A35" s="100"/>
    </row>
    <row r="36" spans="1:2" x14ac:dyDescent="0.25">
      <c r="A36" s="100"/>
    </row>
    <row r="37" spans="1:2" x14ac:dyDescent="0.25">
      <c r="A37" s="100"/>
    </row>
    <row r="38" spans="1:2" x14ac:dyDescent="0.25">
      <c r="A38" s="100"/>
    </row>
    <row r="39" spans="1:2" x14ac:dyDescent="0.25">
      <c r="A39" s="100"/>
    </row>
    <row r="40" spans="1:2" x14ac:dyDescent="0.25">
      <c r="A40" s="100"/>
    </row>
    <row r="41" spans="1:2" x14ac:dyDescent="0.25">
      <c r="A41" s="100"/>
    </row>
    <row r="42" spans="1:2" x14ac:dyDescent="0.25">
      <c r="A42" s="100"/>
    </row>
    <row r="43" spans="1:2" x14ac:dyDescent="0.25">
      <c r="A43" s="100"/>
    </row>
    <row r="44" spans="1:2" x14ac:dyDescent="0.25">
      <c r="A44" s="100"/>
      <c r="B44" s="44"/>
    </row>
    <row r="45" spans="1:2" x14ac:dyDescent="0.25">
      <c r="A45" s="100"/>
      <c r="B45" s="44"/>
    </row>
    <row r="46" spans="1:2" x14ac:dyDescent="0.25">
      <c r="A46" s="100"/>
      <c r="B46" s="44"/>
    </row>
    <row r="47" spans="1:2" x14ac:dyDescent="0.25">
      <c r="A47" s="100"/>
    </row>
    <row r="48" spans="1:2" x14ac:dyDescent="0.25">
      <c r="A48" s="100"/>
    </row>
    <row r="49" spans="1:1" x14ac:dyDescent="0.25">
      <c r="A49" s="100"/>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2C3C-E841-4F87-9AF3-C0C3D7A80E56}">
  <sheetPr codeName="Sheet17"/>
  <dimension ref="A1:J39"/>
  <sheetViews>
    <sheetView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f>Feb!E28</f>
        <v>-30</v>
      </c>
    </row>
    <row r="3" spans="1:10" x14ac:dyDescent="0.25">
      <c r="A3" s="100">
        <v>45719</v>
      </c>
      <c r="B3" t="s">
        <v>174</v>
      </c>
      <c r="C3">
        <v>145</v>
      </c>
      <c r="E3">
        <f>E2-C3+D3</f>
        <v>-175</v>
      </c>
    </row>
    <row r="4" spans="1:10" x14ac:dyDescent="0.25">
      <c r="A4" s="100">
        <v>45719</v>
      </c>
      <c r="B4" t="s">
        <v>317</v>
      </c>
      <c r="C4">
        <v>25</v>
      </c>
      <c r="E4">
        <f t="shared" ref="E4:E26" si="0">E3-C4+D4</f>
        <v>-200</v>
      </c>
      <c r="J4" t="s">
        <v>253</v>
      </c>
    </row>
    <row r="5" spans="1:10" x14ac:dyDescent="0.25">
      <c r="A5" s="100">
        <v>45719</v>
      </c>
      <c r="B5" t="s">
        <v>167</v>
      </c>
      <c r="C5">
        <f>113+2</f>
        <v>115</v>
      </c>
      <c r="E5">
        <f t="shared" si="0"/>
        <v>-315</v>
      </c>
      <c r="F5" t="s">
        <v>318</v>
      </c>
      <c r="H5" t="s">
        <v>254</v>
      </c>
      <c r="I5">
        <f>C3+C7+C8+C9+C12+C13+C14+C15+C16+C17+C18+C23+C25</f>
        <v>3754</v>
      </c>
    </row>
    <row r="6" spans="1:10" x14ac:dyDescent="0.25">
      <c r="A6" s="100">
        <v>45719</v>
      </c>
      <c r="B6" s="44" t="s">
        <v>4</v>
      </c>
      <c r="D6">
        <v>4000</v>
      </c>
      <c r="E6">
        <f t="shared" si="0"/>
        <v>3685</v>
      </c>
      <c r="H6" t="s">
        <v>32</v>
      </c>
      <c r="I6">
        <f>C4+C10+C21+C22+K18+C19</f>
        <v>207</v>
      </c>
    </row>
    <row r="7" spans="1:10" x14ac:dyDescent="0.25">
      <c r="A7" s="100">
        <v>45721</v>
      </c>
      <c r="B7" s="44" t="s">
        <v>171</v>
      </c>
      <c r="C7">
        <f>1299.75+0.25</f>
        <v>1300</v>
      </c>
      <c r="E7">
        <f t="shared" si="0"/>
        <v>2385</v>
      </c>
      <c r="H7" t="s">
        <v>101</v>
      </c>
      <c r="I7">
        <f>C11+C20+C24</f>
        <v>84</v>
      </c>
    </row>
    <row r="8" spans="1:10" x14ac:dyDescent="0.25">
      <c r="A8" s="100">
        <v>45725</v>
      </c>
      <c r="B8" s="44" t="s">
        <v>320</v>
      </c>
      <c r="C8">
        <v>96</v>
      </c>
      <c r="E8">
        <f t="shared" si="0"/>
        <v>2289</v>
      </c>
      <c r="H8" t="s">
        <v>384</v>
      </c>
    </row>
    <row r="9" spans="1:10" x14ac:dyDescent="0.25">
      <c r="A9" s="100">
        <v>45727</v>
      </c>
      <c r="B9" s="44" t="s">
        <v>320</v>
      </c>
      <c r="C9">
        <v>96</v>
      </c>
      <c r="E9">
        <f t="shared" si="0"/>
        <v>2193</v>
      </c>
      <c r="H9" t="s">
        <v>293</v>
      </c>
    </row>
    <row r="10" spans="1:10" x14ac:dyDescent="0.25">
      <c r="A10" s="100">
        <v>45727</v>
      </c>
      <c r="B10" s="44" t="s">
        <v>325</v>
      </c>
      <c r="C10">
        <v>35</v>
      </c>
      <c r="E10">
        <f t="shared" si="0"/>
        <v>2158</v>
      </c>
      <c r="H10" t="s">
        <v>167</v>
      </c>
      <c r="I10">
        <f>C5</f>
        <v>115</v>
      </c>
    </row>
    <row r="11" spans="1:10" x14ac:dyDescent="0.25">
      <c r="A11" s="100">
        <v>45727</v>
      </c>
      <c r="B11" t="s">
        <v>260</v>
      </c>
      <c r="C11">
        <v>28</v>
      </c>
      <c r="E11">
        <f t="shared" si="0"/>
        <v>2130</v>
      </c>
    </row>
    <row r="12" spans="1:10" x14ac:dyDescent="0.25">
      <c r="A12" s="100">
        <v>45728</v>
      </c>
      <c r="B12" t="s">
        <v>205</v>
      </c>
      <c r="C12">
        <f>85*2+5+150</f>
        <v>325</v>
      </c>
      <c r="E12">
        <f t="shared" si="0"/>
        <v>1805</v>
      </c>
    </row>
    <row r="13" spans="1:10" x14ac:dyDescent="0.25">
      <c r="A13" s="100">
        <v>45729</v>
      </c>
      <c r="B13" s="44" t="s">
        <v>320</v>
      </c>
      <c r="C13">
        <f>48*2</f>
        <v>96</v>
      </c>
      <c r="E13">
        <f t="shared" si="0"/>
        <v>1709</v>
      </c>
    </row>
    <row r="14" spans="1:10" x14ac:dyDescent="0.25">
      <c r="A14" s="100">
        <v>45729</v>
      </c>
      <c r="B14" s="44" t="s">
        <v>326</v>
      </c>
      <c r="C14">
        <v>230</v>
      </c>
      <c r="E14">
        <f t="shared" si="0"/>
        <v>1479</v>
      </c>
    </row>
    <row r="15" spans="1:10" x14ac:dyDescent="0.25">
      <c r="A15" s="100">
        <v>45729</v>
      </c>
      <c r="B15" s="44" t="s">
        <v>320</v>
      </c>
      <c r="C15">
        <v>96</v>
      </c>
      <c r="E15">
        <f t="shared" si="0"/>
        <v>1383</v>
      </c>
      <c r="H15" s="44"/>
    </row>
    <row r="16" spans="1:10" x14ac:dyDescent="0.25">
      <c r="A16" s="100">
        <v>45733</v>
      </c>
      <c r="B16" s="44" t="s">
        <v>327</v>
      </c>
      <c r="C16">
        <v>275</v>
      </c>
      <c r="E16">
        <f t="shared" si="0"/>
        <v>1108</v>
      </c>
    </row>
    <row r="17" spans="1:5" x14ac:dyDescent="0.25">
      <c r="A17" s="100">
        <v>45736</v>
      </c>
      <c r="B17" s="44" t="s">
        <v>348</v>
      </c>
      <c r="C17">
        <f>96+75+20</f>
        <v>191</v>
      </c>
      <c r="E17">
        <f t="shared" si="0"/>
        <v>917</v>
      </c>
    </row>
    <row r="18" spans="1:5" x14ac:dyDescent="0.25">
      <c r="A18" s="100">
        <v>45740</v>
      </c>
      <c r="B18" s="44" t="s">
        <v>344</v>
      </c>
      <c r="C18">
        <f>96+160</f>
        <v>256</v>
      </c>
      <c r="E18">
        <f t="shared" si="0"/>
        <v>661</v>
      </c>
    </row>
    <row r="19" spans="1:5" x14ac:dyDescent="0.25">
      <c r="A19" s="100">
        <v>45740</v>
      </c>
      <c r="B19" t="s">
        <v>345</v>
      </c>
      <c r="C19">
        <v>50</v>
      </c>
      <c r="E19">
        <f t="shared" si="0"/>
        <v>611</v>
      </c>
    </row>
    <row r="20" spans="1:5" x14ac:dyDescent="0.25">
      <c r="A20" s="100">
        <v>45740</v>
      </c>
      <c r="B20" t="s">
        <v>260</v>
      </c>
      <c r="C20">
        <v>28</v>
      </c>
      <c r="E20">
        <f t="shared" si="0"/>
        <v>583</v>
      </c>
    </row>
    <row r="21" spans="1:5" x14ac:dyDescent="0.25">
      <c r="A21" s="100">
        <v>45740</v>
      </c>
      <c r="B21" t="s">
        <v>346</v>
      </c>
      <c r="C21">
        <v>30</v>
      </c>
      <c r="E21">
        <f t="shared" si="0"/>
        <v>553</v>
      </c>
    </row>
    <row r="22" spans="1:5" x14ac:dyDescent="0.25">
      <c r="A22" s="100">
        <v>45740</v>
      </c>
      <c r="B22" t="s">
        <v>347</v>
      </c>
      <c r="C22">
        <v>67</v>
      </c>
      <c r="E22">
        <f t="shared" si="0"/>
        <v>486</v>
      </c>
    </row>
    <row r="23" spans="1:5" x14ac:dyDescent="0.25">
      <c r="A23" s="100">
        <v>45741</v>
      </c>
      <c r="B23" t="s">
        <v>166</v>
      </c>
      <c r="C23">
        <v>373</v>
      </c>
      <c r="E23">
        <f t="shared" si="0"/>
        <v>113</v>
      </c>
    </row>
    <row r="24" spans="1:5" x14ac:dyDescent="0.25">
      <c r="A24" s="100">
        <v>45741</v>
      </c>
      <c r="B24" t="s">
        <v>260</v>
      </c>
      <c r="C24">
        <v>28</v>
      </c>
      <c r="E24">
        <f t="shared" si="0"/>
        <v>85</v>
      </c>
    </row>
    <row r="25" spans="1:5" x14ac:dyDescent="0.25">
      <c r="A25" s="100">
        <v>45743</v>
      </c>
      <c r="B25" s="44" t="s">
        <v>327</v>
      </c>
      <c r="C25">
        <v>275</v>
      </c>
      <c r="E25">
        <f t="shared" si="0"/>
        <v>-190</v>
      </c>
    </row>
    <row r="26" spans="1:5" x14ac:dyDescent="0.25">
      <c r="A26" s="100">
        <v>45743</v>
      </c>
      <c r="B26" t="s">
        <v>387</v>
      </c>
      <c r="C26">
        <v>50</v>
      </c>
      <c r="E26">
        <f t="shared" si="0"/>
        <v>-240</v>
      </c>
    </row>
    <row r="27" spans="1:5" x14ac:dyDescent="0.25">
      <c r="A27" s="100"/>
    </row>
    <row r="28" spans="1:5" x14ac:dyDescent="0.25">
      <c r="A28" s="100"/>
    </row>
    <row r="29" spans="1:5" x14ac:dyDescent="0.25">
      <c r="A29" s="100"/>
    </row>
    <row r="30" spans="1:5" x14ac:dyDescent="0.25">
      <c r="A30" s="100"/>
    </row>
    <row r="31" spans="1:5" x14ac:dyDescent="0.25">
      <c r="A31" s="100"/>
    </row>
    <row r="32" spans="1:5" x14ac:dyDescent="0.25">
      <c r="A32" s="100"/>
    </row>
    <row r="33" spans="1:1" x14ac:dyDescent="0.25">
      <c r="A33" s="100"/>
    </row>
    <row r="34" spans="1:1" x14ac:dyDescent="0.25">
      <c r="A34" s="100"/>
    </row>
    <row r="35" spans="1:1" x14ac:dyDescent="0.25">
      <c r="A35" s="100"/>
    </row>
    <row r="36" spans="1:1" x14ac:dyDescent="0.25">
      <c r="A36" s="100"/>
    </row>
    <row r="37" spans="1:1" x14ac:dyDescent="0.25">
      <c r="A37" s="100"/>
    </row>
    <row r="38" spans="1:1" x14ac:dyDescent="0.25">
      <c r="A38" s="100"/>
    </row>
    <row r="39" spans="1:1" x14ac:dyDescent="0.25">
      <c r="A39" s="100"/>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8279-3F7F-450F-9801-8F6CFBEEFB65}">
  <sheetPr codeName="Sheet18"/>
  <dimension ref="A1:J40"/>
  <sheetViews>
    <sheetView topLeftCell="A9"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f>Mar!E26</f>
        <v>-240</v>
      </c>
    </row>
    <row r="3" spans="1:10" x14ac:dyDescent="0.25">
      <c r="A3" s="100">
        <v>45751</v>
      </c>
      <c r="B3" s="44" t="s">
        <v>320</v>
      </c>
      <c r="C3">
        <v>96</v>
      </c>
      <c r="E3">
        <f>E2-C3+D3</f>
        <v>-336</v>
      </c>
    </row>
    <row r="4" spans="1:10" x14ac:dyDescent="0.25">
      <c r="A4" s="100">
        <v>45753</v>
      </c>
      <c r="B4" t="s">
        <v>399</v>
      </c>
      <c r="C4">
        <v>75</v>
      </c>
      <c r="E4">
        <f>E3-C4+D4</f>
        <v>-411</v>
      </c>
      <c r="J4" t="s">
        <v>253</v>
      </c>
    </row>
    <row r="5" spans="1:10" x14ac:dyDescent="0.25">
      <c r="A5" s="100">
        <v>45754</v>
      </c>
      <c r="B5" t="s">
        <v>400</v>
      </c>
      <c r="C5">
        <f>17+3</f>
        <v>20</v>
      </c>
      <c r="E5">
        <f t="shared" ref="E5:E6" si="0">E4-C5+D5</f>
        <v>-431</v>
      </c>
      <c r="H5" t="s">
        <v>254</v>
      </c>
      <c r="I5">
        <f>C3+C4+C6+C8+C10+C13+C18+C20+C23+C24+C25</f>
        <v>5272.5</v>
      </c>
    </row>
    <row r="6" spans="1:10" x14ac:dyDescent="0.25">
      <c r="A6" s="100">
        <v>45754</v>
      </c>
      <c r="B6" t="s">
        <v>166</v>
      </c>
      <c r="C6">
        <f>85+96+60+5</f>
        <v>246</v>
      </c>
      <c r="E6">
        <f t="shared" si="0"/>
        <v>-677</v>
      </c>
      <c r="H6" t="s">
        <v>32</v>
      </c>
      <c r="I6">
        <f>C14+C21</f>
        <v>80</v>
      </c>
    </row>
    <row r="7" spans="1:10" x14ac:dyDescent="0.25">
      <c r="A7" s="100">
        <v>45754</v>
      </c>
      <c r="B7" t="s">
        <v>167</v>
      </c>
      <c r="C7" s="182">
        <f>113+2</f>
        <v>115</v>
      </c>
      <c r="E7">
        <f t="shared" ref="E7:E25" si="1">E6-C7+D7</f>
        <v>-792</v>
      </c>
      <c r="H7" t="s">
        <v>101</v>
      </c>
      <c r="I7">
        <f>C11+C17+C19+C22</f>
        <v>184</v>
      </c>
    </row>
    <row r="8" spans="1:10" x14ac:dyDescent="0.25">
      <c r="A8" s="100">
        <v>45755</v>
      </c>
      <c r="B8" t="s">
        <v>399</v>
      </c>
      <c r="C8">
        <v>75</v>
      </c>
      <c r="E8">
        <f t="shared" si="1"/>
        <v>-867</v>
      </c>
      <c r="H8" t="s">
        <v>384</v>
      </c>
      <c r="I8">
        <f>C5</f>
        <v>20</v>
      </c>
    </row>
    <row r="9" spans="1:10" x14ac:dyDescent="0.25">
      <c r="A9" s="100">
        <v>45755</v>
      </c>
      <c r="B9" t="s">
        <v>4</v>
      </c>
      <c r="D9">
        <v>5000</v>
      </c>
      <c r="E9">
        <f t="shared" si="1"/>
        <v>4133</v>
      </c>
      <c r="H9" t="s">
        <v>403</v>
      </c>
      <c r="I9">
        <f>C12</f>
        <v>1000</v>
      </c>
    </row>
    <row r="10" spans="1:10" x14ac:dyDescent="0.25">
      <c r="A10" s="100">
        <v>45755</v>
      </c>
      <c r="B10" t="s">
        <v>171</v>
      </c>
      <c r="C10">
        <v>2967.5</v>
      </c>
      <c r="E10">
        <f t="shared" si="1"/>
        <v>1165.5</v>
      </c>
      <c r="H10" t="s">
        <v>167</v>
      </c>
      <c r="I10">
        <f>C7</f>
        <v>115</v>
      </c>
    </row>
    <row r="11" spans="1:10" x14ac:dyDescent="0.25">
      <c r="A11" s="100">
        <v>45755</v>
      </c>
      <c r="B11" t="s">
        <v>172</v>
      </c>
      <c r="C11">
        <f>40+14</f>
        <v>54</v>
      </c>
      <c r="E11">
        <f t="shared" si="1"/>
        <v>1111.5</v>
      </c>
      <c r="H11" t="s">
        <v>416</v>
      </c>
      <c r="I11">
        <v>1500</v>
      </c>
    </row>
    <row r="12" spans="1:10" x14ac:dyDescent="0.25">
      <c r="A12" s="100">
        <v>45757</v>
      </c>
      <c r="B12" t="s">
        <v>403</v>
      </c>
      <c r="C12">
        <v>1000</v>
      </c>
      <c r="E12">
        <f t="shared" si="1"/>
        <v>111.5</v>
      </c>
      <c r="F12" t="s">
        <v>408</v>
      </c>
    </row>
    <row r="13" spans="1:10" x14ac:dyDescent="0.25">
      <c r="A13" s="100">
        <v>45761</v>
      </c>
      <c r="B13" t="s">
        <v>205</v>
      </c>
      <c r="C13">
        <f>170+5</f>
        <v>175</v>
      </c>
      <c r="E13">
        <f t="shared" si="1"/>
        <v>-63.5</v>
      </c>
    </row>
    <row r="14" spans="1:10" x14ac:dyDescent="0.25">
      <c r="A14" s="100">
        <v>45763</v>
      </c>
      <c r="B14" t="s">
        <v>414</v>
      </c>
      <c r="C14">
        <v>50</v>
      </c>
      <c r="E14">
        <f t="shared" si="1"/>
        <v>-113.5</v>
      </c>
    </row>
    <row r="15" spans="1:10" x14ac:dyDescent="0.25">
      <c r="A15" s="100">
        <v>45770</v>
      </c>
      <c r="B15" t="s">
        <v>4</v>
      </c>
      <c r="D15">
        <v>4000</v>
      </c>
      <c r="E15">
        <f t="shared" si="1"/>
        <v>3886.5</v>
      </c>
    </row>
    <row r="16" spans="1:10" x14ac:dyDescent="0.25">
      <c r="A16" s="100">
        <v>45770</v>
      </c>
      <c r="B16" t="s">
        <v>416</v>
      </c>
      <c r="C16">
        <v>1500</v>
      </c>
      <c r="E16">
        <f t="shared" si="1"/>
        <v>2386.5</v>
      </c>
    </row>
    <row r="17" spans="1:5" x14ac:dyDescent="0.25">
      <c r="A17" s="100">
        <v>45770</v>
      </c>
      <c r="B17" t="s">
        <v>421</v>
      </c>
      <c r="C17">
        <v>40</v>
      </c>
      <c r="E17">
        <f t="shared" si="1"/>
        <v>2346.5</v>
      </c>
    </row>
    <row r="18" spans="1:5" x14ac:dyDescent="0.25">
      <c r="A18" s="100">
        <v>45770</v>
      </c>
      <c r="B18" t="s">
        <v>205</v>
      </c>
      <c r="C18">
        <v>175</v>
      </c>
      <c r="E18">
        <f t="shared" si="1"/>
        <v>2171.5</v>
      </c>
    </row>
    <row r="19" spans="1:5" x14ac:dyDescent="0.25">
      <c r="A19" s="100">
        <v>45770</v>
      </c>
      <c r="B19" t="s">
        <v>260</v>
      </c>
      <c r="C19">
        <v>30</v>
      </c>
      <c r="E19">
        <f t="shared" si="1"/>
        <v>2141.5</v>
      </c>
    </row>
    <row r="20" spans="1:5" x14ac:dyDescent="0.25">
      <c r="A20" s="100">
        <v>45774</v>
      </c>
      <c r="B20" t="s">
        <v>320</v>
      </c>
      <c r="C20">
        <f>48*2</f>
        <v>96</v>
      </c>
      <c r="E20">
        <f t="shared" si="1"/>
        <v>2045.5</v>
      </c>
    </row>
    <row r="21" spans="1:5" x14ac:dyDescent="0.25">
      <c r="A21" s="100">
        <v>45775</v>
      </c>
      <c r="B21" t="s">
        <v>423</v>
      </c>
      <c r="C21">
        <v>30</v>
      </c>
      <c r="E21">
        <f t="shared" si="1"/>
        <v>2015.5</v>
      </c>
    </row>
    <row r="22" spans="1:5" x14ac:dyDescent="0.25">
      <c r="A22" s="100">
        <v>45775</v>
      </c>
      <c r="B22" t="s">
        <v>424</v>
      </c>
      <c r="C22">
        <v>60</v>
      </c>
      <c r="E22">
        <f t="shared" si="1"/>
        <v>1955.5</v>
      </c>
    </row>
    <row r="23" spans="1:5" x14ac:dyDescent="0.25">
      <c r="A23" s="100">
        <v>45775</v>
      </c>
      <c r="B23" t="s">
        <v>320</v>
      </c>
      <c r="C23">
        <f>48*2</f>
        <v>96</v>
      </c>
      <c r="E23">
        <f t="shared" si="1"/>
        <v>1859.5</v>
      </c>
    </row>
    <row r="24" spans="1:5" x14ac:dyDescent="0.25">
      <c r="A24" s="100">
        <v>45776</v>
      </c>
      <c r="B24" t="s">
        <v>320</v>
      </c>
      <c r="C24">
        <v>96</v>
      </c>
      <c r="E24">
        <f t="shared" si="1"/>
        <v>1763.5</v>
      </c>
    </row>
    <row r="25" spans="1:5" x14ac:dyDescent="0.25">
      <c r="A25" s="100">
        <v>45777</v>
      </c>
      <c r="B25" t="s">
        <v>171</v>
      </c>
      <c r="C25">
        <f>1173.45+1.55</f>
        <v>1175</v>
      </c>
      <c r="E25">
        <f t="shared" si="1"/>
        <v>588.5</v>
      </c>
    </row>
    <row r="26" spans="1:5" x14ac:dyDescent="0.25">
      <c r="A26" s="100"/>
    </row>
    <row r="27" spans="1:5" x14ac:dyDescent="0.25">
      <c r="A27" s="100"/>
    </row>
    <row r="29" spans="1:5" x14ac:dyDescent="0.25">
      <c r="A29" s="100"/>
    </row>
    <row r="30" spans="1:5" x14ac:dyDescent="0.25">
      <c r="A30" s="100"/>
    </row>
    <row r="31" spans="1:5" x14ac:dyDescent="0.25">
      <c r="A31" s="100"/>
    </row>
    <row r="32" spans="1:5" x14ac:dyDescent="0.25">
      <c r="A32" s="100"/>
    </row>
    <row r="33" spans="1:1" x14ac:dyDescent="0.25">
      <c r="A33" s="100"/>
    </row>
    <row r="34" spans="1:1" x14ac:dyDescent="0.25">
      <c r="A34" s="100"/>
    </row>
    <row r="35" spans="1:1" x14ac:dyDescent="0.25">
      <c r="A35" s="100"/>
    </row>
    <row r="36" spans="1:1" x14ac:dyDescent="0.25">
      <c r="A36" s="100"/>
    </row>
    <row r="37" spans="1:1" x14ac:dyDescent="0.25">
      <c r="A37" s="100"/>
    </row>
    <row r="38" spans="1:1" x14ac:dyDescent="0.25">
      <c r="A38" s="100"/>
    </row>
    <row r="39" spans="1:1" x14ac:dyDescent="0.25">
      <c r="A39" s="100"/>
    </row>
    <row r="40" spans="1:1" x14ac:dyDescent="0.25">
      <c r="A40" s="100"/>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7944-77AC-4195-BFBF-A65B1D48D9AC}">
  <sheetPr codeName="Sheet19"/>
  <dimension ref="A1:J38"/>
  <sheetViews>
    <sheetView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f>[1]Apr!E25</f>
        <v>588.5</v>
      </c>
    </row>
    <row r="3" spans="1:10" x14ac:dyDescent="0.25">
      <c r="A3" s="100">
        <v>45781</v>
      </c>
      <c r="B3" t="s">
        <v>436</v>
      </c>
      <c r="C3">
        <f>18+2</f>
        <v>20</v>
      </c>
      <c r="E3">
        <f>E2-C3+D3</f>
        <v>568.5</v>
      </c>
    </row>
    <row r="4" spans="1:10" x14ac:dyDescent="0.25">
      <c r="A4" s="100">
        <v>45782</v>
      </c>
      <c r="B4" t="s">
        <v>205</v>
      </c>
      <c r="C4">
        <f>190+5</f>
        <v>195</v>
      </c>
      <c r="E4">
        <f t="shared" ref="E4:E6" si="0">E3-C4+D4</f>
        <v>373.5</v>
      </c>
    </row>
    <row r="5" spans="1:10" x14ac:dyDescent="0.25">
      <c r="A5" s="100">
        <v>45782</v>
      </c>
      <c r="B5" t="s">
        <v>446</v>
      </c>
      <c r="C5">
        <v>160</v>
      </c>
      <c r="E5">
        <f t="shared" si="0"/>
        <v>213.5</v>
      </c>
      <c r="J5" t="s">
        <v>253</v>
      </c>
    </row>
    <row r="6" spans="1:10" x14ac:dyDescent="0.25">
      <c r="A6" s="100">
        <v>45782</v>
      </c>
      <c r="B6" t="s">
        <v>167</v>
      </c>
      <c r="C6" s="182">
        <f>113+2</f>
        <v>115</v>
      </c>
      <c r="E6">
        <f t="shared" si="0"/>
        <v>98.5</v>
      </c>
      <c r="H6" t="s">
        <v>254</v>
      </c>
      <c r="I6">
        <f>C4+C7+C9+C11+C12+C14+C15+C18+C19+C21</f>
        <v>7085</v>
      </c>
    </row>
    <row r="7" spans="1:10" x14ac:dyDescent="0.25">
      <c r="A7" s="100">
        <v>45788</v>
      </c>
      <c r="B7" t="s">
        <v>461</v>
      </c>
      <c r="C7">
        <f>48*2</f>
        <v>96</v>
      </c>
      <c r="E7">
        <f>E6-C7+D7</f>
        <v>2.5</v>
      </c>
      <c r="H7" t="s">
        <v>32</v>
      </c>
      <c r="I7">
        <f>C5+C13</f>
        <v>563</v>
      </c>
    </row>
    <row r="8" spans="1:10" x14ac:dyDescent="0.25">
      <c r="A8" s="100">
        <v>45788</v>
      </c>
      <c r="B8" t="s">
        <v>4</v>
      </c>
      <c r="D8">
        <v>4000</v>
      </c>
      <c r="E8">
        <f>E7-C8+D8</f>
        <v>4002.5</v>
      </c>
      <c r="H8" t="s">
        <v>101</v>
      </c>
      <c r="I8">
        <f>C10+C17+C20+C22</f>
        <v>188</v>
      </c>
    </row>
    <row r="9" spans="1:10" x14ac:dyDescent="0.25">
      <c r="A9" s="100">
        <v>45789</v>
      </c>
      <c r="B9" t="s">
        <v>171</v>
      </c>
      <c r="C9">
        <f>2964.35+0.65</f>
        <v>2965</v>
      </c>
      <c r="E9">
        <f t="shared" ref="E9:E22" si="1">E8-C9+D9</f>
        <v>1037.5</v>
      </c>
      <c r="H9" t="s">
        <v>384</v>
      </c>
      <c r="I9">
        <f>C3</f>
        <v>20</v>
      </c>
    </row>
    <row r="10" spans="1:10" x14ac:dyDescent="0.25">
      <c r="A10" s="100">
        <v>45789</v>
      </c>
      <c r="B10" t="s">
        <v>172</v>
      </c>
      <c r="C10">
        <v>46</v>
      </c>
      <c r="E10">
        <f t="shared" si="1"/>
        <v>991.5</v>
      </c>
      <c r="H10" t="s">
        <v>167</v>
      </c>
      <c r="I10">
        <f>C6</f>
        <v>115</v>
      </c>
    </row>
    <row r="11" spans="1:10" x14ac:dyDescent="0.25">
      <c r="A11" s="100">
        <v>45789</v>
      </c>
      <c r="B11" t="s">
        <v>205</v>
      </c>
      <c r="C11">
        <v>195</v>
      </c>
      <c r="E11">
        <f t="shared" si="1"/>
        <v>796.5</v>
      </c>
    </row>
    <row r="12" spans="1:10" x14ac:dyDescent="0.25">
      <c r="A12" s="100">
        <v>45790</v>
      </c>
      <c r="B12" t="s">
        <v>469</v>
      </c>
      <c r="C12">
        <f>2*6</f>
        <v>12</v>
      </c>
      <c r="E12">
        <f t="shared" si="1"/>
        <v>784.5</v>
      </c>
    </row>
    <row r="13" spans="1:10" x14ac:dyDescent="0.25">
      <c r="A13" s="100">
        <v>45792</v>
      </c>
      <c r="B13" t="s">
        <v>468</v>
      </c>
      <c r="C13">
        <f>9*42+5*5</f>
        <v>403</v>
      </c>
      <c r="E13">
        <f t="shared" si="1"/>
        <v>381.5</v>
      </c>
    </row>
    <row r="14" spans="1:10" x14ac:dyDescent="0.25">
      <c r="A14" s="100">
        <v>45792</v>
      </c>
      <c r="B14" t="s">
        <v>205</v>
      </c>
      <c r="C14">
        <v>195</v>
      </c>
      <c r="E14">
        <f t="shared" si="1"/>
        <v>186.5</v>
      </c>
    </row>
    <row r="15" spans="1:10" x14ac:dyDescent="0.25">
      <c r="A15" s="100">
        <v>45798</v>
      </c>
      <c r="B15" t="s">
        <v>476</v>
      </c>
      <c r="C15">
        <f>275+95+5</f>
        <v>375</v>
      </c>
      <c r="E15">
        <f t="shared" si="1"/>
        <v>-188.5</v>
      </c>
    </row>
    <row r="16" spans="1:10" x14ac:dyDescent="0.25">
      <c r="A16" s="100">
        <v>45798</v>
      </c>
      <c r="B16" t="s">
        <v>4</v>
      </c>
      <c r="D16">
        <v>4000</v>
      </c>
      <c r="E16">
        <f t="shared" si="1"/>
        <v>3811.5</v>
      </c>
    </row>
    <row r="17" spans="1:5" x14ac:dyDescent="0.25">
      <c r="A17" s="100">
        <v>45799</v>
      </c>
      <c r="B17" t="s">
        <v>260</v>
      </c>
      <c r="C17">
        <v>30</v>
      </c>
      <c r="E17">
        <f t="shared" si="1"/>
        <v>3781.5</v>
      </c>
    </row>
    <row r="18" spans="1:5" x14ac:dyDescent="0.25">
      <c r="A18" s="100">
        <v>45802</v>
      </c>
      <c r="B18" t="s">
        <v>489</v>
      </c>
      <c r="C18">
        <v>195</v>
      </c>
      <c r="E18">
        <f t="shared" si="1"/>
        <v>3586.5</v>
      </c>
    </row>
    <row r="19" spans="1:5" x14ac:dyDescent="0.25">
      <c r="A19" s="100">
        <v>45803</v>
      </c>
      <c r="B19" t="s">
        <v>171</v>
      </c>
      <c r="C19">
        <v>2662</v>
      </c>
      <c r="E19">
        <f t="shared" si="1"/>
        <v>924.5</v>
      </c>
    </row>
    <row r="20" spans="1:5" x14ac:dyDescent="0.25">
      <c r="A20" s="100">
        <v>45803</v>
      </c>
      <c r="B20" t="s">
        <v>172</v>
      </c>
      <c r="C20">
        <v>52</v>
      </c>
      <c r="E20">
        <f t="shared" si="1"/>
        <v>872.5</v>
      </c>
    </row>
    <row r="21" spans="1:5" x14ac:dyDescent="0.25">
      <c r="A21" s="100">
        <v>45803</v>
      </c>
      <c r="B21" t="s">
        <v>489</v>
      </c>
      <c r="C21">
        <v>195</v>
      </c>
      <c r="E21">
        <f t="shared" si="1"/>
        <v>677.5</v>
      </c>
    </row>
    <row r="22" spans="1:5" x14ac:dyDescent="0.25">
      <c r="A22" s="100">
        <v>45803</v>
      </c>
      <c r="B22" t="s">
        <v>260</v>
      </c>
      <c r="C22">
        <f>30+30</f>
        <v>60</v>
      </c>
      <c r="E22">
        <f t="shared" si="1"/>
        <v>617.5</v>
      </c>
    </row>
    <row r="23" spans="1:5" x14ac:dyDescent="0.25">
      <c r="A23" s="100"/>
    </row>
    <row r="24" spans="1:5" x14ac:dyDescent="0.25">
      <c r="A24" s="100"/>
    </row>
    <row r="25" spans="1:5" x14ac:dyDescent="0.25">
      <c r="A25" s="100"/>
    </row>
    <row r="26" spans="1:5" x14ac:dyDescent="0.25">
      <c r="A26" s="100"/>
    </row>
    <row r="27" spans="1:5" x14ac:dyDescent="0.25">
      <c r="A27" s="100"/>
    </row>
    <row r="28" spans="1:5" x14ac:dyDescent="0.25">
      <c r="A28" s="100"/>
    </row>
    <row r="29" spans="1:5" x14ac:dyDescent="0.25">
      <c r="A29" s="100"/>
    </row>
    <row r="30" spans="1:5" x14ac:dyDescent="0.25">
      <c r="A30" s="100"/>
    </row>
    <row r="31" spans="1:5" x14ac:dyDescent="0.25">
      <c r="A31" s="100"/>
    </row>
    <row r="32" spans="1:5" x14ac:dyDescent="0.25">
      <c r="A32" s="100"/>
    </row>
    <row r="33" spans="1:1" x14ac:dyDescent="0.25">
      <c r="A33" s="100"/>
    </row>
    <row r="34" spans="1:1" x14ac:dyDescent="0.25">
      <c r="A34" s="100"/>
    </row>
    <row r="35" spans="1:1" x14ac:dyDescent="0.25">
      <c r="A35" s="100"/>
    </row>
    <row r="36" spans="1:1" x14ac:dyDescent="0.25">
      <c r="A36" s="100"/>
    </row>
    <row r="37" spans="1:1" x14ac:dyDescent="0.25">
      <c r="A37" s="100"/>
    </row>
    <row r="38" spans="1:1" x14ac:dyDescent="0.25">
      <c r="A38" s="100"/>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A7DD-AA5B-48AD-B8A9-50B0C8D10F92}">
  <sheetPr codeName="Sheet20"/>
  <dimension ref="A1:J38"/>
  <sheetViews>
    <sheetView topLeftCell="C1"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f>May!E22</f>
        <v>617.5</v>
      </c>
    </row>
    <row r="3" spans="1:10" x14ac:dyDescent="0.25">
      <c r="A3" s="100">
        <v>45809</v>
      </c>
      <c r="B3" t="s">
        <v>510</v>
      </c>
      <c r="C3">
        <f>17+3</f>
        <v>20</v>
      </c>
      <c r="E3">
        <f t="shared" ref="E3:E10" si="0">E2-C3+D3</f>
        <v>597.5</v>
      </c>
    </row>
    <row r="4" spans="1:10" x14ac:dyDescent="0.25">
      <c r="A4" s="100">
        <v>45810</v>
      </c>
      <c r="B4" t="s">
        <v>167</v>
      </c>
      <c r="C4" s="182">
        <f>113+2</f>
        <v>115</v>
      </c>
      <c r="E4">
        <f t="shared" si="0"/>
        <v>482.5</v>
      </c>
    </row>
    <row r="5" spans="1:10" x14ac:dyDescent="0.25">
      <c r="A5" s="100">
        <v>45811</v>
      </c>
      <c r="B5" t="s">
        <v>205</v>
      </c>
      <c r="C5">
        <v>195</v>
      </c>
      <c r="E5">
        <f t="shared" si="0"/>
        <v>287.5</v>
      </c>
      <c r="J5" t="s">
        <v>253</v>
      </c>
    </row>
    <row r="6" spans="1:10" x14ac:dyDescent="0.25">
      <c r="A6" s="100">
        <v>45812</v>
      </c>
      <c r="B6" t="s">
        <v>62</v>
      </c>
      <c r="C6" s="182"/>
      <c r="D6">
        <v>5000</v>
      </c>
      <c r="E6">
        <f t="shared" si="0"/>
        <v>5287.5</v>
      </c>
      <c r="H6" t="s">
        <v>254</v>
      </c>
      <c r="I6">
        <f>C5+C7+C12+C18+C20+C21+C23+C25</f>
        <v>7677.5</v>
      </c>
    </row>
    <row r="7" spans="1:10" x14ac:dyDescent="0.25">
      <c r="A7" s="100">
        <v>45818</v>
      </c>
      <c r="B7" t="s">
        <v>171</v>
      </c>
      <c r="C7">
        <v>2901</v>
      </c>
      <c r="E7">
        <f t="shared" si="0"/>
        <v>2386.5</v>
      </c>
      <c r="H7" t="s">
        <v>32</v>
      </c>
      <c r="I7">
        <f>C16</f>
        <v>70</v>
      </c>
    </row>
    <row r="8" spans="1:10" x14ac:dyDescent="0.25">
      <c r="A8" s="100">
        <v>45818</v>
      </c>
      <c r="B8" t="s">
        <v>172</v>
      </c>
      <c r="C8">
        <v>55</v>
      </c>
      <c r="E8">
        <f t="shared" si="0"/>
        <v>2331.5</v>
      </c>
      <c r="H8" t="s">
        <v>101</v>
      </c>
      <c r="I8">
        <f>C8+C9+C10+C13+C14+C17+C22+C26+C27</f>
        <v>625</v>
      </c>
    </row>
    <row r="9" spans="1:10" x14ac:dyDescent="0.25">
      <c r="A9" s="100">
        <v>45812</v>
      </c>
      <c r="B9" t="s">
        <v>260</v>
      </c>
      <c r="C9">
        <v>30</v>
      </c>
      <c r="E9">
        <f t="shared" si="0"/>
        <v>2301.5</v>
      </c>
      <c r="H9" t="s">
        <v>384</v>
      </c>
      <c r="I9">
        <f>C3</f>
        <v>20</v>
      </c>
    </row>
    <row r="10" spans="1:10" x14ac:dyDescent="0.25">
      <c r="A10" s="100">
        <v>45818</v>
      </c>
      <c r="B10" t="s">
        <v>260</v>
      </c>
      <c r="C10">
        <v>90</v>
      </c>
      <c r="E10">
        <f t="shared" si="0"/>
        <v>2211.5</v>
      </c>
      <c r="H10" t="s">
        <v>167</v>
      </c>
      <c r="I10">
        <f>C4+C28</f>
        <v>230</v>
      </c>
    </row>
    <row r="11" spans="1:10" x14ac:dyDescent="0.25">
      <c r="A11" s="100">
        <v>45812</v>
      </c>
      <c r="B11" t="s">
        <v>295</v>
      </c>
      <c r="C11">
        <v>414</v>
      </c>
      <c r="E11">
        <f>E10-C11+D11</f>
        <v>1797.5</v>
      </c>
      <c r="H11" t="s">
        <v>538</v>
      </c>
      <c r="I11">
        <f>C19</f>
        <v>350</v>
      </c>
    </row>
    <row r="12" spans="1:10" x14ac:dyDescent="0.25">
      <c r="A12" s="100">
        <v>45818</v>
      </c>
      <c r="B12" t="s">
        <v>166</v>
      </c>
      <c r="C12">
        <f>95+120+165+140</f>
        <v>520</v>
      </c>
      <c r="E12">
        <f>E11-C12+D12</f>
        <v>1277.5</v>
      </c>
      <c r="H12" t="s">
        <v>295</v>
      </c>
      <c r="I12">
        <v>414</v>
      </c>
    </row>
    <row r="13" spans="1:10" x14ac:dyDescent="0.25">
      <c r="A13" s="100">
        <v>45819</v>
      </c>
      <c r="B13" t="s">
        <v>521</v>
      </c>
      <c r="C13">
        <f>45+85+85</f>
        <v>215</v>
      </c>
      <c r="E13">
        <f>E12-C13+D13</f>
        <v>1062.5</v>
      </c>
      <c r="I13" s="117"/>
    </row>
    <row r="14" spans="1:10" x14ac:dyDescent="0.25">
      <c r="A14" s="100">
        <v>45819</v>
      </c>
      <c r="B14" t="s">
        <v>260</v>
      </c>
      <c r="C14">
        <v>30</v>
      </c>
      <c r="E14">
        <f>E13-C14+D14</f>
        <v>1032.5</v>
      </c>
    </row>
    <row r="15" spans="1:10" x14ac:dyDescent="0.25">
      <c r="A15" s="100">
        <v>45819</v>
      </c>
      <c r="B15" t="s">
        <v>62</v>
      </c>
      <c r="D15">
        <v>495</v>
      </c>
      <c r="E15">
        <f>E14-C15+D15</f>
        <v>1527.5</v>
      </c>
    </row>
    <row r="16" spans="1:10" x14ac:dyDescent="0.25">
      <c r="A16" s="100">
        <v>45823</v>
      </c>
      <c r="B16" t="s">
        <v>537</v>
      </c>
      <c r="C16">
        <v>70</v>
      </c>
      <c r="E16">
        <f t="shared" ref="E16:E28" si="1">E15-C16+D16</f>
        <v>1457.5</v>
      </c>
    </row>
    <row r="17" spans="1:5" x14ac:dyDescent="0.25">
      <c r="A17" s="100">
        <v>45823</v>
      </c>
      <c r="B17" t="s">
        <v>536</v>
      </c>
      <c r="C17">
        <v>95</v>
      </c>
      <c r="E17">
        <f t="shared" si="1"/>
        <v>1362.5</v>
      </c>
    </row>
    <row r="18" spans="1:5" x14ac:dyDescent="0.25">
      <c r="A18" s="100">
        <v>45824</v>
      </c>
      <c r="B18" t="s">
        <v>205</v>
      </c>
      <c r="C18">
        <v>195</v>
      </c>
      <c r="E18">
        <f t="shared" si="1"/>
        <v>1167.5</v>
      </c>
    </row>
    <row r="19" spans="1:5" x14ac:dyDescent="0.25">
      <c r="A19" s="100">
        <v>45824</v>
      </c>
      <c r="B19" t="s">
        <v>538</v>
      </c>
      <c r="C19">
        <v>350</v>
      </c>
      <c r="E19">
        <f t="shared" si="1"/>
        <v>817.5</v>
      </c>
    </row>
    <row r="20" spans="1:5" x14ac:dyDescent="0.25">
      <c r="A20" s="100">
        <v>45827</v>
      </c>
      <c r="B20" t="s">
        <v>205</v>
      </c>
      <c r="C20">
        <v>195</v>
      </c>
      <c r="E20">
        <f t="shared" si="1"/>
        <v>622.5</v>
      </c>
    </row>
    <row r="21" spans="1:5" x14ac:dyDescent="0.25">
      <c r="A21" s="100">
        <v>45827</v>
      </c>
      <c r="B21" t="s">
        <v>166</v>
      </c>
      <c r="C21">
        <v>165</v>
      </c>
      <c r="E21">
        <f t="shared" si="1"/>
        <v>457.5</v>
      </c>
    </row>
    <row r="22" spans="1:5" x14ac:dyDescent="0.25">
      <c r="A22" s="100">
        <v>45830</v>
      </c>
      <c r="B22" t="s">
        <v>260</v>
      </c>
      <c r="C22">
        <v>30</v>
      </c>
      <c r="E22">
        <f t="shared" si="1"/>
        <v>427.5</v>
      </c>
    </row>
    <row r="23" spans="1:5" x14ac:dyDescent="0.25">
      <c r="A23" s="100">
        <v>45833</v>
      </c>
      <c r="B23" t="s">
        <v>205</v>
      </c>
      <c r="C23">
        <v>195</v>
      </c>
      <c r="E23">
        <f t="shared" si="1"/>
        <v>232.5</v>
      </c>
    </row>
    <row r="24" spans="1:5" x14ac:dyDescent="0.25">
      <c r="A24" s="100">
        <v>45838</v>
      </c>
      <c r="B24" t="s">
        <v>62</v>
      </c>
      <c r="D24">
        <f>7576.91+0.09</f>
        <v>7577</v>
      </c>
      <c r="E24">
        <f t="shared" si="1"/>
        <v>7809.5</v>
      </c>
    </row>
    <row r="25" spans="1:5" x14ac:dyDescent="0.25">
      <c r="A25" s="100">
        <v>45838</v>
      </c>
      <c r="B25" t="s">
        <v>171</v>
      </c>
      <c r="C25">
        <v>3311.5</v>
      </c>
      <c r="E25">
        <f t="shared" si="1"/>
        <v>4498</v>
      </c>
    </row>
    <row r="26" spans="1:5" x14ac:dyDescent="0.25">
      <c r="A26" s="100">
        <v>45838</v>
      </c>
      <c r="B26" t="s">
        <v>172</v>
      </c>
      <c r="C26">
        <v>50</v>
      </c>
      <c r="E26">
        <f t="shared" si="1"/>
        <v>4448</v>
      </c>
    </row>
    <row r="27" spans="1:5" x14ac:dyDescent="0.25">
      <c r="A27" s="100">
        <v>45838</v>
      </c>
      <c r="B27" t="s">
        <v>260</v>
      </c>
      <c r="C27">
        <v>30</v>
      </c>
      <c r="E27">
        <f t="shared" si="1"/>
        <v>4418</v>
      </c>
    </row>
    <row r="28" spans="1:5" x14ac:dyDescent="0.25">
      <c r="A28" s="100">
        <v>45838</v>
      </c>
      <c r="B28" t="s">
        <v>167</v>
      </c>
      <c r="C28" s="182">
        <f>113+2</f>
        <v>115</v>
      </c>
      <c r="E28">
        <f t="shared" si="1"/>
        <v>4303</v>
      </c>
    </row>
    <row r="29" spans="1:5" x14ac:dyDescent="0.25">
      <c r="A29" s="100"/>
    </row>
    <row r="30" spans="1:5" x14ac:dyDescent="0.25">
      <c r="A30" s="100"/>
    </row>
    <row r="31" spans="1:5" x14ac:dyDescent="0.25">
      <c r="A31" s="100"/>
    </row>
    <row r="32" spans="1:5" x14ac:dyDescent="0.25">
      <c r="A32" s="100"/>
    </row>
    <row r="33" spans="1:1" x14ac:dyDescent="0.25">
      <c r="A33" s="100"/>
    </row>
    <row r="34" spans="1:1" x14ac:dyDescent="0.25">
      <c r="A34" s="100"/>
    </row>
    <row r="35" spans="1:1" x14ac:dyDescent="0.25">
      <c r="A35" s="100"/>
    </row>
    <row r="36" spans="1:1" x14ac:dyDescent="0.25">
      <c r="A36" s="100"/>
    </row>
    <row r="37" spans="1:1" x14ac:dyDescent="0.25">
      <c r="A37" s="100"/>
    </row>
    <row r="38" spans="1:1" x14ac:dyDescent="0.25">
      <c r="A38" s="100"/>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16C8D-BBD1-49F7-98E9-77F7B4A947D0}">
  <sheetPr codeName="Sheet21"/>
  <dimension ref="A1:J22"/>
  <sheetViews>
    <sheetView topLeftCell="A5"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A2" s="100"/>
      <c r="B2" s="100"/>
      <c r="E2">
        <f>Jun!E28</f>
        <v>4303</v>
      </c>
    </row>
    <row r="3" spans="1:10" x14ac:dyDescent="0.25">
      <c r="A3" s="100">
        <v>45839</v>
      </c>
      <c r="B3" t="s">
        <v>205</v>
      </c>
      <c r="C3">
        <v>195</v>
      </c>
      <c r="E3">
        <f>E2-C3+D3</f>
        <v>4108</v>
      </c>
    </row>
    <row r="4" spans="1:10" x14ac:dyDescent="0.25">
      <c r="A4" s="100">
        <v>45840</v>
      </c>
      <c r="B4" t="s">
        <v>565</v>
      </c>
      <c r="C4">
        <v>30</v>
      </c>
      <c r="E4">
        <f t="shared" ref="E4:E15" si="0">E3-C4+D4</f>
        <v>4078</v>
      </c>
    </row>
    <row r="5" spans="1:10" x14ac:dyDescent="0.25">
      <c r="A5" s="100">
        <v>45844</v>
      </c>
      <c r="B5" t="s">
        <v>260</v>
      </c>
      <c r="C5">
        <v>30</v>
      </c>
      <c r="E5">
        <f t="shared" si="0"/>
        <v>4048</v>
      </c>
    </row>
    <row r="6" spans="1:10" x14ac:dyDescent="0.25">
      <c r="A6" s="100">
        <v>45844</v>
      </c>
      <c r="B6" t="s">
        <v>62</v>
      </c>
      <c r="D6">
        <v>6000</v>
      </c>
      <c r="E6">
        <f t="shared" si="0"/>
        <v>10048</v>
      </c>
      <c r="J6" t="s">
        <v>253</v>
      </c>
    </row>
    <row r="7" spans="1:10" x14ac:dyDescent="0.25">
      <c r="A7" s="100">
        <v>45846</v>
      </c>
      <c r="B7" t="s">
        <v>582</v>
      </c>
      <c r="C7">
        <v>35</v>
      </c>
      <c r="E7">
        <f t="shared" si="0"/>
        <v>10013</v>
      </c>
      <c r="H7" t="s">
        <v>254</v>
      </c>
      <c r="I7">
        <f>C3+C9+C10+C14+C15+C17+C22</f>
        <v>4073</v>
      </c>
    </row>
    <row r="8" spans="1:10" x14ac:dyDescent="0.25">
      <c r="A8" s="100">
        <v>45848</v>
      </c>
      <c r="B8" t="s">
        <v>584</v>
      </c>
      <c r="C8">
        <f>18+2</f>
        <v>20</v>
      </c>
      <c r="E8">
        <f t="shared" si="0"/>
        <v>9993</v>
      </c>
      <c r="H8" t="s">
        <v>32</v>
      </c>
      <c r="I8">
        <f>C7</f>
        <v>35</v>
      </c>
    </row>
    <row r="9" spans="1:10" x14ac:dyDescent="0.25">
      <c r="A9" s="100">
        <v>45848</v>
      </c>
      <c r="B9" t="s">
        <v>205</v>
      </c>
      <c r="C9">
        <f>190+5</f>
        <v>195</v>
      </c>
      <c r="E9">
        <f t="shared" si="0"/>
        <v>9798</v>
      </c>
      <c r="H9" t="s">
        <v>101</v>
      </c>
      <c r="I9">
        <f>C4+C5+C16+C20</f>
        <v>135</v>
      </c>
    </row>
    <row r="10" spans="1:10" x14ac:dyDescent="0.25">
      <c r="A10" s="100">
        <v>45854</v>
      </c>
      <c r="B10" t="s">
        <v>205</v>
      </c>
      <c r="C10">
        <v>195</v>
      </c>
      <c r="E10">
        <f t="shared" si="0"/>
        <v>9603</v>
      </c>
      <c r="H10" t="s">
        <v>384</v>
      </c>
      <c r="I10">
        <f>C8</f>
        <v>20</v>
      </c>
    </row>
    <row r="11" spans="1:10" x14ac:dyDescent="0.25">
      <c r="A11" s="100">
        <v>45855</v>
      </c>
      <c r="B11" t="s">
        <v>617</v>
      </c>
      <c r="C11">
        <f>350+550</f>
        <v>900</v>
      </c>
      <c r="E11">
        <f t="shared" si="0"/>
        <v>8703</v>
      </c>
      <c r="H11" t="s">
        <v>167</v>
      </c>
      <c r="I11">
        <f>C21</f>
        <v>120</v>
      </c>
    </row>
    <row r="12" spans="1:10" x14ac:dyDescent="0.25">
      <c r="A12" s="100">
        <v>45857</v>
      </c>
      <c r="B12" t="s">
        <v>295</v>
      </c>
      <c r="C12">
        <v>500</v>
      </c>
      <c r="E12">
        <f t="shared" si="0"/>
        <v>8203</v>
      </c>
      <c r="H12" t="s">
        <v>649</v>
      </c>
      <c r="I12">
        <f>C13</f>
        <v>455</v>
      </c>
    </row>
    <row r="13" spans="1:10" x14ac:dyDescent="0.25">
      <c r="A13" s="100">
        <v>45857</v>
      </c>
      <c r="B13" t="s">
        <v>616</v>
      </c>
      <c r="C13">
        <v>455</v>
      </c>
      <c r="E13">
        <f t="shared" si="0"/>
        <v>7748</v>
      </c>
      <c r="H13" t="s">
        <v>295</v>
      </c>
      <c r="I13">
        <f>C12</f>
        <v>500</v>
      </c>
    </row>
    <row r="14" spans="1:10" x14ac:dyDescent="0.25">
      <c r="A14" s="100">
        <v>45858</v>
      </c>
      <c r="B14" t="s">
        <v>615</v>
      </c>
      <c r="C14">
        <f>48+95+5</f>
        <v>148</v>
      </c>
      <c r="E14">
        <f t="shared" si="0"/>
        <v>7600</v>
      </c>
      <c r="H14" t="s">
        <v>622</v>
      </c>
      <c r="I14" s="256">
        <f>C18</f>
        <v>245</v>
      </c>
    </row>
    <row r="15" spans="1:10" x14ac:dyDescent="0.25">
      <c r="A15" s="100">
        <v>45859</v>
      </c>
      <c r="B15" t="s">
        <v>171</v>
      </c>
      <c r="C15">
        <v>2945</v>
      </c>
      <c r="E15">
        <f t="shared" si="0"/>
        <v>4655</v>
      </c>
      <c r="H15" t="s">
        <v>624</v>
      </c>
      <c r="I15">
        <f>C19</f>
        <v>1100</v>
      </c>
    </row>
    <row r="16" spans="1:10" x14ac:dyDescent="0.25">
      <c r="A16" s="100">
        <v>45859</v>
      </c>
      <c r="B16" t="s">
        <v>172</v>
      </c>
      <c r="C16">
        <v>45</v>
      </c>
      <c r="E16">
        <f>E15-C16+D16</f>
        <v>4610</v>
      </c>
      <c r="H16" t="s">
        <v>617</v>
      </c>
      <c r="I16">
        <v>900</v>
      </c>
    </row>
    <row r="17" spans="1:5" x14ac:dyDescent="0.25">
      <c r="A17" s="100">
        <v>45865</v>
      </c>
      <c r="B17" t="s">
        <v>621</v>
      </c>
      <c r="C17">
        <v>195</v>
      </c>
      <c r="E17">
        <f t="shared" ref="E17:E22" si="1">E16-C17+D17</f>
        <v>4415</v>
      </c>
    </row>
    <row r="18" spans="1:5" x14ac:dyDescent="0.25">
      <c r="A18" s="100">
        <v>45865</v>
      </c>
      <c r="B18" t="s">
        <v>622</v>
      </c>
      <c r="C18">
        <v>245</v>
      </c>
      <c r="E18">
        <f t="shared" si="1"/>
        <v>4170</v>
      </c>
    </row>
    <row r="19" spans="1:5" x14ac:dyDescent="0.25">
      <c r="A19" s="100">
        <v>45865</v>
      </c>
      <c r="B19" t="s">
        <v>624</v>
      </c>
      <c r="C19">
        <v>1100</v>
      </c>
      <c r="E19">
        <f t="shared" si="1"/>
        <v>3070</v>
      </c>
    </row>
    <row r="20" spans="1:5" x14ac:dyDescent="0.25">
      <c r="A20" s="100">
        <v>45866</v>
      </c>
      <c r="B20" t="s">
        <v>260</v>
      </c>
      <c r="C20">
        <v>30</v>
      </c>
      <c r="E20">
        <f t="shared" si="1"/>
        <v>3040</v>
      </c>
    </row>
    <row r="21" spans="1:5" x14ac:dyDescent="0.25">
      <c r="A21" s="100">
        <v>45866</v>
      </c>
      <c r="B21" t="s">
        <v>167</v>
      </c>
      <c r="C21">
        <f>113+7</f>
        <v>120</v>
      </c>
      <c r="E21">
        <f t="shared" si="1"/>
        <v>2920</v>
      </c>
    </row>
    <row r="22" spans="1:5" x14ac:dyDescent="0.25">
      <c r="A22" s="100">
        <v>45868</v>
      </c>
      <c r="B22" t="s">
        <v>621</v>
      </c>
      <c r="C22">
        <v>200</v>
      </c>
      <c r="E22">
        <f t="shared" si="1"/>
        <v>2720</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E2B5B-7174-4229-B3C5-42DCFB972D74}">
  <sheetPr codeName="Sheet22"/>
  <dimension ref="A1:I42"/>
  <sheetViews>
    <sheetView topLeftCell="A6"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9" x14ac:dyDescent="0.25">
      <c r="A1" s="100" t="s">
        <v>3</v>
      </c>
      <c r="B1" s="100" t="s">
        <v>1</v>
      </c>
      <c r="C1" t="s">
        <v>148</v>
      </c>
      <c r="D1" t="s">
        <v>147</v>
      </c>
      <c r="E1" t="s">
        <v>146</v>
      </c>
    </row>
    <row r="2" spans="1:9" x14ac:dyDescent="0.25">
      <c r="A2" s="100"/>
      <c r="B2" s="100"/>
      <c r="E2">
        <f>Jul!E22</f>
        <v>2720</v>
      </c>
    </row>
    <row r="3" spans="1:9" x14ac:dyDescent="0.25">
      <c r="A3" s="100">
        <v>45872</v>
      </c>
      <c r="B3" t="s">
        <v>295</v>
      </c>
      <c r="C3">
        <v>517</v>
      </c>
      <c r="E3">
        <f>E2-C3+D3</f>
        <v>2203</v>
      </c>
    </row>
    <row r="4" spans="1:9" x14ac:dyDescent="0.25">
      <c r="A4" s="100">
        <v>45872</v>
      </c>
      <c r="B4" t="s">
        <v>207</v>
      </c>
      <c r="C4">
        <v>96</v>
      </c>
      <c r="E4">
        <f t="shared" ref="E4:E7" si="0">E3-C4+D4</f>
        <v>2107</v>
      </c>
    </row>
    <row r="5" spans="1:9" x14ac:dyDescent="0.25">
      <c r="A5" s="100">
        <v>45872</v>
      </c>
      <c r="B5" t="s">
        <v>259</v>
      </c>
      <c r="C5">
        <v>20</v>
      </c>
      <c r="E5">
        <f t="shared" si="0"/>
        <v>2087</v>
      </c>
    </row>
    <row r="6" spans="1:9" x14ac:dyDescent="0.25">
      <c r="A6" s="100">
        <v>45873</v>
      </c>
      <c r="B6" t="s">
        <v>207</v>
      </c>
      <c r="C6">
        <v>96</v>
      </c>
      <c r="E6">
        <f t="shared" si="0"/>
        <v>1991</v>
      </c>
    </row>
    <row r="7" spans="1:9" x14ac:dyDescent="0.25">
      <c r="A7" s="100">
        <v>45874</v>
      </c>
      <c r="B7" t="s">
        <v>171</v>
      </c>
      <c r="C7">
        <f>1644+1</f>
        <v>1645</v>
      </c>
      <c r="E7">
        <f t="shared" si="0"/>
        <v>346</v>
      </c>
      <c r="H7" t="s">
        <v>254</v>
      </c>
      <c r="I7">
        <f>C4+C6+C7+C9+C11+C15+C18+C20+C21+C26+C30+C33</f>
        <v>5479</v>
      </c>
    </row>
    <row r="8" spans="1:9" x14ac:dyDescent="0.25">
      <c r="A8" s="100">
        <v>45874</v>
      </c>
      <c r="B8" t="s">
        <v>172</v>
      </c>
      <c r="C8">
        <v>55</v>
      </c>
      <c r="E8">
        <f>E7-C8+D8</f>
        <v>291</v>
      </c>
      <c r="H8" t="s">
        <v>32</v>
      </c>
      <c r="I8">
        <f>C31+C34</f>
        <v>170</v>
      </c>
    </row>
    <row r="9" spans="1:9" x14ac:dyDescent="0.25">
      <c r="A9" s="100">
        <v>45874</v>
      </c>
      <c r="B9" t="s">
        <v>621</v>
      </c>
      <c r="C9">
        <v>195</v>
      </c>
      <c r="E9">
        <f>E8-C9+D9</f>
        <v>96</v>
      </c>
      <c r="H9" t="s">
        <v>101</v>
      </c>
      <c r="I9">
        <f>C8+C12+C16+C17+C19+C23+C24+C25+C28+C32</f>
        <v>745</v>
      </c>
    </row>
    <row r="10" spans="1:9" x14ac:dyDescent="0.25">
      <c r="A10" s="100">
        <v>45876</v>
      </c>
      <c r="B10" t="s">
        <v>4</v>
      </c>
      <c r="D10">
        <v>1000</v>
      </c>
      <c r="E10">
        <f>E9-C10+D10</f>
        <v>1096</v>
      </c>
      <c r="H10" t="s">
        <v>384</v>
      </c>
      <c r="I10">
        <f>C5</f>
        <v>20</v>
      </c>
    </row>
    <row r="11" spans="1:9" x14ac:dyDescent="0.25">
      <c r="A11" s="100">
        <v>45876</v>
      </c>
      <c r="B11" t="s">
        <v>657</v>
      </c>
      <c r="C11">
        <v>165</v>
      </c>
      <c r="E11">
        <f t="shared" ref="E11:E18" si="1">E10-C11+D11</f>
        <v>931</v>
      </c>
      <c r="H11" t="s">
        <v>167</v>
      </c>
      <c r="I11">
        <f>C29</f>
        <v>115</v>
      </c>
    </row>
    <row r="12" spans="1:9" x14ac:dyDescent="0.25">
      <c r="A12" s="100">
        <v>45876</v>
      </c>
      <c r="B12" t="s">
        <v>668</v>
      </c>
      <c r="C12">
        <v>250</v>
      </c>
      <c r="E12">
        <f t="shared" si="1"/>
        <v>681</v>
      </c>
      <c r="H12" t="s">
        <v>557</v>
      </c>
      <c r="I12">
        <f>C27</f>
        <v>100</v>
      </c>
    </row>
    <row r="13" spans="1:9" x14ac:dyDescent="0.25">
      <c r="A13" s="100">
        <v>45876</v>
      </c>
      <c r="B13" t="s">
        <v>295</v>
      </c>
      <c r="C13">
        <v>515</v>
      </c>
      <c r="E13">
        <f t="shared" si="1"/>
        <v>166</v>
      </c>
      <c r="H13" t="s">
        <v>295</v>
      </c>
      <c r="I13">
        <f>C3+C13</f>
        <v>1032</v>
      </c>
    </row>
    <row r="14" spans="1:9" x14ac:dyDescent="0.25">
      <c r="A14" s="100">
        <v>45880</v>
      </c>
      <c r="B14" t="s">
        <v>62</v>
      </c>
      <c r="D14">
        <v>5000</v>
      </c>
      <c r="E14">
        <f t="shared" si="1"/>
        <v>5166</v>
      </c>
      <c r="H14" t="s">
        <v>712</v>
      </c>
      <c r="I14" s="256">
        <f>C22</f>
        <v>130</v>
      </c>
    </row>
    <row r="15" spans="1:9" x14ac:dyDescent="0.25">
      <c r="A15" s="100">
        <v>45880</v>
      </c>
      <c r="B15" t="s">
        <v>621</v>
      </c>
      <c r="C15">
        <v>195</v>
      </c>
      <c r="E15">
        <f t="shared" si="1"/>
        <v>4971</v>
      </c>
    </row>
    <row r="16" spans="1:9" x14ac:dyDescent="0.25">
      <c r="A16" s="100">
        <v>45880</v>
      </c>
      <c r="B16" t="s">
        <v>260</v>
      </c>
      <c r="C16">
        <v>30</v>
      </c>
      <c r="E16">
        <f t="shared" si="1"/>
        <v>4941</v>
      </c>
    </row>
    <row r="17" spans="1:5" x14ac:dyDescent="0.25">
      <c r="A17" s="100">
        <v>45880</v>
      </c>
      <c r="B17" t="s">
        <v>677</v>
      </c>
      <c r="C17">
        <v>200</v>
      </c>
      <c r="E17">
        <f t="shared" si="1"/>
        <v>4741</v>
      </c>
    </row>
    <row r="18" spans="1:5" x14ac:dyDescent="0.25">
      <c r="A18" s="100">
        <v>45881</v>
      </c>
      <c r="B18" t="s">
        <v>171</v>
      </c>
      <c r="C18">
        <v>2291</v>
      </c>
      <c r="E18">
        <f t="shared" si="1"/>
        <v>2450</v>
      </c>
    </row>
    <row r="19" spans="1:5" x14ac:dyDescent="0.25">
      <c r="A19" s="100">
        <v>45881</v>
      </c>
      <c r="B19" t="s">
        <v>172</v>
      </c>
      <c r="C19">
        <v>60</v>
      </c>
      <c r="E19">
        <f>E18-C19+D19</f>
        <v>2390</v>
      </c>
    </row>
    <row r="20" spans="1:5" x14ac:dyDescent="0.25">
      <c r="A20" s="100">
        <v>45882</v>
      </c>
      <c r="B20" t="s">
        <v>678</v>
      </c>
      <c r="C20">
        <v>45</v>
      </c>
      <c r="E20">
        <f>E19-C20+D20</f>
        <v>2345</v>
      </c>
    </row>
    <row r="21" spans="1:5" x14ac:dyDescent="0.25">
      <c r="A21" s="100">
        <v>45883</v>
      </c>
      <c r="B21" t="s">
        <v>621</v>
      </c>
      <c r="C21">
        <v>195</v>
      </c>
      <c r="E21">
        <f>E20-C21+D21</f>
        <v>2150</v>
      </c>
    </row>
    <row r="22" spans="1:5" x14ac:dyDescent="0.25">
      <c r="A22" s="100">
        <v>45883</v>
      </c>
      <c r="B22" t="s">
        <v>679</v>
      </c>
      <c r="C22">
        <f>2*40+2*25</f>
        <v>130</v>
      </c>
      <c r="E22">
        <f>E21-C22+D22</f>
        <v>2020</v>
      </c>
    </row>
    <row r="23" spans="1:5" x14ac:dyDescent="0.25">
      <c r="A23" s="100">
        <v>45883</v>
      </c>
      <c r="B23" t="s">
        <v>260</v>
      </c>
      <c r="C23">
        <v>30</v>
      </c>
      <c r="E23">
        <f t="shared" ref="E23:E29" si="2">E22-C23+D23</f>
        <v>1990</v>
      </c>
    </row>
    <row r="24" spans="1:5" x14ac:dyDescent="0.25">
      <c r="A24" s="100">
        <v>45886</v>
      </c>
      <c r="B24" t="s">
        <v>260</v>
      </c>
      <c r="C24">
        <v>30</v>
      </c>
      <c r="E24">
        <f t="shared" si="2"/>
        <v>1960</v>
      </c>
    </row>
    <row r="25" spans="1:5" x14ac:dyDescent="0.25">
      <c r="A25" s="100">
        <v>45886</v>
      </c>
      <c r="B25" t="s">
        <v>689</v>
      </c>
      <c r="C25">
        <v>30</v>
      </c>
      <c r="E25">
        <f t="shared" si="2"/>
        <v>1930</v>
      </c>
    </row>
    <row r="26" spans="1:5" x14ac:dyDescent="0.25">
      <c r="A26" s="100">
        <v>45888</v>
      </c>
      <c r="B26" t="s">
        <v>796</v>
      </c>
      <c r="C26">
        <f>190+70+5</f>
        <v>265</v>
      </c>
      <c r="E26">
        <f t="shared" si="2"/>
        <v>1665</v>
      </c>
    </row>
    <row r="27" spans="1:5" x14ac:dyDescent="0.25">
      <c r="A27" s="100">
        <v>45888</v>
      </c>
      <c r="B27" t="s">
        <v>692</v>
      </c>
      <c r="C27">
        <v>100</v>
      </c>
      <c r="E27">
        <f t="shared" si="2"/>
        <v>1565</v>
      </c>
    </row>
    <row r="28" spans="1:5" x14ac:dyDescent="0.25">
      <c r="A28" s="100">
        <v>45890</v>
      </c>
      <c r="B28" t="s">
        <v>260</v>
      </c>
      <c r="C28">
        <v>30</v>
      </c>
      <c r="E28">
        <f t="shared" si="2"/>
        <v>1535</v>
      </c>
    </row>
    <row r="29" spans="1:5" x14ac:dyDescent="0.25">
      <c r="A29" s="100">
        <v>45894</v>
      </c>
      <c r="B29" t="s">
        <v>167</v>
      </c>
      <c r="C29">
        <v>115</v>
      </c>
      <c r="E29">
        <f t="shared" si="2"/>
        <v>1420</v>
      </c>
    </row>
    <row r="30" spans="1:5" x14ac:dyDescent="0.25">
      <c r="A30" s="100">
        <v>45894</v>
      </c>
      <c r="B30" t="s">
        <v>621</v>
      </c>
      <c r="C30">
        <v>195</v>
      </c>
      <c r="E30">
        <f>E29-C30+D30</f>
        <v>1225</v>
      </c>
    </row>
    <row r="31" spans="1:5" x14ac:dyDescent="0.25">
      <c r="A31" s="100">
        <v>45896</v>
      </c>
      <c r="B31" t="s">
        <v>704</v>
      </c>
      <c r="C31">
        <v>130</v>
      </c>
      <c r="E31">
        <f>E30-C31+D31</f>
        <v>1095</v>
      </c>
    </row>
    <row r="32" spans="1:5" x14ac:dyDescent="0.25">
      <c r="A32" s="100">
        <v>45896</v>
      </c>
      <c r="B32" t="s">
        <v>260</v>
      </c>
      <c r="C32">
        <v>30</v>
      </c>
      <c r="E32">
        <f>E31-C32+D32</f>
        <v>1065</v>
      </c>
    </row>
    <row r="33" spans="1:5" x14ac:dyDescent="0.25">
      <c r="A33" s="100">
        <v>45897</v>
      </c>
      <c r="B33" t="s">
        <v>207</v>
      </c>
      <c r="C33">
        <v>96</v>
      </c>
      <c r="E33">
        <f t="shared" ref="E33:E34" si="3">E32-C33+D33</f>
        <v>969</v>
      </c>
    </row>
    <row r="34" spans="1:5" x14ac:dyDescent="0.25">
      <c r="A34" s="100">
        <v>45897</v>
      </c>
      <c r="B34" t="s">
        <v>711</v>
      </c>
      <c r="C34">
        <v>40</v>
      </c>
      <c r="E34">
        <f t="shared" si="3"/>
        <v>929</v>
      </c>
    </row>
    <row r="35" spans="1:5" x14ac:dyDescent="0.25">
      <c r="A35" s="100"/>
    </row>
    <row r="36" spans="1:5" x14ac:dyDescent="0.25">
      <c r="A36" s="100"/>
    </row>
    <row r="37" spans="1:5" x14ac:dyDescent="0.25">
      <c r="A37" s="100"/>
    </row>
    <row r="38" spans="1:5" x14ac:dyDescent="0.25">
      <c r="A38" s="100"/>
    </row>
    <row r="39" spans="1:5" x14ac:dyDescent="0.25">
      <c r="A39" s="100"/>
    </row>
    <row r="40" spans="1:5" x14ac:dyDescent="0.25">
      <c r="A40" s="100"/>
    </row>
    <row r="41" spans="1:5" x14ac:dyDescent="0.25">
      <c r="A41" s="100"/>
    </row>
    <row r="42" spans="1:5" x14ac:dyDescent="0.25">
      <c r="A42" s="100"/>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C218-B192-4A4F-9215-3B16A3C61E95}">
  <sheetPr codeName="Sheet23"/>
  <dimension ref="A1:I31"/>
  <sheetViews>
    <sheetView topLeftCell="A2"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9" x14ac:dyDescent="0.25">
      <c r="A1" s="100" t="s">
        <v>3</v>
      </c>
      <c r="B1" s="100" t="s">
        <v>1</v>
      </c>
      <c r="C1" t="s">
        <v>148</v>
      </c>
      <c r="D1" t="s">
        <v>147</v>
      </c>
      <c r="E1" t="s">
        <v>146</v>
      </c>
    </row>
    <row r="2" spans="1:9" x14ac:dyDescent="0.25">
      <c r="A2" s="100"/>
      <c r="B2" s="100"/>
      <c r="E2">
        <f>Aug!E34</f>
        <v>929</v>
      </c>
    </row>
    <row r="3" spans="1:9" x14ac:dyDescent="0.25">
      <c r="A3" s="100">
        <v>45901</v>
      </c>
      <c r="B3" t="s">
        <v>166</v>
      </c>
      <c r="C3">
        <f>231+48+96</f>
        <v>375</v>
      </c>
      <c r="E3">
        <f>E2-C3+D3</f>
        <v>554</v>
      </c>
    </row>
    <row r="4" spans="1:9" x14ac:dyDescent="0.25">
      <c r="A4" s="100">
        <v>45901</v>
      </c>
      <c r="B4" t="s">
        <v>295</v>
      </c>
      <c r="C4">
        <v>517</v>
      </c>
      <c r="E4">
        <f t="shared" ref="E4:E19" si="0">E3-C4+D4</f>
        <v>37</v>
      </c>
    </row>
    <row r="5" spans="1:9" x14ac:dyDescent="0.25">
      <c r="A5" s="100">
        <v>45901</v>
      </c>
      <c r="B5" t="s">
        <v>259</v>
      </c>
      <c r="C5">
        <v>20</v>
      </c>
      <c r="E5">
        <f t="shared" si="0"/>
        <v>17</v>
      </c>
    </row>
    <row r="6" spans="1:9" x14ac:dyDescent="0.25">
      <c r="A6" s="100">
        <v>45901</v>
      </c>
      <c r="B6" t="s">
        <v>4</v>
      </c>
      <c r="D6">
        <v>4000</v>
      </c>
      <c r="E6">
        <f t="shared" si="0"/>
        <v>4017</v>
      </c>
    </row>
    <row r="7" spans="1:9" x14ac:dyDescent="0.25">
      <c r="A7" s="100">
        <v>45902</v>
      </c>
      <c r="B7" t="s">
        <v>171</v>
      </c>
      <c r="C7">
        <v>3070</v>
      </c>
      <c r="E7">
        <f t="shared" si="0"/>
        <v>947</v>
      </c>
      <c r="H7" t="s">
        <v>254</v>
      </c>
      <c r="I7">
        <f>C3+C7+C9+C11+C12+C13+C15+C16+C19+C21+C24+C27+C29+C30</f>
        <v>10010</v>
      </c>
    </row>
    <row r="8" spans="1:9" x14ac:dyDescent="0.25">
      <c r="A8" s="100">
        <v>45902</v>
      </c>
      <c r="B8" t="s">
        <v>172</v>
      </c>
      <c r="C8">
        <v>50</v>
      </c>
      <c r="E8">
        <f t="shared" si="0"/>
        <v>897</v>
      </c>
      <c r="H8" t="s">
        <v>32</v>
      </c>
      <c r="I8">
        <f>C25</f>
        <v>286</v>
      </c>
    </row>
    <row r="9" spans="1:9" x14ac:dyDescent="0.25">
      <c r="A9" s="100">
        <v>45907</v>
      </c>
      <c r="B9" t="s">
        <v>621</v>
      </c>
      <c r="C9">
        <v>195</v>
      </c>
      <c r="E9">
        <f t="shared" si="0"/>
        <v>702</v>
      </c>
      <c r="H9" t="s">
        <v>101</v>
      </c>
      <c r="I9">
        <f>C8+C20+C22+C26+C31</f>
        <v>285</v>
      </c>
    </row>
    <row r="10" spans="1:9" x14ac:dyDescent="0.25">
      <c r="A10" s="100">
        <v>45907</v>
      </c>
      <c r="B10" t="s">
        <v>734</v>
      </c>
      <c r="C10">
        <v>517</v>
      </c>
      <c r="E10">
        <f t="shared" si="0"/>
        <v>185</v>
      </c>
      <c r="H10" t="s">
        <v>384</v>
      </c>
      <c r="I10">
        <f>C5</f>
        <v>20</v>
      </c>
    </row>
    <row r="11" spans="1:9" x14ac:dyDescent="0.25">
      <c r="A11" s="100">
        <v>45907</v>
      </c>
      <c r="B11" t="s">
        <v>719</v>
      </c>
      <c r="C11">
        <v>125</v>
      </c>
      <c r="E11">
        <f t="shared" si="0"/>
        <v>60</v>
      </c>
      <c r="H11" t="s">
        <v>167</v>
      </c>
      <c r="I11">
        <f>C23</f>
        <v>115</v>
      </c>
    </row>
    <row r="12" spans="1:9" x14ac:dyDescent="0.25">
      <c r="A12" s="100">
        <v>45911</v>
      </c>
      <c r="B12" t="s">
        <v>621</v>
      </c>
      <c r="C12">
        <v>195</v>
      </c>
      <c r="E12">
        <f t="shared" si="0"/>
        <v>-135</v>
      </c>
      <c r="I12" s="117"/>
    </row>
    <row r="13" spans="1:9" x14ac:dyDescent="0.25">
      <c r="A13" s="100">
        <v>45915</v>
      </c>
      <c r="B13" t="s">
        <v>795</v>
      </c>
      <c r="C13">
        <v>166</v>
      </c>
      <c r="E13">
        <f t="shared" si="0"/>
        <v>-301</v>
      </c>
      <c r="H13" t="s">
        <v>295</v>
      </c>
      <c r="I13">
        <f>C10+C4+C14</f>
        <v>1549</v>
      </c>
    </row>
    <row r="14" spans="1:9" x14ac:dyDescent="0.25">
      <c r="A14" s="100">
        <v>45917</v>
      </c>
      <c r="B14" t="s">
        <v>296</v>
      </c>
      <c r="C14">
        <v>515</v>
      </c>
      <c r="E14">
        <f t="shared" si="0"/>
        <v>-816</v>
      </c>
      <c r="H14" t="s">
        <v>735</v>
      </c>
      <c r="I14">
        <v>350</v>
      </c>
    </row>
    <row r="15" spans="1:9" x14ac:dyDescent="0.25">
      <c r="A15" s="100">
        <v>45917</v>
      </c>
      <c r="B15" t="s">
        <v>207</v>
      </c>
      <c r="C15">
        <v>192</v>
      </c>
      <c r="E15">
        <f t="shared" si="0"/>
        <v>-1008</v>
      </c>
    </row>
    <row r="16" spans="1:9" x14ac:dyDescent="0.25">
      <c r="A16" s="100">
        <v>45917</v>
      </c>
      <c r="B16" t="s">
        <v>621</v>
      </c>
      <c r="C16">
        <v>195</v>
      </c>
      <c r="E16">
        <f t="shared" si="0"/>
        <v>-1203</v>
      </c>
    </row>
    <row r="17" spans="1:9" x14ac:dyDescent="0.25">
      <c r="A17" s="100">
        <v>45917</v>
      </c>
      <c r="B17" t="s">
        <v>4</v>
      </c>
      <c r="D17">
        <v>4000</v>
      </c>
      <c r="E17">
        <f t="shared" si="0"/>
        <v>2797</v>
      </c>
    </row>
    <row r="18" spans="1:9" x14ac:dyDescent="0.25">
      <c r="A18" s="100">
        <v>45917</v>
      </c>
      <c r="B18" t="s">
        <v>735</v>
      </c>
      <c r="C18">
        <v>350</v>
      </c>
      <c r="E18">
        <f t="shared" si="0"/>
        <v>2447</v>
      </c>
    </row>
    <row r="19" spans="1:9" x14ac:dyDescent="0.25">
      <c r="A19" s="100">
        <v>45918</v>
      </c>
      <c r="B19" t="s">
        <v>171</v>
      </c>
      <c r="C19">
        <v>2555</v>
      </c>
      <c r="E19">
        <f t="shared" si="0"/>
        <v>-108</v>
      </c>
      <c r="H19">
        <f>215+18+200</f>
        <v>433</v>
      </c>
      <c r="I19" t="s">
        <v>749</v>
      </c>
    </row>
    <row r="20" spans="1:9" x14ac:dyDescent="0.25">
      <c r="A20" s="100">
        <v>45918</v>
      </c>
      <c r="B20" t="s">
        <v>172</v>
      </c>
      <c r="C20">
        <v>60</v>
      </c>
      <c r="E20">
        <f t="shared" ref="E20:E31" si="1">E19-C20+D20</f>
        <v>-168</v>
      </c>
      <c r="H20">
        <f>90+30</f>
        <v>120</v>
      </c>
      <c r="I20" t="s">
        <v>748</v>
      </c>
    </row>
    <row r="21" spans="1:9" x14ac:dyDescent="0.25">
      <c r="A21" s="100">
        <v>45921</v>
      </c>
      <c r="B21" t="s">
        <v>621</v>
      </c>
      <c r="C21">
        <f>3*6</f>
        <v>18</v>
      </c>
      <c r="E21">
        <f t="shared" si="1"/>
        <v>-186</v>
      </c>
      <c r="H21">
        <f>115+195+425</f>
        <v>735</v>
      </c>
      <c r="I21" t="s">
        <v>750</v>
      </c>
    </row>
    <row r="22" spans="1:9" x14ac:dyDescent="0.25">
      <c r="A22" s="100">
        <v>45922</v>
      </c>
      <c r="B22" t="s">
        <v>752</v>
      </c>
      <c r="C22">
        <f>30*3</f>
        <v>90</v>
      </c>
      <c r="E22">
        <f t="shared" si="1"/>
        <v>-276</v>
      </c>
      <c r="H22">
        <v>86</v>
      </c>
      <c r="I22" t="s">
        <v>267</v>
      </c>
    </row>
    <row r="23" spans="1:9" x14ac:dyDescent="0.25">
      <c r="A23" s="100">
        <v>45922</v>
      </c>
      <c r="B23" t="s">
        <v>167</v>
      </c>
      <c r="C23">
        <v>115</v>
      </c>
      <c r="E23">
        <f t="shared" si="1"/>
        <v>-391</v>
      </c>
    </row>
    <row r="24" spans="1:9" x14ac:dyDescent="0.25">
      <c r="A24" s="100">
        <v>45923</v>
      </c>
      <c r="B24" t="s">
        <v>621</v>
      </c>
      <c r="C24">
        <v>195</v>
      </c>
      <c r="E24">
        <f t="shared" si="1"/>
        <v>-586</v>
      </c>
    </row>
    <row r="25" spans="1:9" x14ac:dyDescent="0.25">
      <c r="A25" s="100">
        <v>45923</v>
      </c>
      <c r="B25" t="s">
        <v>32</v>
      </c>
      <c r="C25">
        <f>36+75+25+150</f>
        <v>286</v>
      </c>
      <c r="E25">
        <f t="shared" si="1"/>
        <v>-872</v>
      </c>
    </row>
    <row r="26" spans="1:9" x14ac:dyDescent="0.25">
      <c r="A26" s="100">
        <v>45923</v>
      </c>
      <c r="B26" t="s">
        <v>753</v>
      </c>
      <c r="C26">
        <v>30</v>
      </c>
      <c r="E26">
        <f t="shared" si="1"/>
        <v>-902</v>
      </c>
    </row>
    <row r="27" spans="1:9" x14ac:dyDescent="0.25">
      <c r="A27" s="100">
        <v>45928</v>
      </c>
      <c r="B27" t="s">
        <v>166</v>
      </c>
      <c r="C27">
        <f>48*3+280+1</f>
        <v>425</v>
      </c>
      <c r="E27">
        <f t="shared" si="1"/>
        <v>-1327</v>
      </c>
    </row>
    <row r="28" spans="1:9" x14ac:dyDescent="0.25">
      <c r="A28" s="100">
        <v>45929</v>
      </c>
      <c r="B28" t="s">
        <v>4</v>
      </c>
      <c r="D28">
        <v>4000</v>
      </c>
      <c r="E28">
        <f t="shared" si="1"/>
        <v>2673</v>
      </c>
    </row>
    <row r="29" spans="1:9" x14ac:dyDescent="0.25">
      <c r="A29" s="100">
        <v>45929</v>
      </c>
      <c r="B29" t="s">
        <v>166</v>
      </c>
      <c r="C29">
        <f>96+190+5</f>
        <v>291</v>
      </c>
      <c r="E29">
        <f t="shared" si="1"/>
        <v>2382</v>
      </c>
    </row>
    <row r="30" spans="1:9" x14ac:dyDescent="0.25">
      <c r="A30" s="100">
        <v>45930</v>
      </c>
      <c r="B30" t="s">
        <v>171</v>
      </c>
      <c r="C30">
        <v>2013</v>
      </c>
      <c r="E30">
        <f t="shared" si="1"/>
        <v>369</v>
      </c>
    </row>
    <row r="31" spans="1:9" x14ac:dyDescent="0.25">
      <c r="A31" s="100">
        <v>45930</v>
      </c>
      <c r="B31" t="s">
        <v>172</v>
      </c>
      <c r="C31">
        <v>55</v>
      </c>
      <c r="E31">
        <f t="shared" si="1"/>
        <v>314</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6E65-E052-445B-91B4-434B259204B1}">
  <sheetPr codeName="Sheet24"/>
  <dimension ref="A1:J18"/>
  <sheetViews>
    <sheetView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10" x14ac:dyDescent="0.25">
      <c r="A1" s="100" t="s">
        <v>3</v>
      </c>
      <c r="B1" s="100" t="s">
        <v>1</v>
      </c>
      <c r="C1" t="s">
        <v>148</v>
      </c>
      <c r="D1" t="s">
        <v>147</v>
      </c>
      <c r="E1" t="s">
        <v>146</v>
      </c>
    </row>
    <row r="2" spans="1:10" x14ac:dyDescent="0.25">
      <c r="E2">
        <f>Sep!E31</f>
        <v>314</v>
      </c>
    </row>
    <row r="3" spans="1:10" x14ac:dyDescent="0.25">
      <c r="A3" s="100">
        <v>45931</v>
      </c>
      <c r="B3" t="s">
        <v>259</v>
      </c>
      <c r="C3">
        <v>20</v>
      </c>
      <c r="E3">
        <f>E2-C3+D3</f>
        <v>294</v>
      </c>
    </row>
    <row r="4" spans="1:10" x14ac:dyDescent="0.25">
      <c r="A4" s="100">
        <v>45935</v>
      </c>
      <c r="B4" t="s">
        <v>621</v>
      </c>
      <c r="C4">
        <v>195</v>
      </c>
      <c r="E4">
        <f t="shared" ref="E4" si="0">E3-C4+D4</f>
        <v>99</v>
      </c>
      <c r="I4">
        <f>-30+144+118-12</f>
        <v>220</v>
      </c>
      <c r="J4" t="s">
        <v>815</v>
      </c>
    </row>
    <row r="5" spans="1:10" x14ac:dyDescent="0.25">
      <c r="A5" s="100">
        <v>45935</v>
      </c>
      <c r="B5" t="s">
        <v>780</v>
      </c>
      <c r="C5">
        <v>30</v>
      </c>
      <c r="E5">
        <f>E4-C5+D5</f>
        <v>69</v>
      </c>
      <c r="I5">
        <f>12+26</f>
        <v>38</v>
      </c>
      <c r="J5" t="s">
        <v>799</v>
      </c>
    </row>
    <row r="6" spans="1:10" x14ac:dyDescent="0.25">
      <c r="A6" s="100">
        <v>45936</v>
      </c>
      <c r="B6" t="s">
        <v>788</v>
      </c>
      <c r="C6">
        <v>60</v>
      </c>
      <c r="E6">
        <f>E5-C6+D6</f>
        <v>9</v>
      </c>
      <c r="I6">
        <f>400+400+600</f>
        <v>1400</v>
      </c>
      <c r="J6" t="s">
        <v>816</v>
      </c>
    </row>
    <row r="7" spans="1:10" x14ac:dyDescent="0.25">
      <c r="A7" s="100">
        <v>45936</v>
      </c>
      <c r="B7" t="s">
        <v>789</v>
      </c>
      <c r="C7">
        <v>70</v>
      </c>
      <c r="E7">
        <f>E6-C7+D7</f>
        <v>-61</v>
      </c>
      <c r="F7" t="s">
        <v>790</v>
      </c>
      <c r="I7">
        <v>0</v>
      </c>
      <c r="J7" t="s">
        <v>844</v>
      </c>
    </row>
    <row r="8" spans="1:10" x14ac:dyDescent="0.25">
      <c r="A8" s="100">
        <v>45937</v>
      </c>
      <c r="B8" t="s">
        <v>798</v>
      </c>
      <c r="C8">
        <v>40</v>
      </c>
      <c r="E8">
        <f>E7-C8+D8</f>
        <v>-101</v>
      </c>
      <c r="F8" t="s">
        <v>799</v>
      </c>
    </row>
    <row r="9" spans="1:10" x14ac:dyDescent="0.25">
      <c r="A9" s="100">
        <v>45944</v>
      </c>
      <c r="B9" t="s">
        <v>621</v>
      </c>
      <c r="C9">
        <v>195</v>
      </c>
      <c r="E9">
        <f>E8-C9+D9</f>
        <v>-296</v>
      </c>
      <c r="F9" t="s">
        <v>816</v>
      </c>
    </row>
    <row r="10" spans="1:10" x14ac:dyDescent="0.25">
      <c r="A10" s="100">
        <v>45950</v>
      </c>
      <c r="B10" t="s">
        <v>820</v>
      </c>
      <c r="C10">
        <v>192</v>
      </c>
      <c r="E10">
        <f t="shared" ref="E10:E12" si="1">E9-C10+D10</f>
        <v>-488</v>
      </c>
      <c r="H10" t="s">
        <v>254</v>
      </c>
      <c r="I10">
        <f>C4+C9+C10+C14+C15+C16+C18</f>
        <v>1939</v>
      </c>
    </row>
    <row r="11" spans="1:10" x14ac:dyDescent="0.25">
      <c r="A11" s="100">
        <v>45950</v>
      </c>
      <c r="B11" t="s">
        <v>821</v>
      </c>
      <c r="C11">
        <v>115</v>
      </c>
      <c r="E11">
        <f t="shared" si="1"/>
        <v>-603</v>
      </c>
      <c r="H11" t="s">
        <v>32</v>
      </c>
      <c r="I11">
        <f>C7</f>
        <v>70</v>
      </c>
    </row>
    <row r="12" spans="1:10" x14ac:dyDescent="0.25">
      <c r="A12" s="100">
        <v>45950</v>
      </c>
      <c r="B12" t="s">
        <v>4</v>
      </c>
      <c r="D12">
        <v>4000</v>
      </c>
      <c r="E12">
        <f t="shared" si="1"/>
        <v>3397</v>
      </c>
      <c r="H12" t="s">
        <v>101</v>
      </c>
      <c r="I12">
        <f>C5+C6+C8+C17</f>
        <v>202</v>
      </c>
    </row>
    <row r="13" spans="1:10" x14ac:dyDescent="0.25">
      <c r="A13" s="100">
        <v>45950</v>
      </c>
      <c r="B13" t="s">
        <v>817</v>
      </c>
      <c r="C13">
        <v>3000</v>
      </c>
      <c r="E13">
        <f>E12-C13+D13</f>
        <v>397</v>
      </c>
      <c r="H13" t="s">
        <v>384</v>
      </c>
      <c r="I13">
        <f>C3</f>
        <v>20</v>
      </c>
    </row>
    <row r="14" spans="1:10" x14ac:dyDescent="0.25">
      <c r="A14" s="100">
        <v>45952</v>
      </c>
      <c r="B14" t="s">
        <v>166</v>
      </c>
      <c r="C14">
        <v>407</v>
      </c>
      <c r="E14">
        <f t="shared" ref="E14:E16" si="2">E13-C14+D14</f>
        <v>-10</v>
      </c>
      <c r="H14" t="s">
        <v>167</v>
      </c>
      <c r="I14">
        <f>C11</f>
        <v>115</v>
      </c>
    </row>
    <row r="15" spans="1:10" x14ac:dyDescent="0.25">
      <c r="A15" s="100">
        <v>45953</v>
      </c>
      <c r="B15" t="s">
        <v>166</v>
      </c>
      <c r="C15">
        <v>400</v>
      </c>
      <c r="E15">
        <f t="shared" si="2"/>
        <v>-410</v>
      </c>
    </row>
    <row r="16" spans="1:10" x14ac:dyDescent="0.25">
      <c r="A16" s="100">
        <v>45957</v>
      </c>
      <c r="B16" t="s">
        <v>166</v>
      </c>
      <c r="C16">
        <v>406</v>
      </c>
      <c r="E16">
        <f t="shared" si="2"/>
        <v>-816</v>
      </c>
    </row>
    <row r="17" spans="1:5" x14ac:dyDescent="0.25">
      <c r="A17" s="100">
        <v>45958</v>
      </c>
      <c r="B17" t="s">
        <v>843</v>
      </c>
      <c r="C17">
        <v>72</v>
      </c>
      <c r="E17">
        <f>E16-C17+D17</f>
        <v>-888</v>
      </c>
    </row>
    <row r="18" spans="1:5" x14ac:dyDescent="0.25">
      <c r="A18" s="100">
        <v>45960</v>
      </c>
      <c r="B18" t="s">
        <v>846</v>
      </c>
      <c r="C18">
        <v>144</v>
      </c>
      <c r="E18">
        <f>E17-C18+D18</f>
        <v>-1032</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8CEE-BB85-4D4C-81AB-207AA53A53B6}">
  <sheetPr codeName="Sheet25"/>
  <dimension ref="A1:I25"/>
  <sheetViews>
    <sheetView topLeftCell="A2" zoomScaleNormal="100" workbookViewId="0">
      <selection activeCell="B5" sqref="B5"/>
    </sheetView>
  </sheetViews>
  <sheetFormatPr defaultColWidth="8.875" defaultRowHeight="15.75" x14ac:dyDescent="0.25"/>
  <cols>
    <col min="1" max="1" width="7" bestFit="1" customWidth="1"/>
    <col min="2" max="2" width="41.5" bestFit="1" customWidth="1"/>
    <col min="8" max="8" width="33.125" bestFit="1" customWidth="1"/>
  </cols>
  <sheetData>
    <row r="1" spans="1:9" x14ac:dyDescent="0.25">
      <c r="A1" s="100" t="s">
        <v>3</v>
      </c>
      <c r="B1" s="100" t="s">
        <v>1</v>
      </c>
      <c r="C1" t="s">
        <v>148</v>
      </c>
      <c r="D1" t="s">
        <v>147</v>
      </c>
      <c r="E1" t="s">
        <v>146</v>
      </c>
    </row>
    <row r="2" spans="1:9" x14ac:dyDescent="0.25">
      <c r="E2">
        <f>Oct!E18</f>
        <v>-1032</v>
      </c>
    </row>
    <row r="3" spans="1:9" x14ac:dyDescent="0.25">
      <c r="A3" s="100">
        <v>45963</v>
      </c>
      <c r="B3" t="s">
        <v>166</v>
      </c>
      <c r="C3">
        <f>130+190+96+55+150+5</f>
        <v>626</v>
      </c>
      <c r="E3">
        <f>E2-C3+D3</f>
        <v>-1658</v>
      </c>
    </row>
    <row r="4" spans="1:9" x14ac:dyDescent="0.25">
      <c r="A4" s="100">
        <v>45963</v>
      </c>
      <c r="B4" t="s">
        <v>864</v>
      </c>
      <c r="C4">
        <v>85</v>
      </c>
      <c r="E4">
        <f t="shared" ref="E4" si="0">E3-C4+D4</f>
        <v>-1743</v>
      </c>
    </row>
    <row r="5" spans="1:9" x14ac:dyDescent="0.25">
      <c r="A5" s="100">
        <v>45964</v>
      </c>
      <c r="B5" t="s">
        <v>259</v>
      </c>
      <c r="C5">
        <v>20</v>
      </c>
      <c r="E5">
        <f>E4-C5+D5</f>
        <v>-1763</v>
      </c>
    </row>
    <row r="6" spans="1:9" x14ac:dyDescent="0.25">
      <c r="A6" s="100">
        <v>45965</v>
      </c>
      <c r="B6" t="s">
        <v>4</v>
      </c>
      <c r="D6">
        <v>5000</v>
      </c>
      <c r="E6">
        <f>E5-C6+D6</f>
        <v>3237</v>
      </c>
    </row>
    <row r="7" spans="1:9" x14ac:dyDescent="0.25">
      <c r="A7" s="100">
        <v>45965</v>
      </c>
      <c r="B7" t="s">
        <v>171</v>
      </c>
      <c r="C7">
        <v>3017</v>
      </c>
      <c r="E7">
        <f>E6-C7+D7</f>
        <v>220</v>
      </c>
    </row>
    <row r="8" spans="1:9" x14ac:dyDescent="0.25">
      <c r="A8" s="100">
        <v>45965</v>
      </c>
      <c r="B8" t="s">
        <v>172</v>
      </c>
      <c r="C8">
        <v>70</v>
      </c>
      <c r="E8">
        <f>E7-C8+D8</f>
        <v>150</v>
      </c>
    </row>
    <row r="9" spans="1:9" x14ac:dyDescent="0.25">
      <c r="A9" s="100">
        <v>45965</v>
      </c>
      <c r="B9" t="s">
        <v>863</v>
      </c>
      <c r="C9">
        <v>6</v>
      </c>
      <c r="E9">
        <f>E8-C9+D9</f>
        <v>144</v>
      </c>
    </row>
    <row r="10" spans="1:9" x14ac:dyDescent="0.25">
      <c r="A10" s="100">
        <v>45970</v>
      </c>
      <c r="B10" t="s">
        <v>865</v>
      </c>
      <c r="C10">
        <f>18*2</f>
        <v>36</v>
      </c>
      <c r="E10">
        <f t="shared" ref="E10:E12" si="1">E9-C10+D10</f>
        <v>108</v>
      </c>
      <c r="H10" t="s">
        <v>254</v>
      </c>
      <c r="I10">
        <f>C3+C7+C9+C11+C14+C19+C20+C22+C24+C25</f>
        <v>6953</v>
      </c>
    </row>
    <row r="11" spans="1:9" x14ac:dyDescent="0.25">
      <c r="A11" s="100">
        <v>45970</v>
      </c>
      <c r="B11" t="s">
        <v>621</v>
      </c>
      <c r="C11">
        <v>195</v>
      </c>
      <c r="E11">
        <f t="shared" si="1"/>
        <v>-87</v>
      </c>
      <c r="H11" t="s">
        <v>32</v>
      </c>
      <c r="I11">
        <f>C12</f>
        <v>85</v>
      </c>
    </row>
    <row r="12" spans="1:9" x14ac:dyDescent="0.25">
      <c r="A12" s="100">
        <v>45972</v>
      </c>
      <c r="B12" t="s">
        <v>869</v>
      </c>
      <c r="C12">
        <v>85</v>
      </c>
      <c r="E12">
        <f t="shared" si="1"/>
        <v>-172</v>
      </c>
      <c r="H12" t="s">
        <v>101</v>
      </c>
      <c r="I12">
        <f>C4+C8+C10+C13+C17+C18+C21</f>
        <v>354</v>
      </c>
    </row>
    <row r="13" spans="1:9" x14ac:dyDescent="0.25">
      <c r="A13" s="100">
        <v>45973</v>
      </c>
      <c r="B13" t="s">
        <v>260</v>
      </c>
      <c r="C13">
        <v>36</v>
      </c>
      <c r="E13">
        <f>E12-C13+D13</f>
        <v>-208</v>
      </c>
      <c r="H13" t="s">
        <v>384</v>
      </c>
      <c r="I13">
        <f>C5</f>
        <v>20</v>
      </c>
    </row>
    <row r="14" spans="1:9" x14ac:dyDescent="0.25">
      <c r="A14" s="100">
        <v>45974</v>
      </c>
      <c r="B14" t="s">
        <v>872</v>
      </c>
      <c r="C14">
        <v>490</v>
      </c>
      <c r="E14">
        <f t="shared" ref="E14:E16" si="2">E13-C14+D14</f>
        <v>-698</v>
      </c>
      <c r="H14" t="s">
        <v>167</v>
      </c>
      <c r="I14">
        <f>C23</f>
        <v>115</v>
      </c>
    </row>
    <row r="15" spans="1:9" x14ac:dyDescent="0.25">
      <c r="A15" s="100">
        <v>45974</v>
      </c>
      <c r="B15" t="s">
        <v>4</v>
      </c>
      <c r="D15">
        <v>4000</v>
      </c>
      <c r="E15">
        <f t="shared" si="2"/>
        <v>3302</v>
      </c>
      <c r="H15" t="s">
        <v>908</v>
      </c>
      <c r="I15" s="117">
        <f>C16</f>
        <v>350</v>
      </c>
    </row>
    <row r="16" spans="1:9" x14ac:dyDescent="0.25">
      <c r="A16" s="100">
        <v>45974</v>
      </c>
      <c r="B16" t="s">
        <v>873</v>
      </c>
      <c r="C16">
        <v>350</v>
      </c>
      <c r="E16">
        <f t="shared" si="2"/>
        <v>2952</v>
      </c>
    </row>
    <row r="17" spans="1:5" x14ac:dyDescent="0.25">
      <c r="A17" s="100">
        <v>45974</v>
      </c>
      <c r="B17" t="s">
        <v>260</v>
      </c>
      <c r="C17">
        <v>36</v>
      </c>
      <c r="E17">
        <f>E16-C17+D17</f>
        <v>2916</v>
      </c>
    </row>
    <row r="18" spans="1:5" x14ac:dyDescent="0.25">
      <c r="A18" s="100">
        <v>45977</v>
      </c>
      <c r="B18" t="s">
        <v>260</v>
      </c>
      <c r="C18">
        <v>36</v>
      </c>
      <c r="E18">
        <f>E17-C18+D18</f>
        <v>2880</v>
      </c>
    </row>
    <row r="19" spans="1:5" x14ac:dyDescent="0.25">
      <c r="A19" s="100">
        <v>45978</v>
      </c>
      <c r="B19" t="s">
        <v>621</v>
      </c>
      <c r="C19">
        <v>195</v>
      </c>
      <c r="E19">
        <f t="shared" ref="E19:E25" si="3">E18-C19+D19</f>
        <v>2685</v>
      </c>
    </row>
    <row r="20" spans="1:5" x14ac:dyDescent="0.25">
      <c r="A20" s="100">
        <v>45980</v>
      </c>
      <c r="B20" t="s">
        <v>171</v>
      </c>
      <c r="C20">
        <v>2103</v>
      </c>
      <c r="E20">
        <f t="shared" si="3"/>
        <v>582</v>
      </c>
    </row>
    <row r="21" spans="1:5" x14ac:dyDescent="0.25">
      <c r="A21" s="100">
        <v>45980</v>
      </c>
      <c r="B21" t="s">
        <v>172</v>
      </c>
      <c r="C21">
        <v>55</v>
      </c>
      <c r="E21">
        <f t="shared" si="3"/>
        <v>527</v>
      </c>
    </row>
    <row r="22" spans="1:5" x14ac:dyDescent="0.25">
      <c r="A22" s="100">
        <v>45980</v>
      </c>
      <c r="B22" t="s">
        <v>863</v>
      </c>
      <c r="C22">
        <v>6</v>
      </c>
      <c r="E22">
        <f t="shared" si="3"/>
        <v>521</v>
      </c>
    </row>
    <row r="23" spans="1:5" x14ac:dyDescent="0.25">
      <c r="A23" s="100">
        <v>45985</v>
      </c>
      <c r="B23" t="s">
        <v>821</v>
      </c>
      <c r="C23">
        <v>115</v>
      </c>
      <c r="E23">
        <f t="shared" si="3"/>
        <v>406</v>
      </c>
    </row>
    <row r="24" spans="1:5" x14ac:dyDescent="0.25">
      <c r="A24" s="100">
        <v>45986</v>
      </c>
      <c r="B24" t="s">
        <v>621</v>
      </c>
      <c r="C24">
        <v>195</v>
      </c>
      <c r="E24">
        <f t="shared" si="3"/>
        <v>211</v>
      </c>
    </row>
    <row r="25" spans="1:5" x14ac:dyDescent="0.25">
      <c r="A25" s="100">
        <v>45986</v>
      </c>
      <c r="B25" t="s">
        <v>884</v>
      </c>
      <c r="C25">
        <v>120</v>
      </c>
      <c r="E25">
        <f t="shared" si="3"/>
        <v>91</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9550-39F4-42AC-AB55-EBAD9357BF32}">
  <sheetPr codeName="Sheet26"/>
  <dimension ref="A1:I25"/>
  <sheetViews>
    <sheetView topLeftCell="A2" zoomScaleNormal="100" workbookViewId="0">
      <selection activeCell="C3" sqref="C3:C21"/>
    </sheetView>
  </sheetViews>
  <sheetFormatPr defaultColWidth="8.875" defaultRowHeight="15.75" x14ac:dyDescent="0.25"/>
  <cols>
    <col min="1" max="1" width="7" bestFit="1" customWidth="1"/>
    <col min="2" max="2" width="41.5" bestFit="1" customWidth="1"/>
    <col min="8" max="8" width="33.125" bestFit="1" customWidth="1"/>
  </cols>
  <sheetData>
    <row r="1" spans="1:9" x14ac:dyDescent="0.25">
      <c r="A1" s="100" t="s">
        <v>3</v>
      </c>
      <c r="B1" s="100" t="s">
        <v>1</v>
      </c>
      <c r="C1" t="s">
        <v>148</v>
      </c>
      <c r="D1" t="s">
        <v>147</v>
      </c>
      <c r="E1" t="s">
        <v>146</v>
      </c>
    </row>
    <row r="2" spans="1:9" x14ac:dyDescent="0.25">
      <c r="A2" s="100"/>
      <c r="B2" s="100"/>
      <c r="E2">
        <f>Nov!E25</f>
        <v>91</v>
      </c>
    </row>
    <row r="3" spans="1:9" x14ac:dyDescent="0.25">
      <c r="A3" s="100">
        <v>45994</v>
      </c>
      <c r="B3" t="s">
        <v>4</v>
      </c>
      <c r="D3">
        <v>4000</v>
      </c>
      <c r="E3">
        <f>E2-C3+D3</f>
        <v>4091</v>
      </c>
    </row>
    <row r="4" spans="1:9" x14ac:dyDescent="0.25">
      <c r="A4" s="100">
        <v>45994</v>
      </c>
      <c r="B4" t="s">
        <v>171</v>
      </c>
      <c r="C4">
        <v>3294</v>
      </c>
      <c r="E4">
        <f t="shared" ref="E4:E20" si="0">E3-C4+D4</f>
        <v>797</v>
      </c>
    </row>
    <row r="5" spans="1:9" x14ac:dyDescent="0.25">
      <c r="A5" s="100">
        <v>45994</v>
      </c>
      <c r="B5" t="s">
        <v>172</v>
      </c>
      <c r="C5">
        <v>55</v>
      </c>
      <c r="E5">
        <f t="shared" si="0"/>
        <v>742</v>
      </c>
    </row>
    <row r="6" spans="1:9" x14ac:dyDescent="0.25">
      <c r="A6" s="100">
        <v>45994</v>
      </c>
      <c r="B6" t="s">
        <v>621</v>
      </c>
      <c r="C6">
        <v>195</v>
      </c>
      <c r="E6">
        <f t="shared" si="0"/>
        <v>547</v>
      </c>
    </row>
    <row r="7" spans="1:9" x14ac:dyDescent="0.25">
      <c r="A7" s="100">
        <v>45994</v>
      </c>
      <c r="B7" t="s">
        <v>920</v>
      </c>
      <c r="C7">
        <v>120</v>
      </c>
      <c r="E7">
        <f t="shared" si="0"/>
        <v>427</v>
      </c>
      <c r="H7" t="s">
        <v>254</v>
      </c>
      <c r="I7">
        <f>C4+C6+C12+C13+C14+C17+C19+C20</f>
        <v>7105</v>
      </c>
    </row>
    <row r="8" spans="1:9" x14ac:dyDescent="0.25">
      <c r="A8" s="100">
        <v>45998</v>
      </c>
      <c r="B8" t="s">
        <v>920</v>
      </c>
      <c r="C8">
        <v>200</v>
      </c>
      <c r="E8">
        <f t="shared" si="0"/>
        <v>227</v>
      </c>
      <c r="H8" t="s">
        <v>32</v>
      </c>
      <c r="I8">
        <f>C7+C8+C9+C18</f>
        <v>650</v>
      </c>
    </row>
    <row r="9" spans="1:9" x14ac:dyDescent="0.25">
      <c r="A9" s="100">
        <v>45998</v>
      </c>
      <c r="B9" t="s">
        <v>923</v>
      </c>
      <c r="C9">
        <v>30</v>
      </c>
      <c r="E9">
        <f t="shared" si="0"/>
        <v>197</v>
      </c>
      <c r="H9" t="s">
        <v>101</v>
      </c>
      <c r="I9">
        <f>C5+C10+C11</f>
        <v>127</v>
      </c>
    </row>
    <row r="10" spans="1:9" x14ac:dyDescent="0.25">
      <c r="A10" s="100">
        <v>45999</v>
      </c>
      <c r="B10" t="s">
        <v>260</v>
      </c>
      <c r="C10">
        <v>36</v>
      </c>
      <c r="E10">
        <f t="shared" si="0"/>
        <v>161</v>
      </c>
      <c r="H10" t="s">
        <v>384</v>
      </c>
    </row>
    <row r="11" spans="1:9" x14ac:dyDescent="0.25">
      <c r="A11" s="100">
        <v>46000</v>
      </c>
      <c r="B11" t="s">
        <v>260</v>
      </c>
      <c r="C11">
        <v>36</v>
      </c>
      <c r="E11">
        <f t="shared" si="0"/>
        <v>125</v>
      </c>
      <c r="H11" t="s">
        <v>167</v>
      </c>
      <c r="I11">
        <f>C15</f>
        <v>115</v>
      </c>
    </row>
    <row r="12" spans="1:9" x14ac:dyDescent="0.25">
      <c r="A12" s="100">
        <v>46005</v>
      </c>
      <c r="B12" t="s">
        <v>621</v>
      </c>
      <c r="C12">
        <v>95</v>
      </c>
      <c r="E12">
        <f t="shared" si="0"/>
        <v>30</v>
      </c>
    </row>
    <row r="13" spans="1:9" x14ac:dyDescent="0.25">
      <c r="A13" s="100">
        <v>46005</v>
      </c>
      <c r="B13" t="s">
        <v>884</v>
      </c>
      <c r="C13">
        <v>157</v>
      </c>
      <c r="E13">
        <f t="shared" si="0"/>
        <v>-127</v>
      </c>
    </row>
    <row r="14" spans="1:9" x14ac:dyDescent="0.25">
      <c r="A14" s="100">
        <v>46009</v>
      </c>
      <c r="B14" t="s">
        <v>621</v>
      </c>
      <c r="C14">
        <v>195</v>
      </c>
      <c r="E14">
        <f t="shared" si="0"/>
        <v>-322</v>
      </c>
    </row>
    <row r="15" spans="1:9" x14ac:dyDescent="0.25">
      <c r="A15" s="100">
        <v>46013</v>
      </c>
      <c r="B15" t="s">
        <v>821</v>
      </c>
      <c r="C15">
        <v>115</v>
      </c>
      <c r="E15">
        <f t="shared" si="0"/>
        <v>-437</v>
      </c>
    </row>
    <row r="16" spans="1:9" x14ac:dyDescent="0.25">
      <c r="A16" s="100">
        <v>46019</v>
      </c>
      <c r="B16" t="s">
        <v>4</v>
      </c>
      <c r="D16">
        <v>4000</v>
      </c>
      <c r="E16">
        <f t="shared" si="0"/>
        <v>3563</v>
      </c>
    </row>
    <row r="17" spans="1:5" x14ac:dyDescent="0.25">
      <c r="A17" s="100">
        <v>46019</v>
      </c>
      <c r="B17" t="s">
        <v>963</v>
      </c>
      <c r="C17">
        <f>2842.8+7.2</f>
        <v>2850</v>
      </c>
      <c r="E17">
        <f t="shared" si="0"/>
        <v>713</v>
      </c>
    </row>
    <row r="18" spans="1:5" x14ac:dyDescent="0.25">
      <c r="A18" s="100">
        <v>46019</v>
      </c>
      <c r="B18" t="s">
        <v>964</v>
      </c>
      <c r="C18">
        <v>300</v>
      </c>
      <c r="E18">
        <f t="shared" si="0"/>
        <v>413</v>
      </c>
    </row>
    <row r="19" spans="1:5" x14ac:dyDescent="0.25">
      <c r="A19" s="100">
        <v>46020</v>
      </c>
      <c r="B19" t="s">
        <v>884</v>
      </c>
      <c r="C19">
        <v>79</v>
      </c>
      <c r="E19">
        <f t="shared" si="0"/>
        <v>334</v>
      </c>
    </row>
    <row r="20" spans="1:5" x14ac:dyDescent="0.25">
      <c r="A20" s="100">
        <v>46020</v>
      </c>
      <c r="B20" t="s">
        <v>965</v>
      </c>
      <c r="C20">
        <f>110+35+35+60</f>
        <v>240</v>
      </c>
      <c r="E20">
        <f t="shared" si="0"/>
        <v>94</v>
      </c>
    </row>
    <row r="21" spans="1:5" x14ac:dyDescent="0.25">
      <c r="A21" s="100"/>
    </row>
    <row r="22" spans="1:5" x14ac:dyDescent="0.25">
      <c r="A22" s="100"/>
    </row>
    <row r="23" spans="1:5" x14ac:dyDescent="0.25">
      <c r="A23" s="100"/>
    </row>
    <row r="24" spans="1:5" x14ac:dyDescent="0.25">
      <c r="A24" s="100"/>
    </row>
    <row r="25" spans="1:5" x14ac:dyDescent="0.25">
      <c r="A25" s="100"/>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2:C4"/>
  <sheetViews>
    <sheetView zoomScale="130" zoomScaleNormal="130" workbookViewId="0">
      <selection activeCell="B2" sqref="B2"/>
    </sheetView>
  </sheetViews>
  <sheetFormatPr defaultColWidth="10.625" defaultRowHeight="15.75" x14ac:dyDescent="0.25"/>
  <cols>
    <col min="1" max="1" width="4.5" customWidth="1"/>
    <col min="2" max="2" width="20.125" customWidth="1"/>
    <col min="3" max="3" width="15.125" customWidth="1"/>
    <col min="4" max="4" width="11" bestFit="1" customWidth="1"/>
    <col min="5" max="5" width="17.125" bestFit="1" customWidth="1"/>
    <col min="6" max="6" width="9" bestFit="1" customWidth="1"/>
    <col min="7" max="7" width="11.375" bestFit="1" customWidth="1"/>
    <col min="8" max="8" width="17.125" bestFit="1" customWidth="1"/>
    <col min="9" max="9" width="9" bestFit="1" customWidth="1"/>
    <col min="10" max="10" width="8" bestFit="1" customWidth="1"/>
    <col min="11" max="12" width="11.375" bestFit="1" customWidth="1"/>
    <col min="13" max="13" width="17.875" bestFit="1" customWidth="1"/>
    <col min="14" max="14" width="20.5" bestFit="1" customWidth="1"/>
    <col min="15" max="15" width="11" bestFit="1" customWidth="1"/>
    <col min="16" max="16" width="13.5" bestFit="1" customWidth="1"/>
    <col min="17" max="17" width="12.875" bestFit="1" customWidth="1"/>
    <col min="18" max="18" width="7.625" bestFit="1" customWidth="1"/>
    <col min="19" max="19" width="7.5" bestFit="1" customWidth="1"/>
    <col min="20" max="20" width="11.625" bestFit="1" customWidth="1"/>
    <col min="21" max="21" width="13.5" bestFit="1" customWidth="1"/>
    <col min="22" max="22" width="7.125" bestFit="1" customWidth="1"/>
    <col min="23" max="23" width="9.125" bestFit="1" customWidth="1"/>
    <col min="24" max="24" width="6.125" bestFit="1" customWidth="1"/>
    <col min="25" max="25" width="12.125" bestFit="1" customWidth="1"/>
    <col min="26" max="26" width="7.875" bestFit="1" customWidth="1"/>
    <col min="27" max="27" width="12" bestFit="1" customWidth="1"/>
    <col min="28" max="28" width="15.625" bestFit="1" customWidth="1"/>
    <col min="29" max="29" width="13.125" bestFit="1" customWidth="1"/>
    <col min="30" max="30" width="7.625" bestFit="1" customWidth="1"/>
    <col min="31" max="31" width="11.125" bestFit="1" customWidth="1"/>
    <col min="32" max="32" width="8.875" bestFit="1" customWidth="1"/>
    <col min="33" max="33" width="12.125" bestFit="1" customWidth="1"/>
    <col min="34" max="34" width="12.875" bestFit="1" customWidth="1"/>
    <col min="35" max="54" width="7" bestFit="1" customWidth="1"/>
    <col min="55" max="85" width="8" bestFit="1" customWidth="1"/>
    <col min="86" max="92" width="9.5" bestFit="1" customWidth="1"/>
    <col min="93" max="102" width="10.5" bestFit="1" customWidth="1"/>
    <col min="103" max="103" width="11.5" bestFit="1" customWidth="1"/>
    <col min="104" max="104" width="12.125" bestFit="1" customWidth="1"/>
  </cols>
  <sheetData>
    <row r="2" spans="2:3" x14ac:dyDescent="0.25">
      <c r="B2" s="72" t="s">
        <v>133</v>
      </c>
      <c r="C2" s="72" t="s">
        <v>131</v>
      </c>
    </row>
    <row r="3" spans="2:3" x14ac:dyDescent="0.25">
      <c r="B3" s="72" t="s">
        <v>129</v>
      </c>
      <c r="C3" t="s">
        <v>130</v>
      </c>
    </row>
    <row r="4" spans="2:3" x14ac:dyDescent="0.25">
      <c r="B4" s="73" t="s">
        <v>130</v>
      </c>
      <c r="C4" s="5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2:G13"/>
  <sheetViews>
    <sheetView zoomScale="130" zoomScaleNormal="130" workbookViewId="0">
      <selection activeCell="H6" sqref="C5:H6"/>
    </sheetView>
  </sheetViews>
  <sheetFormatPr defaultColWidth="10.625" defaultRowHeight="15.75" x14ac:dyDescent="0.25"/>
  <cols>
    <col min="1" max="1" width="3.375" customWidth="1"/>
    <col min="2" max="2" width="20.125" customWidth="1"/>
    <col min="3" max="3" width="15.125" customWidth="1"/>
    <col min="4" max="5" width="9.125" bestFit="1" customWidth="1"/>
    <col min="6" max="6" width="11.625" bestFit="1" customWidth="1"/>
    <col min="7" max="7" width="11" bestFit="1" customWidth="1"/>
    <col min="8" max="8" width="11.375" bestFit="1" customWidth="1"/>
    <col min="9" max="10" width="10.5" bestFit="1" customWidth="1"/>
    <col min="11" max="12" width="11.5" bestFit="1" customWidth="1"/>
    <col min="13" max="13" width="12.125" bestFit="1" customWidth="1"/>
    <col min="14" max="14" width="12.5" bestFit="1" customWidth="1"/>
    <col min="15" max="15" width="15" bestFit="1" customWidth="1"/>
    <col min="16" max="16" width="7.5" bestFit="1" customWidth="1"/>
    <col min="17" max="19" width="12.125" bestFit="1" customWidth="1"/>
    <col min="20" max="20" width="4.125" bestFit="1" customWidth="1"/>
    <col min="21" max="21" width="10.125" bestFit="1" customWidth="1"/>
    <col min="22" max="22" width="12.125" bestFit="1" customWidth="1"/>
    <col min="23" max="24" width="6.125" bestFit="1" customWidth="1"/>
    <col min="25" max="25" width="11.125" bestFit="1" customWidth="1"/>
    <col min="26" max="26" width="12.125" bestFit="1" customWidth="1"/>
    <col min="27" max="27" width="7.125" bestFit="1" customWidth="1"/>
    <col min="28" max="28" width="9.625" bestFit="1" customWidth="1"/>
    <col min="29" max="30" width="11.125" bestFit="1" customWidth="1"/>
    <col min="31" max="31" width="5.125" bestFit="1" customWidth="1"/>
    <col min="32" max="32" width="11.125" bestFit="1" customWidth="1"/>
    <col min="33" max="34" width="12.125" bestFit="1" customWidth="1"/>
  </cols>
  <sheetData>
    <row r="2" spans="2:7" x14ac:dyDescent="0.25">
      <c r="B2" s="72" t="s">
        <v>133</v>
      </c>
      <c r="C2" s="72" t="s">
        <v>131</v>
      </c>
    </row>
    <row r="3" spans="2:7" x14ac:dyDescent="0.25">
      <c r="C3" t="s">
        <v>34</v>
      </c>
      <c r="F3" t="s">
        <v>161</v>
      </c>
      <c r="G3" t="s">
        <v>130</v>
      </c>
    </row>
    <row r="4" spans="2:7" x14ac:dyDescent="0.25">
      <c r="B4" s="72" t="s">
        <v>129</v>
      </c>
      <c r="C4">
        <v>1</v>
      </c>
      <c r="D4">
        <v>3</v>
      </c>
      <c r="E4">
        <v>4</v>
      </c>
    </row>
    <row r="5" spans="2:7" x14ac:dyDescent="0.25">
      <c r="B5" s="73" t="s">
        <v>150</v>
      </c>
      <c r="C5" s="56">
        <v>75700</v>
      </c>
      <c r="D5" s="56">
        <v>50600</v>
      </c>
      <c r="E5" s="56">
        <v>29850</v>
      </c>
      <c r="F5" s="56">
        <v>156150</v>
      </c>
      <c r="G5" s="56">
        <v>156150</v>
      </c>
    </row>
    <row r="6" spans="2:7" x14ac:dyDescent="0.25">
      <c r="B6" s="73" t="s">
        <v>151</v>
      </c>
      <c r="C6" s="56">
        <v>79500</v>
      </c>
      <c r="D6" s="56">
        <v>50600</v>
      </c>
      <c r="E6" s="56">
        <v>29850</v>
      </c>
      <c r="F6" s="56">
        <v>159950</v>
      </c>
      <c r="G6" s="56">
        <v>159950</v>
      </c>
    </row>
    <row r="7" spans="2:7" x14ac:dyDescent="0.25">
      <c r="B7" s="73" t="s">
        <v>152</v>
      </c>
      <c r="C7" s="56">
        <v>149300</v>
      </c>
      <c r="D7" s="56">
        <v>101200</v>
      </c>
      <c r="E7" s="56">
        <v>52300</v>
      </c>
      <c r="F7" s="56">
        <v>302800</v>
      </c>
      <c r="G7" s="56">
        <v>302800</v>
      </c>
    </row>
    <row r="8" spans="2:7" x14ac:dyDescent="0.25">
      <c r="B8" s="73" t="s">
        <v>154</v>
      </c>
      <c r="C8" s="56">
        <v>84200</v>
      </c>
      <c r="D8" s="56">
        <v>43600</v>
      </c>
      <c r="E8" s="56">
        <v>22450</v>
      </c>
      <c r="F8" s="56">
        <v>150250</v>
      </c>
      <c r="G8" s="56">
        <v>150250</v>
      </c>
    </row>
    <row r="9" spans="2:7" x14ac:dyDescent="0.25">
      <c r="B9" s="73" t="s">
        <v>155</v>
      </c>
      <c r="C9" s="56">
        <v>88800</v>
      </c>
      <c r="D9" s="56">
        <v>36600</v>
      </c>
      <c r="E9" s="56">
        <v>23250</v>
      </c>
      <c r="F9" s="56">
        <v>148650</v>
      </c>
      <c r="G9" s="56">
        <v>148650</v>
      </c>
    </row>
    <row r="10" spans="2:7" x14ac:dyDescent="0.25">
      <c r="B10" s="73" t="s">
        <v>156</v>
      </c>
      <c r="C10" s="56">
        <v>78300</v>
      </c>
      <c r="D10" s="56">
        <v>38100</v>
      </c>
      <c r="E10" s="56">
        <v>23250</v>
      </c>
      <c r="F10" s="56">
        <v>139650</v>
      </c>
      <c r="G10" s="56">
        <v>139650</v>
      </c>
    </row>
    <row r="11" spans="2:7" x14ac:dyDescent="0.25">
      <c r="B11" s="73" t="s">
        <v>157</v>
      </c>
      <c r="C11" s="56">
        <v>79300</v>
      </c>
      <c r="D11" s="56">
        <v>36600</v>
      </c>
      <c r="E11" s="56">
        <v>23250</v>
      </c>
      <c r="F11" s="56">
        <v>139150</v>
      </c>
      <c r="G11" s="56">
        <v>139150</v>
      </c>
    </row>
    <row r="12" spans="2:7" x14ac:dyDescent="0.25">
      <c r="B12" s="73" t="s">
        <v>158</v>
      </c>
      <c r="C12" s="56">
        <v>74600</v>
      </c>
      <c r="D12" s="56">
        <v>36900</v>
      </c>
      <c r="E12" s="56">
        <v>18500</v>
      </c>
      <c r="F12" s="56">
        <v>130000</v>
      </c>
      <c r="G12" s="56">
        <v>130000</v>
      </c>
    </row>
    <row r="13" spans="2:7" x14ac:dyDescent="0.25">
      <c r="B13" s="73" t="s">
        <v>130</v>
      </c>
      <c r="C13" s="56">
        <v>709700</v>
      </c>
      <c r="D13" s="56">
        <v>394200</v>
      </c>
      <c r="E13" s="56">
        <v>222700</v>
      </c>
      <c r="F13" s="56">
        <v>1326600</v>
      </c>
      <c r="G13" s="56">
        <v>1326600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H16"/>
  <sheetViews>
    <sheetView zoomScale="130" zoomScaleNormal="130" workbookViewId="0">
      <selection activeCell="I6" sqref="C4:I6"/>
    </sheetView>
  </sheetViews>
  <sheetFormatPr defaultColWidth="10.625" defaultRowHeight="15.75" x14ac:dyDescent="0.25"/>
  <cols>
    <col min="1" max="1" width="4" customWidth="1"/>
    <col min="2" max="2" width="20.125" customWidth="1"/>
    <col min="3" max="3" width="15.125" customWidth="1"/>
    <col min="4" max="4" width="11.5" bestFit="1" customWidth="1"/>
    <col min="5" max="5" width="9.125" bestFit="1" customWidth="1"/>
    <col min="6" max="6" width="10.625" bestFit="1" customWidth="1"/>
    <col min="7" max="7" width="9.125" bestFit="1" customWidth="1"/>
    <col min="8" max="8" width="11" bestFit="1" customWidth="1"/>
    <col min="9" max="9" width="11.375" bestFit="1" customWidth="1"/>
    <col min="10" max="11" width="11.5" bestFit="1" customWidth="1"/>
  </cols>
  <sheetData>
    <row r="2" spans="2:8" x14ac:dyDescent="0.25">
      <c r="B2" s="72" t="s">
        <v>133</v>
      </c>
      <c r="C2" s="72" t="s">
        <v>131</v>
      </c>
    </row>
    <row r="3" spans="2:8" x14ac:dyDescent="0.25">
      <c r="B3" s="72" t="s">
        <v>129</v>
      </c>
      <c r="C3" t="s">
        <v>27</v>
      </c>
      <c r="D3" t="s">
        <v>30</v>
      </c>
      <c r="E3" t="s">
        <v>29</v>
      </c>
      <c r="F3" t="s">
        <v>34</v>
      </c>
      <c r="G3" t="s">
        <v>84</v>
      </c>
      <c r="H3" t="s">
        <v>130</v>
      </c>
    </row>
    <row r="4" spans="2:8" x14ac:dyDescent="0.25">
      <c r="B4" s="73" t="s">
        <v>134</v>
      </c>
      <c r="C4" s="56">
        <v>2347</v>
      </c>
      <c r="D4" s="56">
        <v>1309.3548999999998</v>
      </c>
      <c r="E4" s="56">
        <v>27913.905822000001</v>
      </c>
      <c r="F4" s="56"/>
      <c r="G4" s="56">
        <v>19160.120000000003</v>
      </c>
      <c r="H4" s="56">
        <v>50730.380722000002</v>
      </c>
    </row>
    <row r="5" spans="2:8" x14ac:dyDescent="0.25">
      <c r="B5" s="73" t="s">
        <v>150</v>
      </c>
      <c r="C5" s="56">
        <v>2347</v>
      </c>
      <c r="D5" s="56">
        <v>859.23</v>
      </c>
      <c r="E5" s="56">
        <v>31992.880649999999</v>
      </c>
      <c r="F5" s="56">
        <v>156150</v>
      </c>
      <c r="G5" s="56">
        <v>60760.189999999995</v>
      </c>
      <c r="H5" s="56">
        <v>252109.30064999999</v>
      </c>
    </row>
    <row r="6" spans="2:8" x14ac:dyDescent="0.25">
      <c r="B6" s="73" t="s">
        <v>151</v>
      </c>
      <c r="C6" s="56">
        <v>2347</v>
      </c>
      <c r="D6" s="56">
        <v>6945.2002999999995</v>
      </c>
      <c r="E6" s="56">
        <v>27658.011349999997</v>
      </c>
      <c r="F6" s="56">
        <v>159950</v>
      </c>
      <c r="G6" s="56">
        <v>22077.699999999997</v>
      </c>
      <c r="H6" s="56">
        <v>218977.91165000002</v>
      </c>
    </row>
    <row r="7" spans="2:8" x14ac:dyDescent="0.25">
      <c r="B7" s="73" t="s">
        <v>152</v>
      </c>
      <c r="C7" s="56">
        <v>2347</v>
      </c>
      <c r="D7" s="56">
        <v>246.17000000000002</v>
      </c>
      <c r="E7" s="56">
        <v>25031.176132999997</v>
      </c>
      <c r="F7" s="56">
        <v>302800</v>
      </c>
      <c r="G7" s="56">
        <v>26442</v>
      </c>
      <c r="H7" s="56">
        <v>356866.34613299998</v>
      </c>
    </row>
    <row r="8" spans="2:8" x14ac:dyDescent="0.25">
      <c r="B8" s="73" t="s">
        <v>153</v>
      </c>
      <c r="C8" s="56">
        <v>2732</v>
      </c>
      <c r="D8" s="56">
        <v>7489.8785299000001</v>
      </c>
      <c r="E8" s="56">
        <v>28286.288428399999</v>
      </c>
      <c r="F8" s="56"/>
      <c r="G8" s="56">
        <v>11390.689999999999</v>
      </c>
      <c r="H8" s="56">
        <v>49898.856958300006</v>
      </c>
    </row>
    <row r="9" spans="2:8" x14ac:dyDescent="0.25">
      <c r="B9" s="73" t="s">
        <v>154</v>
      </c>
      <c r="C9" s="56">
        <v>2347</v>
      </c>
      <c r="D9" s="56">
        <v>588.69592</v>
      </c>
      <c r="E9" s="56">
        <v>29282.313281999999</v>
      </c>
      <c r="F9" s="56">
        <v>150250</v>
      </c>
      <c r="G9" s="56">
        <v>69631.53</v>
      </c>
      <c r="H9" s="56">
        <v>252099.53920199999</v>
      </c>
    </row>
    <row r="10" spans="2:8" x14ac:dyDescent="0.25">
      <c r="B10" s="73" t="s">
        <v>155</v>
      </c>
      <c r="C10" s="56"/>
      <c r="D10" s="56">
        <v>2217.844396</v>
      </c>
      <c r="E10" s="56">
        <v>24025.185043000001</v>
      </c>
      <c r="F10" s="56">
        <v>148650</v>
      </c>
      <c r="G10" s="56">
        <v>44746.38</v>
      </c>
      <c r="H10" s="56">
        <v>219639.40943900001</v>
      </c>
    </row>
    <row r="11" spans="2:8" x14ac:dyDescent="0.25">
      <c r="B11" s="73" t="s">
        <v>156</v>
      </c>
      <c r="C11" s="56"/>
      <c r="D11" s="56">
        <v>1043.8600000000001</v>
      </c>
      <c r="E11" s="56">
        <v>23174.399220000003</v>
      </c>
      <c r="F11" s="56">
        <v>139650</v>
      </c>
      <c r="G11" s="56">
        <v>15493</v>
      </c>
      <c r="H11" s="56">
        <v>179361.25922000001</v>
      </c>
    </row>
    <row r="12" spans="2:8" x14ac:dyDescent="0.25">
      <c r="B12" s="73" t="s">
        <v>157</v>
      </c>
      <c r="C12" s="56"/>
      <c r="D12" s="56">
        <v>246.17000000000002</v>
      </c>
      <c r="E12" s="56">
        <v>24006.79</v>
      </c>
      <c r="F12" s="56">
        <v>139150</v>
      </c>
      <c r="G12" s="56">
        <v>11088.46</v>
      </c>
      <c r="H12" s="56">
        <v>174491.41999999998</v>
      </c>
    </row>
    <row r="13" spans="2:8" x14ac:dyDescent="0.25">
      <c r="B13" s="73" t="s">
        <v>158</v>
      </c>
      <c r="C13" s="56"/>
      <c r="D13" s="56"/>
      <c r="E13" s="56">
        <v>44936.399959999995</v>
      </c>
      <c r="F13" s="56">
        <v>130000</v>
      </c>
      <c r="G13" s="56">
        <v>29544.240000000002</v>
      </c>
      <c r="H13" s="56">
        <v>204480.63996</v>
      </c>
    </row>
    <row r="14" spans="2:8" x14ac:dyDescent="0.25">
      <c r="B14" s="73" t="s">
        <v>159</v>
      </c>
      <c r="C14" s="56"/>
      <c r="D14" s="56"/>
      <c r="E14" s="56">
        <v>18371.3</v>
      </c>
      <c r="F14" s="56"/>
      <c r="G14" s="56"/>
      <c r="H14" s="56">
        <v>18371.3</v>
      </c>
    </row>
    <row r="15" spans="2:8" x14ac:dyDescent="0.25">
      <c r="B15" s="73" t="s">
        <v>160</v>
      </c>
      <c r="C15" s="56"/>
      <c r="D15" s="56"/>
      <c r="E15" s="56">
        <v>11390.65</v>
      </c>
      <c r="F15" s="56"/>
      <c r="G15" s="56"/>
      <c r="H15" s="56">
        <v>11390.65</v>
      </c>
    </row>
    <row r="16" spans="2:8" x14ac:dyDescent="0.25">
      <c r="B16" s="73" t="s">
        <v>130</v>
      </c>
      <c r="C16" s="56">
        <v>14467</v>
      </c>
      <c r="D16" s="56">
        <v>20946.404045899995</v>
      </c>
      <c r="E16" s="56">
        <v>316069.29988840001</v>
      </c>
      <c r="F16" s="56">
        <v>1326600</v>
      </c>
      <c r="G16" s="56">
        <v>310334.31</v>
      </c>
      <c r="H16" s="56">
        <v>1988417.0139342998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S18"/>
  <sheetViews>
    <sheetView zoomScale="130" zoomScaleNormal="130" workbookViewId="0">
      <selection activeCell="N30" sqref="N30"/>
    </sheetView>
  </sheetViews>
  <sheetFormatPr defaultColWidth="10.625" defaultRowHeight="15.75" x14ac:dyDescent="0.25"/>
  <cols>
    <col min="1" max="1" width="3.375" customWidth="1"/>
    <col min="2" max="2" width="20.125" customWidth="1"/>
    <col min="3" max="3" width="15.125" customWidth="1"/>
    <col min="4" max="4" width="7" bestFit="1" customWidth="1"/>
    <col min="5" max="5" width="14.125" bestFit="1" customWidth="1"/>
    <col min="6" max="6" width="10.125" bestFit="1" customWidth="1"/>
    <col min="7" max="7" width="15.625" bestFit="1" customWidth="1"/>
    <col min="8" max="8" width="8.125" bestFit="1" customWidth="1"/>
    <col min="9" max="9" width="10.625" bestFit="1" customWidth="1"/>
    <col min="10" max="10" width="9.125" bestFit="1" customWidth="1"/>
    <col min="11" max="11" width="10.125" bestFit="1" customWidth="1"/>
    <col min="12" max="12" width="14.125" bestFit="1" customWidth="1"/>
    <col min="13" max="13" width="15.625" bestFit="1" customWidth="1"/>
    <col min="14" max="14" width="9.625" bestFit="1" customWidth="1"/>
    <col min="15" max="15" width="9.125" bestFit="1" customWidth="1"/>
    <col min="16" max="16" width="10.5" bestFit="1" customWidth="1"/>
    <col min="17" max="17" width="11.625" bestFit="1" customWidth="1"/>
    <col min="18" max="18" width="10.125" bestFit="1" customWidth="1"/>
    <col min="19" max="19" width="11" bestFit="1" customWidth="1"/>
    <col min="20" max="23" width="11.375" bestFit="1" customWidth="1"/>
    <col min="24" max="24" width="10.5" bestFit="1" customWidth="1"/>
    <col min="25" max="26" width="11.375" bestFit="1" customWidth="1"/>
    <col min="27" max="28" width="8.125" bestFit="1" customWidth="1"/>
    <col min="29" max="29" width="19.375" bestFit="1" customWidth="1"/>
    <col min="30" max="30" width="10" bestFit="1" customWidth="1"/>
    <col min="31" max="31" width="12.625" bestFit="1" customWidth="1"/>
    <col min="32" max="32" width="10.5" bestFit="1" customWidth="1"/>
    <col min="33" max="33" width="11.375" bestFit="1" customWidth="1"/>
  </cols>
  <sheetData>
    <row r="2" spans="2:19" x14ac:dyDescent="0.25">
      <c r="B2" s="72" t="s">
        <v>133</v>
      </c>
      <c r="C2" s="72" t="s">
        <v>131</v>
      </c>
    </row>
    <row r="3" spans="2:19" x14ac:dyDescent="0.25">
      <c r="C3" t="s">
        <v>29</v>
      </c>
      <c r="R3" t="s">
        <v>136</v>
      </c>
      <c r="S3" t="s">
        <v>130</v>
      </c>
    </row>
    <row r="4" spans="2:19" x14ac:dyDescent="0.25">
      <c r="C4" t="s">
        <v>95</v>
      </c>
      <c r="D4" t="s">
        <v>57</v>
      </c>
      <c r="E4" t="s">
        <v>55</v>
      </c>
      <c r="F4" t="s">
        <v>112</v>
      </c>
      <c r="G4" t="s">
        <v>32</v>
      </c>
      <c r="H4" t="s">
        <v>92</v>
      </c>
      <c r="I4" t="s">
        <v>162</v>
      </c>
      <c r="J4" t="s">
        <v>23</v>
      </c>
      <c r="K4" t="s">
        <v>56</v>
      </c>
      <c r="L4" t="s">
        <v>108</v>
      </c>
      <c r="M4" t="s">
        <v>101</v>
      </c>
      <c r="N4" t="s">
        <v>111</v>
      </c>
      <c r="O4" t="s">
        <v>163</v>
      </c>
      <c r="Q4" t="s">
        <v>164</v>
      </c>
    </row>
    <row r="5" spans="2:19" x14ac:dyDescent="0.25">
      <c r="B5" s="72" t="s">
        <v>129</v>
      </c>
      <c r="H5" t="s">
        <v>142</v>
      </c>
      <c r="O5" t="s">
        <v>163</v>
      </c>
      <c r="P5" t="s">
        <v>149</v>
      </c>
    </row>
    <row r="6" spans="2:19" x14ac:dyDescent="0.25">
      <c r="B6" s="73" t="s">
        <v>134</v>
      </c>
      <c r="C6" s="56">
        <v>373.61610000000002</v>
      </c>
      <c r="D6" s="56">
        <v>1800</v>
      </c>
      <c r="E6" s="56">
        <v>2599</v>
      </c>
      <c r="F6" s="56"/>
      <c r="G6" s="56"/>
      <c r="H6" s="56"/>
      <c r="I6" s="56"/>
      <c r="J6" s="56">
        <v>14641</v>
      </c>
      <c r="K6" s="56">
        <v>1200</v>
      </c>
      <c r="L6" s="56">
        <v>5222.6697219999987</v>
      </c>
      <c r="M6" s="56">
        <v>130</v>
      </c>
      <c r="N6" s="56">
        <v>1933.06</v>
      </c>
      <c r="O6" s="56">
        <v>14.56</v>
      </c>
      <c r="P6" s="56"/>
      <c r="Q6" s="56">
        <v>14.56</v>
      </c>
      <c r="R6" s="56">
        <v>27913.905822000001</v>
      </c>
      <c r="S6" s="56">
        <v>27913.905822000001</v>
      </c>
    </row>
    <row r="7" spans="2:19" x14ac:dyDescent="0.25">
      <c r="B7" s="73" t="s">
        <v>150</v>
      </c>
      <c r="C7" s="56">
        <v>987.56000000000006</v>
      </c>
      <c r="D7" s="56"/>
      <c r="E7" s="56">
        <v>3860</v>
      </c>
      <c r="F7" s="56">
        <v>513.21080000000006</v>
      </c>
      <c r="G7" s="56">
        <v>100</v>
      </c>
      <c r="H7" s="56">
        <v>4230</v>
      </c>
      <c r="I7" s="56">
        <v>4230</v>
      </c>
      <c r="J7" s="56">
        <v>14641</v>
      </c>
      <c r="K7" s="56">
        <v>350</v>
      </c>
      <c r="L7" s="56">
        <v>5076.6098499999998</v>
      </c>
      <c r="M7" s="56">
        <v>255</v>
      </c>
      <c r="N7" s="56">
        <v>1979.5</v>
      </c>
      <c r="O7" s="56"/>
      <c r="P7" s="56"/>
      <c r="Q7" s="56"/>
      <c r="R7" s="56">
        <v>31992.880649999999</v>
      </c>
      <c r="S7" s="56">
        <v>31992.880649999999</v>
      </c>
    </row>
    <row r="8" spans="2:19" x14ac:dyDescent="0.25">
      <c r="B8" s="73" t="s">
        <v>151</v>
      </c>
      <c r="C8" s="56">
        <v>810.42299999999966</v>
      </c>
      <c r="D8" s="56"/>
      <c r="E8" s="56">
        <v>2841</v>
      </c>
      <c r="F8" s="56">
        <v>1353.21</v>
      </c>
      <c r="G8" s="56"/>
      <c r="H8" s="56"/>
      <c r="I8" s="56"/>
      <c r="J8" s="56">
        <v>14641</v>
      </c>
      <c r="K8" s="56">
        <v>350</v>
      </c>
      <c r="L8" s="56">
        <v>6350.0483499999991</v>
      </c>
      <c r="M8" s="56">
        <v>350</v>
      </c>
      <c r="N8" s="56">
        <v>962.33</v>
      </c>
      <c r="O8" s="56"/>
      <c r="P8" s="56"/>
      <c r="Q8" s="56"/>
      <c r="R8" s="56">
        <v>27658.011350000001</v>
      </c>
      <c r="S8" s="56">
        <v>27658.011350000001</v>
      </c>
    </row>
    <row r="9" spans="2:19" x14ac:dyDescent="0.25">
      <c r="B9" s="73" t="s">
        <v>152</v>
      </c>
      <c r="C9" s="56">
        <v>251.52</v>
      </c>
      <c r="D9" s="56"/>
      <c r="E9" s="56">
        <v>672</v>
      </c>
      <c r="F9" s="56">
        <v>2503</v>
      </c>
      <c r="G9" s="56"/>
      <c r="H9" s="56"/>
      <c r="I9" s="56"/>
      <c r="J9" s="56">
        <v>14641</v>
      </c>
      <c r="K9" s="56">
        <v>350</v>
      </c>
      <c r="L9" s="56">
        <v>6178.6561330000004</v>
      </c>
      <c r="M9" s="56">
        <v>435</v>
      </c>
      <c r="N9" s="56"/>
      <c r="O9" s="56"/>
      <c r="P9" s="56"/>
      <c r="Q9" s="56"/>
      <c r="R9" s="56">
        <v>25031.176133000001</v>
      </c>
      <c r="S9" s="56">
        <v>25031.176133000001</v>
      </c>
    </row>
    <row r="10" spans="2:19" x14ac:dyDescent="0.25">
      <c r="B10" s="73" t="s">
        <v>153</v>
      </c>
      <c r="C10" s="56">
        <v>649.21999999999764</v>
      </c>
      <c r="D10" s="56"/>
      <c r="E10" s="56">
        <v>2753</v>
      </c>
      <c r="F10" s="56">
        <v>1100</v>
      </c>
      <c r="G10" s="56"/>
      <c r="H10" s="56">
        <v>460</v>
      </c>
      <c r="I10" s="56">
        <v>460</v>
      </c>
      <c r="J10" s="56">
        <v>14641</v>
      </c>
      <c r="K10" s="56">
        <v>350</v>
      </c>
      <c r="L10" s="56">
        <v>6967.4987763999998</v>
      </c>
      <c r="M10" s="56">
        <v>285</v>
      </c>
      <c r="N10" s="56">
        <v>889.81</v>
      </c>
      <c r="O10" s="56"/>
      <c r="P10" s="56">
        <v>190.75965200000002</v>
      </c>
      <c r="Q10" s="56">
        <v>190.75965200000002</v>
      </c>
      <c r="R10" s="56">
        <v>28286.288428399999</v>
      </c>
      <c r="S10" s="56">
        <v>28286.288428399999</v>
      </c>
    </row>
    <row r="11" spans="2:19" x14ac:dyDescent="0.25">
      <c r="B11" s="73" t="s">
        <v>154</v>
      </c>
      <c r="C11" s="56">
        <v>870.56999999999994</v>
      </c>
      <c r="D11" s="56"/>
      <c r="E11" s="56">
        <v>2160</v>
      </c>
      <c r="F11" s="56">
        <v>815.09999999999991</v>
      </c>
      <c r="G11" s="56"/>
      <c r="H11" s="56"/>
      <c r="I11" s="56"/>
      <c r="J11" s="56">
        <v>14641</v>
      </c>
      <c r="K11" s="56">
        <v>880</v>
      </c>
      <c r="L11" s="56">
        <v>7010.2332820000001</v>
      </c>
      <c r="M11" s="56">
        <v>620</v>
      </c>
      <c r="N11" s="56">
        <v>2285.41</v>
      </c>
      <c r="O11" s="56"/>
      <c r="P11" s="56"/>
      <c r="Q11" s="56"/>
      <c r="R11" s="56">
        <v>29282.313281999999</v>
      </c>
      <c r="S11" s="56">
        <v>29282.313281999999</v>
      </c>
    </row>
    <row r="12" spans="2:19" x14ac:dyDescent="0.25">
      <c r="B12" s="73" t="s">
        <v>155</v>
      </c>
      <c r="C12" s="56">
        <v>426.1</v>
      </c>
      <c r="D12" s="56"/>
      <c r="E12" s="56">
        <v>1287.5</v>
      </c>
      <c r="F12" s="56">
        <v>1140</v>
      </c>
      <c r="G12" s="56"/>
      <c r="H12" s="56"/>
      <c r="I12" s="56"/>
      <c r="J12" s="56">
        <v>14641</v>
      </c>
      <c r="K12" s="56">
        <v>350</v>
      </c>
      <c r="L12" s="56">
        <v>5523.3955999999998</v>
      </c>
      <c r="M12" s="56">
        <v>468.5</v>
      </c>
      <c r="N12" s="56"/>
      <c r="O12" s="56"/>
      <c r="P12" s="56">
        <v>188.68944300000001</v>
      </c>
      <c r="Q12" s="56">
        <v>188.68944300000001</v>
      </c>
      <c r="R12" s="56">
        <v>24025.185042999998</v>
      </c>
      <c r="S12" s="56">
        <v>24025.185042999998</v>
      </c>
    </row>
    <row r="13" spans="2:19" x14ac:dyDescent="0.25">
      <c r="B13" s="73" t="s">
        <v>156</v>
      </c>
      <c r="C13" s="56">
        <v>370.78000000000065</v>
      </c>
      <c r="D13" s="56">
        <v>1800</v>
      </c>
      <c r="E13" s="56">
        <v>2158.84</v>
      </c>
      <c r="F13" s="56">
        <v>2117.27</v>
      </c>
      <c r="G13" s="56"/>
      <c r="H13" s="56"/>
      <c r="I13" s="56"/>
      <c r="J13" s="56">
        <v>14685.28</v>
      </c>
      <c r="K13" s="56">
        <v>1000</v>
      </c>
      <c r="L13" s="56">
        <v>788.22922000000005</v>
      </c>
      <c r="M13" s="56">
        <v>254</v>
      </c>
      <c r="N13" s="56"/>
      <c r="O13" s="56"/>
      <c r="P13" s="56"/>
      <c r="Q13" s="56"/>
      <c r="R13" s="56">
        <v>23174.399220000003</v>
      </c>
      <c r="S13" s="56">
        <v>23174.399220000003</v>
      </c>
    </row>
    <row r="14" spans="2:19" x14ac:dyDescent="0.25">
      <c r="B14" s="73" t="s">
        <v>157</v>
      </c>
      <c r="C14" s="56">
        <v>444.21</v>
      </c>
      <c r="D14" s="56"/>
      <c r="E14" s="56">
        <v>2488</v>
      </c>
      <c r="F14" s="56">
        <v>1140</v>
      </c>
      <c r="G14" s="56"/>
      <c r="H14" s="56"/>
      <c r="I14" s="56"/>
      <c r="J14" s="56">
        <v>14685.28</v>
      </c>
      <c r="K14" s="56">
        <v>350</v>
      </c>
      <c r="L14" s="56">
        <v>0</v>
      </c>
      <c r="M14" s="56">
        <v>235</v>
      </c>
      <c r="N14" s="56">
        <v>4664.3</v>
      </c>
      <c r="O14" s="56"/>
      <c r="P14" s="56"/>
      <c r="Q14" s="56"/>
      <c r="R14" s="56">
        <v>24006.79</v>
      </c>
      <c r="S14" s="56">
        <v>24006.79</v>
      </c>
    </row>
    <row r="15" spans="2:19" x14ac:dyDescent="0.25">
      <c r="B15" s="73" t="s">
        <v>158</v>
      </c>
      <c r="C15" s="56">
        <v>299.11995999999999</v>
      </c>
      <c r="D15" s="56"/>
      <c r="E15" s="56">
        <v>2086</v>
      </c>
      <c r="F15" s="56"/>
      <c r="G15" s="56"/>
      <c r="H15" s="56"/>
      <c r="I15" s="56"/>
      <c r="J15" s="56">
        <v>14685.28</v>
      </c>
      <c r="K15" s="56">
        <v>27150</v>
      </c>
      <c r="L15" s="56"/>
      <c r="M15" s="56">
        <v>416</v>
      </c>
      <c r="N15" s="56">
        <v>300</v>
      </c>
      <c r="O15" s="56"/>
      <c r="P15" s="56"/>
      <c r="Q15" s="56"/>
      <c r="R15" s="56">
        <v>44936.399960000002</v>
      </c>
      <c r="S15" s="56">
        <v>44936.399960000002</v>
      </c>
    </row>
    <row r="16" spans="2:19" x14ac:dyDescent="0.25">
      <c r="B16" s="73" t="s">
        <v>159</v>
      </c>
      <c r="C16" s="56">
        <v>197.02</v>
      </c>
      <c r="D16" s="56"/>
      <c r="E16" s="56">
        <v>1929</v>
      </c>
      <c r="F16" s="56">
        <v>1140</v>
      </c>
      <c r="G16" s="56"/>
      <c r="H16" s="56"/>
      <c r="I16" s="56"/>
      <c r="J16" s="56">
        <v>14685.28</v>
      </c>
      <c r="K16" s="56">
        <v>350</v>
      </c>
      <c r="L16" s="56"/>
      <c r="M16" s="56">
        <v>70</v>
      </c>
      <c r="N16" s="56"/>
      <c r="O16" s="56"/>
      <c r="P16" s="56"/>
      <c r="Q16" s="56"/>
      <c r="R16" s="56">
        <v>18371.3</v>
      </c>
      <c r="S16" s="56">
        <v>18371.3</v>
      </c>
    </row>
    <row r="17" spans="2:19" x14ac:dyDescent="0.25">
      <c r="B17" s="73" t="s">
        <v>160</v>
      </c>
      <c r="C17" s="56"/>
      <c r="D17" s="56"/>
      <c r="E17" s="56"/>
      <c r="F17" s="56"/>
      <c r="G17" s="56"/>
      <c r="H17" s="56"/>
      <c r="I17" s="56"/>
      <c r="J17" s="56"/>
      <c r="K17" s="56">
        <v>6000</v>
      </c>
      <c r="L17" s="56"/>
      <c r="M17" s="56"/>
      <c r="N17" s="56">
        <v>5390.65</v>
      </c>
      <c r="O17" s="56"/>
      <c r="P17" s="56"/>
      <c r="Q17" s="56"/>
      <c r="R17" s="56">
        <v>11390.65</v>
      </c>
      <c r="S17" s="56">
        <v>11390.65</v>
      </c>
    </row>
    <row r="18" spans="2:19" x14ac:dyDescent="0.25">
      <c r="B18" s="73" t="s">
        <v>130</v>
      </c>
      <c r="C18" s="56">
        <v>5680.1390599999986</v>
      </c>
      <c r="D18" s="56">
        <v>3600</v>
      </c>
      <c r="E18" s="56">
        <v>24834.34</v>
      </c>
      <c r="F18" s="56">
        <v>11821.790800000001</v>
      </c>
      <c r="G18" s="56">
        <v>100</v>
      </c>
      <c r="H18" s="56">
        <v>4690</v>
      </c>
      <c r="I18" s="56">
        <v>4690</v>
      </c>
      <c r="J18" s="56">
        <v>161228.12</v>
      </c>
      <c r="K18" s="56">
        <v>38680</v>
      </c>
      <c r="L18" s="56">
        <v>43117.340933399995</v>
      </c>
      <c r="M18" s="56">
        <v>3518.5</v>
      </c>
      <c r="N18" s="56">
        <v>18405.059999999998</v>
      </c>
      <c r="O18" s="56">
        <v>14.56</v>
      </c>
      <c r="P18" s="56">
        <v>379.44909500000006</v>
      </c>
      <c r="Q18" s="56">
        <v>394.009095</v>
      </c>
      <c r="R18" s="56">
        <v>316069.29988840001</v>
      </c>
      <c r="S18" s="56">
        <v>316069.29988840001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B2:H15"/>
  <sheetViews>
    <sheetView zoomScale="130" zoomScaleNormal="130" workbookViewId="0">
      <selection activeCell="E12" sqref="E12"/>
    </sheetView>
  </sheetViews>
  <sheetFormatPr defaultColWidth="10.625" defaultRowHeight="15.75" x14ac:dyDescent="0.25"/>
  <cols>
    <col min="1" max="1" width="3.375" customWidth="1"/>
    <col min="2" max="2" width="20.125" customWidth="1"/>
    <col min="3" max="4" width="15.125" customWidth="1"/>
    <col min="5" max="5" width="9.125" customWidth="1"/>
    <col min="6" max="6" width="16.125" customWidth="1"/>
    <col min="7" max="7" width="16.5" bestFit="1" customWidth="1"/>
    <col min="8" max="8" width="11" customWidth="1"/>
    <col min="9" max="9" width="16.875" bestFit="1" customWidth="1"/>
    <col min="10" max="10" width="17" bestFit="1" customWidth="1"/>
    <col min="11" max="12" width="11.375" bestFit="1" customWidth="1"/>
  </cols>
  <sheetData>
    <row r="2" spans="2:8" x14ac:dyDescent="0.25">
      <c r="B2" s="72" t="s">
        <v>133</v>
      </c>
      <c r="C2" s="72" t="s">
        <v>131</v>
      </c>
    </row>
    <row r="3" spans="2:8" x14ac:dyDescent="0.25">
      <c r="C3" t="s">
        <v>30</v>
      </c>
      <c r="G3" t="s">
        <v>135</v>
      </c>
      <c r="H3" t="s">
        <v>130</v>
      </c>
    </row>
    <row r="4" spans="2:8" x14ac:dyDescent="0.25">
      <c r="C4" t="s">
        <v>107</v>
      </c>
      <c r="D4" t="s">
        <v>127</v>
      </c>
      <c r="E4" t="s">
        <v>109</v>
      </c>
      <c r="F4" t="s">
        <v>145</v>
      </c>
    </row>
    <row r="5" spans="2:8" x14ac:dyDescent="0.25">
      <c r="B5" s="72" t="s">
        <v>129</v>
      </c>
    </row>
    <row r="6" spans="2:8" x14ac:dyDescent="0.25">
      <c r="B6" s="73" t="s">
        <v>134</v>
      </c>
      <c r="C6" s="56">
        <v>1018.04</v>
      </c>
      <c r="D6" s="56"/>
      <c r="E6" s="56"/>
      <c r="F6" s="56">
        <v>291.31489999999997</v>
      </c>
      <c r="G6" s="56">
        <v>1309.3548999999998</v>
      </c>
      <c r="H6" s="56">
        <v>1309.3548999999998</v>
      </c>
    </row>
    <row r="7" spans="2:8" x14ac:dyDescent="0.25">
      <c r="B7" s="73" t="s">
        <v>150</v>
      </c>
      <c r="C7" s="56">
        <v>246.17000000000002</v>
      </c>
      <c r="D7" s="56">
        <v>613.05999999999995</v>
      </c>
      <c r="E7" s="56"/>
      <c r="F7" s="56"/>
      <c r="G7" s="56">
        <v>859.23</v>
      </c>
      <c r="H7" s="56">
        <v>859.23</v>
      </c>
    </row>
    <row r="8" spans="2:8" x14ac:dyDescent="0.25">
      <c r="B8" s="73" t="s">
        <v>151</v>
      </c>
      <c r="C8" s="56">
        <v>3056.17</v>
      </c>
      <c r="D8" s="56"/>
      <c r="E8" s="56">
        <v>3234.14</v>
      </c>
      <c r="F8" s="56">
        <v>654.89030000000002</v>
      </c>
      <c r="G8" s="56">
        <v>6945.2002999999995</v>
      </c>
      <c r="H8" s="56">
        <v>6945.2002999999995</v>
      </c>
    </row>
    <row r="9" spans="2:8" x14ac:dyDescent="0.25">
      <c r="B9" s="73" t="s">
        <v>152</v>
      </c>
      <c r="C9" s="56">
        <v>246.17000000000002</v>
      </c>
      <c r="D9" s="56"/>
      <c r="E9" s="56"/>
      <c r="F9" s="56"/>
      <c r="G9" s="56">
        <v>246.17000000000002</v>
      </c>
      <c r="H9" s="56">
        <v>246.17000000000002</v>
      </c>
    </row>
    <row r="10" spans="2:8" x14ac:dyDescent="0.25">
      <c r="B10" s="73" t="s">
        <v>153</v>
      </c>
      <c r="C10" s="56">
        <v>3056.17</v>
      </c>
      <c r="D10" s="56">
        <v>1021.0593008000001</v>
      </c>
      <c r="E10" s="56"/>
      <c r="F10" s="56">
        <v>3412.6492290999995</v>
      </c>
      <c r="G10" s="56">
        <v>7489.8785298999992</v>
      </c>
      <c r="H10" s="56">
        <v>7489.8785298999992</v>
      </c>
    </row>
    <row r="11" spans="2:8" x14ac:dyDescent="0.25">
      <c r="B11" s="73" t="s">
        <v>154</v>
      </c>
      <c r="C11" s="56">
        <v>246.17000000000002</v>
      </c>
      <c r="D11" s="56">
        <v>342.52591999999999</v>
      </c>
      <c r="E11" s="56"/>
      <c r="F11" s="56"/>
      <c r="G11" s="56">
        <v>588.69592</v>
      </c>
      <c r="H11" s="56">
        <v>588.69592</v>
      </c>
    </row>
    <row r="12" spans="2:8" x14ac:dyDescent="0.25">
      <c r="B12" s="73" t="s">
        <v>155</v>
      </c>
      <c r="C12" s="56">
        <v>246.17000000000002</v>
      </c>
      <c r="D12" s="56">
        <v>335.57875999999999</v>
      </c>
      <c r="E12" s="56"/>
      <c r="F12" s="56">
        <v>1636.0956360000002</v>
      </c>
      <c r="G12" s="56">
        <v>2217.8443960000004</v>
      </c>
      <c r="H12" s="56">
        <v>2217.8443960000004</v>
      </c>
    </row>
    <row r="13" spans="2:8" x14ac:dyDescent="0.25">
      <c r="B13" s="73" t="s">
        <v>156</v>
      </c>
      <c r="C13" s="56">
        <v>246.17000000000002</v>
      </c>
      <c r="D13" s="56">
        <v>0</v>
      </c>
      <c r="E13" s="56"/>
      <c r="F13" s="56">
        <v>797.69</v>
      </c>
      <c r="G13" s="56">
        <v>1043.8600000000001</v>
      </c>
      <c r="H13" s="56">
        <v>1043.8600000000001</v>
      </c>
    </row>
    <row r="14" spans="2:8" x14ac:dyDescent="0.25">
      <c r="B14" s="73" t="s">
        <v>157</v>
      </c>
      <c r="C14" s="56">
        <v>246.17000000000002</v>
      </c>
      <c r="D14" s="56"/>
      <c r="E14" s="56"/>
      <c r="F14" s="56"/>
      <c r="G14" s="56">
        <v>246.17000000000002</v>
      </c>
      <c r="H14" s="56">
        <v>246.17000000000002</v>
      </c>
    </row>
    <row r="15" spans="2:8" x14ac:dyDescent="0.25">
      <c r="B15" s="73" t="s">
        <v>130</v>
      </c>
      <c r="C15" s="56">
        <v>8607.4</v>
      </c>
      <c r="D15" s="56">
        <v>2312.2239807999999</v>
      </c>
      <c r="E15" s="56">
        <v>3234.14</v>
      </c>
      <c r="F15" s="56">
        <v>6792.6400651000004</v>
      </c>
      <c r="G15" s="56">
        <v>20946.404045899995</v>
      </c>
      <c r="H15" s="56">
        <v>20946.404045899995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B2:H15"/>
  <sheetViews>
    <sheetView zoomScale="130" zoomScaleNormal="130" workbookViewId="0">
      <selection activeCell="L21" sqref="L21"/>
    </sheetView>
  </sheetViews>
  <sheetFormatPr defaultColWidth="10.625" defaultRowHeight="15.75" x14ac:dyDescent="0.25"/>
  <cols>
    <col min="1" max="1" width="3.375" customWidth="1"/>
    <col min="2" max="2" width="20.5" bestFit="1" customWidth="1"/>
    <col min="3" max="3" width="15.5" bestFit="1" customWidth="1"/>
    <col min="4" max="4" width="12.5" customWidth="1"/>
    <col min="5" max="5" width="11.375" bestFit="1" customWidth="1"/>
    <col min="6" max="6" width="12.125" bestFit="1" customWidth="1"/>
  </cols>
  <sheetData>
    <row r="2" spans="2:8" x14ac:dyDescent="0.25">
      <c r="B2" s="72" t="s">
        <v>133</v>
      </c>
      <c r="C2" s="72" t="s">
        <v>131</v>
      </c>
    </row>
    <row r="3" spans="2:8" x14ac:dyDescent="0.25">
      <c r="C3" t="s">
        <v>84</v>
      </c>
      <c r="G3" t="s">
        <v>137</v>
      </c>
      <c r="H3" t="s">
        <v>130</v>
      </c>
    </row>
    <row r="4" spans="2:8" x14ac:dyDescent="0.25">
      <c r="B4" s="72" t="s">
        <v>129</v>
      </c>
      <c r="C4" t="s">
        <v>86</v>
      </c>
      <c r="D4" t="s">
        <v>90</v>
      </c>
      <c r="E4" t="s">
        <v>85</v>
      </c>
      <c r="F4" t="s">
        <v>144</v>
      </c>
    </row>
    <row r="5" spans="2:8" x14ac:dyDescent="0.25">
      <c r="B5" s="73" t="s">
        <v>134</v>
      </c>
      <c r="C5" s="56"/>
      <c r="D5" s="56">
        <v>19160.120000000003</v>
      </c>
      <c r="E5" s="56"/>
      <c r="F5" s="56"/>
      <c r="G5" s="56">
        <v>19160.120000000003</v>
      </c>
      <c r="H5" s="56">
        <v>19160.120000000003</v>
      </c>
    </row>
    <row r="6" spans="2:8" x14ac:dyDescent="0.25">
      <c r="B6" s="73" t="s">
        <v>150</v>
      </c>
      <c r="C6" s="56">
        <v>3310</v>
      </c>
      <c r="D6" s="56">
        <v>57450.189999999995</v>
      </c>
      <c r="E6" s="56"/>
      <c r="F6" s="56"/>
      <c r="G6" s="56">
        <v>60760.189999999995</v>
      </c>
      <c r="H6" s="56">
        <v>60760.189999999995</v>
      </c>
    </row>
    <row r="7" spans="2:8" x14ac:dyDescent="0.25">
      <c r="B7" s="73" t="s">
        <v>151</v>
      </c>
      <c r="C7" s="56"/>
      <c r="D7" s="56">
        <v>22077.7</v>
      </c>
      <c r="E7" s="56"/>
      <c r="F7" s="56"/>
      <c r="G7" s="56">
        <v>22077.7</v>
      </c>
      <c r="H7" s="56">
        <v>22077.7</v>
      </c>
    </row>
    <row r="8" spans="2:8" x14ac:dyDescent="0.25">
      <c r="B8" s="73" t="s">
        <v>152</v>
      </c>
      <c r="C8" s="56"/>
      <c r="D8" s="56">
        <v>9310</v>
      </c>
      <c r="E8" s="56">
        <v>17132</v>
      </c>
      <c r="F8" s="56"/>
      <c r="G8" s="56">
        <v>26442</v>
      </c>
      <c r="H8" s="56">
        <v>26442</v>
      </c>
    </row>
    <row r="9" spans="2:8" x14ac:dyDescent="0.25">
      <c r="B9" s="73" t="s">
        <v>153</v>
      </c>
      <c r="C9" s="56"/>
      <c r="D9" s="56">
        <v>11390.689999999999</v>
      </c>
      <c r="E9" s="56"/>
      <c r="F9" s="56"/>
      <c r="G9" s="56">
        <v>11390.689999999999</v>
      </c>
      <c r="H9" s="56">
        <v>11390.689999999999</v>
      </c>
    </row>
    <row r="10" spans="2:8" x14ac:dyDescent="0.25">
      <c r="B10" s="73" t="s">
        <v>154</v>
      </c>
      <c r="C10" s="56"/>
      <c r="D10" s="56">
        <v>12420.060000000001</v>
      </c>
      <c r="E10" s="56"/>
      <c r="F10" s="56">
        <v>57211.47</v>
      </c>
      <c r="G10" s="56">
        <v>69631.53</v>
      </c>
      <c r="H10" s="56">
        <v>69631.53</v>
      </c>
    </row>
    <row r="11" spans="2:8" x14ac:dyDescent="0.25">
      <c r="B11" s="73" t="s">
        <v>155</v>
      </c>
      <c r="C11" s="56"/>
      <c r="D11" s="56">
        <v>16007.34</v>
      </c>
      <c r="E11" s="56">
        <v>28739.040000000001</v>
      </c>
      <c r="F11" s="56"/>
      <c r="G11" s="56">
        <v>44746.380000000005</v>
      </c>
      <c r="H11" s="56">
        <v>44746.380000000005</v>
      </c>
    </row>
    <row r="12" spans="2:8" x14ac:dyDescent="0.25">
      <c r="B12" s="73" t="s">
        <v>156</v>
      </c>
      <c r="C12" s="56"/>
      <c r="D12" s="56">
        <v>15493</v>
      </c>
      <c r="E12" s="56"/>
      <c r="F12" s="56"/>
      <c r="G12" s="56">
        <v>15493</v>
      </c>
      <c r="H12" s="56">
        <v>15493</v>
      </c>
    </row>
    <row r="13" spans="2:8" x14ac:dyDescent="0.25">
      <c r="B13" s="73" t="s">
        <v>157</v>
      </c>
      <c r="C13" s="56"/>
      <c r="D13" s="56">
        <v>11088.46</v>
      </c>
      <c r="E13" s="56"/>
      <c r="F13" s="56"/>
      <c r="G13" s="56">
        <v>11088.46</v>
      </c>
      <c r="H13" s="56">
        <v>11088.46</v>
      </c>
    </row>
    <row r="14" spans="2:8" x14ac:dyDescent="0.25">
      <c r="B14" s="73" t="s">
        <v>158</v>
      </c>
      <c r="C14" s="56"/>
      <c r="D14" s="56"/>
      <c r="E14" s="56">
        <v>29544.240000000002</v>
      </c>
      <c r="F14" s="56"/>
      <c r="G14" s="56">
        <v>29544.240000000002</v>
      </c>
      <c r="H14" s="56">
        <v>29544.240000000002</v>
      </c>
    </row>
    <row r="15" spans="2:8" x14ac:dyDescent="0.25">
      <c r="B15" s="73" t="s">
        <v>130</v>
      </c>
      <c r="C15" s="56">
        <v>3310</v>
      </c>
      <c r="D15" s="56">
        <v>174397.56</v>
      </c>
      <c r="E15" s="56">
        <v>75415.28</v>
      </c>
      <c r="F15" s="56">
        <v>57211.47</v>
      </c>
      <c r="G15" s="56">
        <v>310334.31</v>
      </c>
      <c r="H15" s="56">
        <v>310334.31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B2:C13"/>
  <sheetViews>
    <sheetView zoomScale="130" zoomScaleNormal="130" workbookViewId="0">
      <selection activeCell="E16" sqref="E16"/>
    </sheetView>
  </sheetViews>
  <sheetFormatPr defaultColWidth="10.625" defaultRowHeight="15.75" x14ac:dyDescent="0.25"/>
  <cols>
    <col min="1" max="1" width="3.375" customWidth="1"/>
    <col min="2" max="2" width="17.5" bestFit="1" customWidth="1"/>
    <col min="3" max="3" width="15.5" bestFit="1" customWidth="1"/>
    <col min="4" max="4" width="10.125" bestFit="1" customWidth="1"/>
    <col min="5" max="5" width="11.375" bestFit="1" customWidth="1"/>
    <col min="6" max="6" width="12.625" bestFit="1" customWidth="1"/>
    <col min="7" max="7" width="5.5" bestFit="1" customWidth="1"/>
    <col min="8" max="8" width="12.375" bestFit="1" customWidth="1"/>
    <col min="9" max="9" width="8" bestFit="1" customWidth="1"/>
    <col min="10" max="10" width="16" bestFit="1" customWidth="1"/>
    <col min="11" max="11" width="13.5" bestFit="1" customWidth="1"/>
    <col min="12" max="12" width="24.375" bestFit="1" customWidth="1"/>
    <col min="13" max="13" width="11" bestFit="1" customWidth="1"/>
    <col min="14" max="14" width="7.625" bestFit="1" customWidth="1"/>
    <col min="15" max="15" width="13.625" bestFit="1" customWidth="1"/>
    <col min="16" max="16" width="12.5" bestFit="1" customWidth="1"/>
    <col min="17" max="17" width="12" bestFit="1" customWidth="1"/>
    <col min="18" max="18" width="8.125" bestFit="1" customWidth="1"/>
    <col min="19" max="19" width="8" bestFit="1" customWidth="1"/>
    <col min="20" max="20" width="12.5" bestFit="1" customWidth="1"/>
    <col min="21" max="21" width="13.625" bestFit="1" customWidth="1"/>
    <col min="22" max="22" width="6" bestFit="1" customWidth="1"/>
    <col min="23" max="23" width="7.125" bestFit="1" customWidth="1"/>
    <col min="24" max="24" width="8" bestFit="1" customWidth="1"/>
    <col min="25" max="25" width="9" bestFit="1" customWidth="1"/>
    <col min="26" max="26" width="8" bestFit="1" customWidth="1"/>
    <col min="27" max="27" width="12.625" bestFit="1" customWidth="1"/>
    <col min="28" max="28" width="17.125" bestFit="1" customWidth="1"/>
    <col min="29" max="29" width="14.125" bestFit="1" customWidth="1"/>
    <col min="30" max="30" width="7.625" bestFit="1" customWidth="1"/>
    <col min="31" max="31" width="8" bestFit="1" customWidth="1"/>
    <col min="32" max="32" width="8.875" bestFit="1" customWidth="1"/>
    <col min="33" max="33" width="11.375" bestFit="1" customWidth="1"/>
  </cols>
  <sheetData>
    <row r="2" spans="2:3" x14ac:dyDescent="0.25">
      <c r="B2" s="72" t="s">
        <v>133</v>
      </c>
      <c r="C2" s="72" t="s">
        <v>131</v>
      </c>
    </row>
    <row r="3" spans="2:3" x14ac:dyDescent="0.25">
      <c r="B3" s="72" t="s">
        <v>129</v>
      </c>
      <c r="C3" t="s">
        <v>107</v>
      </c>
    </row>
    <row r="4" spans="2:3" x14ac:dyDescent="0.25">
      <c r="B4" s="73" t="s">
        <v>134</v>
      </c>
      <c r="C4" s="56">
        <v>1018.04</v>
      </c>
    </row>
    <row r="5" spans="2:3" x14ac:dyDescent="0.25">
      <c r="B5" s="73" t="s">
        <v>150</v>
      </c>
      <c r="C5" s="56">
        <v>246.17000000000002</v>
      </c>
    </row>
    <row r="6" spans="2:3" x14ac:dyDescent="0.25">
      <c r="B6" s="73" t="s">
        <v>151</v>
      </c>
      <c r="C6" s="56">
        <v>3056.17</v>
      </c>
    </row>
    <row r="7" spans="2:3" x14ac:dyDescent="0.25">
      <c r="B7" s="73" t="s">
        <v>152</v>
      </c>
      <c r="C7" s="56">
        <v>246.17000000000002</v>
      </c>
    </row>
    <row r="8" spans="2:3" x14ac:dyDescent="0.25">
      <c r="B8" s="73" t="s">
        <v>153</v>
      </c>
      <c r="C8" s="56">
        <v>3056.17</v>
      </c>
    </row>
    <row r="9" spans="2:3" x14ac:dyDescent="0.25">
      <c r="B9" s="73" t="s">
        <v>154</v>
      </c>
      <c r="C9" s="56">
        <v>246.17000000000002</v>
      </c>
    </row>
    <row r="10" spans="2:3" x14ac:dyDescent="0.25">
      <c r="B10" s="73" t="s">
        <v>155</v>
      </c>
      <c r="C10" s="56">
        <v>246.17000000000002</v>
      </c>
    </row>
    <row r="11" spans="2:3" x14ac:dyDescent="0.25">
      <c r="B11" s="73" t="s">
        <v>156</v>
      </c>
      <c r="C11" s="56">
        <v>246.17000000000002</v>
      </c>
    </row>
    <row r="12" spans="2:3" x14ac:dyDescent="0.25">
      <c r="B12" s="73" t="s">
        <v>157</v>
      </c>
      <c r="C12" s="56">
        <v>246.17000000000002</v>
      </c>
    </row>
    <row r="13" spans="2:3" x14ac:dyDescent="0.25">
      <c r="B13" s="73" t="s">
        <v>130</v>
      </c>
      <c r="C13" s="56">
        <v>8607.4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B2:D11"/>
  <sheetViews>
    <sheetView zoomScale="130" zoomScaleNormal="130" workbookViewId="0">
      <selection activeCell="H17" sqref="H17"/>
    </sheetView>
  </sheetViews>
  <sheetFormatPr defaultColWidth="10.625" defaultRowHeight="15.75" x14ac:dyDescent="0.25"/>
  <cols>
    <col min="1" max="1" width="3.375" customWidth="1"/>
    <col min="2" max="2" width="17.5" bestFit="1" customWidth="1"/>
    <col min="3" max="3" width="15.5" bestFit="1" customWidth="1"/>
    <col min="4" max="4" width="13.625" bestFit="1" customWidth="1"/>
    <col min="5" max="5" width="14.5" bestFit="1" customWidth="1"/>
    <col min="6" max="6" width="12.625" bestFit="1" customWidth="1"/>
    <col min="7" max="7" width="5.5" bestFit="1" customWidth="1"/>
    <col min="8" max="8" width="12.375" bestFit="1" customWidth="1"/>
    <col min="9" max="9" width="8" bestFit="1" customWidth="1"/>
    <col min="10" max="10" width="16" bestFit="1" customWidth="1"/>
    <col min="11" max="11" width="13.5" bestFit="1" customWidth="1"/>
    <col min="12" max="12" width="24.375" bestFit="1" customWidth="1"/>
    <col min="13" max="13" width="11" bestFit="1" customWidth="1"/>
    <col min="14" max="14" width="7.625" bestFit="1" customWidth="1"/>
    <col min="15" max="15" width="13.625" bestFit="1" customWidth="1"/>
    <col min="16" max="16" width="12.5" bestFit="1" customWidth="1"/>
    <col min="17" max="17" width="12" bestFit="1" customWidth="1"/>
    <col min="18" max="18" width="8.125" bestFit="1" customWidth="1"/>
    <col min="19" max="19" width="8" bestFit="1" customWidth="1"/>
    <col min="20" max="20" width="12.5" bestFit="1" customWidth="1"/>
    <col min="21" max="21" width="13.625" bestFit="1" customWidth="1"/>
    <col min="22" max="22" width="6" bestFit="1" customWidth="1"/>
    <col min="23" max="23" width="7.125" bestFit="1" customWidth="1"/>
    <col min="24" max="24" width="8" bestFit="1" customWidth="1"/>
    <col min="25" max="25" width="9" bestFit="1" customWidth="1"/>
    <col min="26" max="26" width="8" bestFit="1" customWidth="1"/>
    <col min="27" max="27" width="12.625" bestFit="1" customWidth="1"/>
    <col min="28" max="28" width="17.125" bestFit="1" customWidth="1"/>
    <col min="29" max="29" width="14.125" bestFit="1" customWidth="1"/>
    <col min="30" max="30" width="7.625" bestFit="1" customWidth="1"/>
    <col min="31" max="31" width="8" bestFit="1" customWidth="1"/>
    <col min="32" max="32" width="8.875" bestFit="1" customWidth="1"/>
    <col min="33" max="33" width="11.375" bestFit="1" customWidth="1"/>
  </cols>
  <sheetData>
    <row r="2" spans="2:4" x14ac:dyDescent="0.25">
      <c r="B2" s="72" t="s">
        <v>133</v>
      </c>
      <c r="C2" s="72" t="s">
        <v>131</v>
      </c>
    </row>
    <row r="3" spans="2:4" x14ac:dyDescent="0.25">
      <c r="B3" s="72" t="s">
        <v>129</v>
      </c>
      <c r="C3" t="s">
        <v>127</v>
      </c>
      <c r="D3" t="s">
        <v>145</v>
      </c>
    </row>
    <row r="4" spans="2:4" x14ac:dyDescent="0.25">
      <c r="B4" s="73" t="s">
        <v>134</v>
      </c>
      <c r="C4" s="56"/>
      <c r="D4" s="56">
        <v>291.31489999999997</v>
      </c>
    </row>
    <row r="5" spans="2:4" x14ac:dyDescent="0.25">
      <c r="B5" s="73" t="s">
        <v>150</v>
      </c>
      <c r="C5" s="56">
        <v>613.05999999999995</v>
      </c>
      <c r="D5" s="56"/>
    </row>
    <row r="6" spans="2:4" x14ac:dyDescent="0.25">
      <c r="B6" s="73" t="s">
        <v>151</v>
      </c>
      <c r="C6" s="56"/>
      <c r="D6" s="56">
        <v>654.89030000000002</v>
      </c>
    </row>
    <row r="7" spans="2:4" x14ac:dyDescent="0.25">
      <c r="B7" s="73" t="s">
        <v>153</v>
      </c>
      <c r="C7" s="56">
        <v>1021.0593008000001</v>
      </c>
      <c r="D7" s="56">
        <v>3412.6492290999995</v>
      </c>
    </row>
    <row r="8" spans="2:4" x14ac:dyDescent="0.25">
      <c r="B8" s="73" t="s">
        <v>154</v>
      </c>
      <c r="C8" s="56">
        <v>342.52591999999999</v>
      </c>
      <c r="D8" s="56"/>
    </row>
    <row r="9" spans="2:4" x14ac:dyDescent="0.25">
      <c r="B9" s="73" t="s">
        <v>155</v>
      </c>
      <c r="C9" s="56">
        <v>335.57875999999999</v>
      </c>
      <c r="D9" s="56">
        <v>1636.0956360000002</v>
      </c>
    </row>
    <row r="10" spans="2:4" x14ac:dyDescent="0.25">
      <c r="B10" s="73" t="s">
        <v>156</v>
      </c>
      <c r="C10" s="56">
        <v>0</v>
      </c>
      <c r="D10" s="56">
        <v>797.69</v>
      </c>
    </row>
    <row r="11" spans="2:4" x14ac:dyDescent="0.25">
      <c r="B11" s="73" t="s">
        <v>130</v>
      </c>
      <c r="C11" s="56">
        <v>2312.2239807999999</v>
      </c>
      <c r="D11" s="56">
        <v>6792.6400651000004</v>
      </c>
    </row>
  </sheetData>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2:C29"/>
  <sheetViews>
    <sheetView zoomScale="130" zoomScaleNormal="130" workbookViewId="0">
      <selection activeCell="F26" sqref="F26"/>
    </sheetView>
  </sheetViews>
  <sheetFormatPr defaultColWidth="10.625" defaultRowHeight="15.75" x14ac:dyDescent="0.25"/>
  <cols>
    <col min="1" max="1" width="3.375" customWidth="1"/>
    <col min="2" max="2" width="17.5" bestFit="1" customWidth="1"/>
    <col min="3" max="20" width="12.875" customWidth="1"/>
    <col min="21" max="21" width="13.625" bestFit="1" customWidth="1"/>
    <col min="22" max="22" width="6" bestFit="1" customWidth="1"/>
    <col min="23" max="23" width="7.125" bestFit="1" customWidth="1"/>
    <col min="24" max="24" width="8" bestFit="1" customWidth="1"/>
    <col min="25" max="25" width="9" bestFit="1" customWidth="1"/>
    <col min="26" max="26" width="8" bestFit="1" customWidth="1"/>
    <col min="27" max="27" width="12.625" bestFit="1" customWidth="1"/>
    <col min="28" max="28" width="17.125" bestFit="1" customWidth="1"/>
    <col min="29" max="29" width="14.125" bestFit="1" customWidth="1"/>
    <col min="30" max="30" width="7.625" bestFit="1" customWidth="1"/>
    <col min="31" max="31" width="8" bestFit="1" customWidth="1"/>
    <col min="32" max="32" width="8.875" bestFit="1" customWidth="1"/>
    <col min="33" max="33" width="11.375" bestFit="1" customWidth="1"/>
  </cols>
  <sheetData>
    <row r="2" spans="1:3" x14ac:dyDescent="0.25">
      <c r="B2" s="72" t="s">
        <v>138</v>
      </c>
      <c r="C2" s="72" t="s">
        <v>131</v>
      </c>
    </row>
    <row r="4" spans="1:3" x14ac:dyDescent="0.25">
      <c r="B4" s="72" t="s">
        <v>129</v>
      </c>
    </row>
    <row r="5" spans="1:3" x14ac:dyDescent="0.25">
      <c r="A5">
        <v>1</v>
      </c>
    </row>
    <row r="6" spans="1:3" x14ac:dyDescent="0.25">
      <c r="A6">
        <v>2</v>
      </c>
    </row>
    <row r="7" spans="1:3" x14ac:dyDescent="0.25">
      <c r="A7">
        <v>3</v>
      </c>
    </row>
    <row r="8" spans="1:3" x14ac:dyDescent="0.25">
      <c r="A8">
        <v>4</v>
      </c>
    </row>
    <row r="9" spans="1:3" x14ac:dyDescent="0.25">
      <c r="A9">
        <v>5</v>
      </c>
    </row>
    <row r="10" spans="1:3" x14ac:dyDescent="0.25">
      <c r="A10">
        <v>6</v>
      </c>
    </row>
    <row r="11" spans="1:3" x14ac:dyDescent="0.25">
      <c r="A11">
        <v>7</v>
      </c>
    </row>
    <row r="12" spans="1:3" x14ac:dyDescent="0.25">
      <c r="A12">
        <v>8</v>
      </c>
    </row>
    <row r="13" spans="1:3" x14ac:dyDescent="0.25">
      <c r="A13">
        <v>9</v>
      </c>
    </row>
    <row r="14" spans="1:3" x14ac:dyDescent="0.25">
      <c r="A14">
        <v>10</v>
      </c>
    </row>
    <row r="15" spans="1:3" x14ac:dyDescent="0.25">
      <c r="A15">
        <v>11</v>
      </c>
    </row>
    <row r="16" spans="1:3" x14ac:dyDescent="0.25">
      <c r="A16">
        <v>12</v>
      </c>
    </row>
    <row r="18" spans="1:3" x14ac:dyDescent="0.25">
      <c r="A18">
        <f>A5</f>
        <v>1</v>
      </c>
    </row>
    <row r="19" spans="1:3" x14ac:dyDescent="0.25">
      <c r="A19">
        <f t="shared" ref="A19:B29" si="0">A6</f>
        <v>2</v>
      </c>
    </row>
    <row r="20" spans="1:3" x14ac:dyDescent="0.25">
      <c r="A20">
        <f t="shared" si="0"/>
        <v>3</v>
      </c>
    </row>
    <row r="21" spans="1:3" x14ac:dyDescent="0.25">
      <c r="A21">
        <f t="shared" si="0"/>
        <v>4</v>
      </c>
    </row>
    <row r="22" spans="1:3" x14ac:dyDescent="0.25">
      <c r="A22">
        <f t="shared" si="0"/>
        <v>5</v>
      </c>
    </row>
    <row r="23" spans="1:3" x14ac:dyDescent="0.25">
      <c r="A23">
        <f t="shared" si="0"/>
        <v>6</v>
      </c>
    </row>
    <row r="24" spans="1:3" x14ac:dyDescent="0.25">
      <c r="A24">
        <f t="shared" si="0"/>
        <v>7</v>
      </c>
    </row>
    <row r="25" spans="1:3" x14ac:dyDescent="0.25">
      <c r="A25">
        <f t="shared" si="0"/>
        <v>8</v>
      </c>
      <c r="B25">
        <f t="shared" si="0"/>
        <v>0</v>
      </c>
      <c r="C25">
        <f>COUNT(C12:AY12)</f>
        <v>0</v>
      </c>
    </row>
    <row r="26" spans="1:3" x14ac:dyDescent="0.25">
      <c r="A26">
        <f t="shared" si="0"/>
        <v>9</v>
      </c>
      <c r="B26">
        <f t="shared" si="0"/>
        <v>0</v>
      </c>
      <c r="C26">
        <f>COUNT(C13:AY13)</f>
        <v>0</v>
      </c>
    </row>
    <row r="27" spans="1:3" x14ac:dyDescent="0.25">
      <c r="A27">
        <f t="shared" si="0"/>
        <v>10</v>
      </c>
      <c r="B27">
        <f t="shared" si="0"/>
        <v>0</v>
      </c>
      <c r="C27">
        <f>COUNT(C14:AY14)</f>
        <v>0</v>
      </c>
    </row>
    <row r="28" spans="1:3" x14ac:dyDescent="0.25">
      <c r="A28">
        <f t="shared" si="0"/>
        <v>11</v>
      </c>
      <c r="B28">
        <f t="shared" si="0"/>
        <v>0</v>
      </c>
      <c r="C28">
        <f>COUNT(C15:AY15)</f>
        <v>0</v>
      </c>
    </row>
    <row r="29" spans="1:3" x14ac:dyDescent="0.25">
      <c r="A29">
        <f t="shared" si="0"/>
        <v>12</v>
      </c>
      <c r="B29">
        <f t="shared" si="0"/>
        <v>0</v>
      </c>
      <c r="C29">
        <f>COUNT(C16:AY16)</f>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2:C12"/>
  <sheetViews>
    <sheetView zoomScale="130" zoomScaleNormal="130" workbookViewId="0">
      <selection activeCell="E18" sqref="E18"/>
    </sheetView>
  </sheetViews>
  <sheetFormatPr defaultColWidth="10.625" defaultRowHeight="15.75" x14ac:dyDescent="0.25"/>
  <cols>
    <col min="1" max="1" width="4.5" customWidth="1"/>
    <col min="2" max="2" width="20.125" customWidth="1"/>
    <col min="3" max="3" width="15.125" customWidth="1"/>
    <col min="4" max="4" width="10.5" bestFit="1" customWidth="1"/>
    <col min="5" max="5" width="9" bestFit="1" customWidth="1"/>
    <col min="6" max="6" width="12.875" bestFit="1" customWidth="1"/>
    <col min="7" max="7" width="8" bestFit="1" customWidth="1"/>
    <col min="8" max="8" width="9" bestFit="1" customWidth="1"/>
    <col min="9" max="9" width="8" bestFit="1" customWidth="1"/>
    <col min="10" max="10" width="15.375" bestFit="1" customWidth="1"/>
    <col min="11" max="11" width="9.625" bestFit="1" customWidth="1"/>
    <col min="12" max="12" width="13.125" bestFit="1" customWidth="1"/>
    <col min="13" max="13" width="8.125" bestFit="1" customWidth="1"/>
    <col min="14" max="14" width="9.625" bestFit="1" customWidth="1"/>
    <col min="15" max="15" width="8.125" bestFit="1" customWidth="1"/>
    <col min="16" max="16" width="9.375" bestFit="1" customWidth="1"/>
    <col min="17" max="17" width="12.5" bestFit="1" customWidth="1"/>
    <col min="18" max="18" width="13" bestFit="1" customWidth="1"/>
    <col min="19" max="19" width="7" bestFit="1" customWidth="1"/>
    <col min="20" max="20" width="8.375" bestFit="1" customWidth="1"/>
    <col min="21" max="21" width="12.5" bestFit="1" customWidth="1"/>
    <col min="22" max="22" width="15.375" bestFit="1" customWidth="1"/>
    <col min="23" max="23" width="8.125" bestFit="1" customWidth="1"/>
    <col min="24" max="24" width="12" bestFit="1" customWidth="1"/>
    <col min="25" max="25" width="8" bestFit="1" customWidth="1"/>
    <col min="26" max="26" width="11.875" bestFit="1" customWidth="1"/>
    <col min="27" max="27" width="8.125" bestFit="1" customWidth="1"/>
    <col min="28" max="28" width="7.375" bestFit="1" customWidth="1"/>
    <col min="29" max="29" width="6.375" bestFit="1" customWidth="1"/>
    <col min="30" max="30" width="14.125" bestFit="1" customWidth="1"/>
    <col min="31" max="31" width="10.125" bestFit="1" customWidth="1"/>
    <col min="32" max="32" width="7.125" bestFit="1" customWidth="1"/>
    <col min="33" max="33" width="10.375" bestFit="1" customWidth="1"/>
    <col min="34" max="34" width="12" bestFit="1" customWidth="1"/>
    <col min="35" max="35" width="11.875" bestFit="1" customWidth="1"/>
    <col min="36" max="36" width="5.5" bestFit="1" customWidth="1"/>
    <col min="37" max="37" width="14.125" bestFit="1" customWidth="1"/>
    <col min="38" max="38" width="10.5" bestFit="1" customWidth="1"/>
    <col min="39" max="39" width="7.125" bestFit="1" customWidth="1"/>
    <col min="40" max="40" width="8" bestFit="1" customWidth="1"/>
    <col min="41" max="41" width="11.375" bestFit="1" customWidth="1"/>
    <col min="42" max="43" width="14.125" bestFit="1" customWidth="1"/>
    <col min="44" max="44" width="12.125" bestFit="1" customWidth="1"/>
    <col min="45" max="45" width="12" bestFit="1" customWidth="1"/>
    <col min="46" max="46" width="10.375" bestFit="1" customWidth="1"/>
    <col min="47" max="47" width="8" bestFit="1" customWidth="1"/>
    <col min="48" max="48" width="7" bestFit="1" customWidth="1"/>
    <col min="49" max="49" width="6" bestFit="1" customWidth="1"/>
    <col min="50" max="50" width="8.875" bestFit="1" customWidth="1"/>
    <col min="51" max="51" width="9.625" bestFit="1" customWidth="1"/>
    <col min="52" max="52" width="7.125" bestFit="1" customWidth="1"/>
    <col min="53" max="53" width="12.125" bestFit="1" customWidth="1"/>
    <col min="54" max="54" width="11.375" bestFit="1" customWidth="1"/>
    <col min="55" max="85" width="8" bestFit="1" customWidth="1"/>
    <col min="86" max="92" width="9.5" bestFit="1" customWidth="1"/>
    <col min="93" max="102" width="10.5" bestFit="1" customWidth="1"/>
    <col min="103" max="103" width="11.5" bestFit="1" customWidth="1"/>
    <col min="104" max="104" width="12.125" bestFit="1" customWidth="1"/>
  </cols>
  <sheetData>
    <row r="2" spans="2:3" x14ac:dyDescent="0.25">
      <c r="B2" s="72" t="s">
        <v>133</v>
      </c>
      <c r="C2" s="72" t="s">
        <v>131</v>
      </c>
    </row>
    <row r="3" spans="2:3" x14ac:dyDescent="0.25">
      <c r="B3" s="72" t="s">
        <v>129</v>
      </c>
      <c r="C3" t="s">
        <v>143</v>
      </c>
    </row>
    <row r="4" spans="2:3" x14ac:dyDescent="0.25">
      <c r="B4" s="73" t="s">
        <v>134</v>
      </c>
      <c r="C4" s="56">
        <v>19160.120000000003</v>
      </c>
    </row>
    <row r="5" spans="2:3" x14ac:dyDescent="0.25">
      <c r="B5" s="73" t="s">
        <v>150</v>
      </c>
      <c r="C5" s="56">
        <v>57450.189999999995</v>
      </c>
    </row>
    <row r="6" spans="2:3" x14ac:dyDescent="0.25">
      <c r="B6" s="73" t="s">
        <v>151</v>
      </c>
      <c r="C6" s="56">
        <v>22077.7</v>
      </c>
    </row>
    <row r="7" spans="2:3" x14ac:dyDescent="0.25">
      <c r="B7" s="73" t="s">
        <v>152</v>
      </c>
      <c r="C7" s="56">
        <v>9310</v>
      </c>
    </row>
    <row r="8" spans="2:3" x14ac:dyDescent="0.25">
      <c r="B8" s="73" t="s">
        <v>153</v>
      </c>
      <c r="C8" s="56">
        <v>11390.689999999999</v>
      </c>
    </row>
    <row r="9" spans="2:3" x14ac:dyDescent="0.25">
      <c r="B9" s="73" t="s">
        <v>154</v>
      </c>
      <c r="C9" s="56">
        <v>12420.060000000001</v>
      </c>
    </row>
    <row r="10" spans="2:3" x14ac:dyDescent="0.25">
      <c r="B10" s="73" t="s">
        <v>155</v>
      </c>
      <c r="C10" s="56">
        <v>16007.34</v>
      </c>
    </row>
    <row r="11" spans="2:3" x14ac:dyDescent="0.25">
      <c r="B11" s="73" t="s">
        <v>156</v>
      </c>
      <c r="C11" s="56">
        <v>15493</v>
      </c>
    </row>
    <row r="12" spans="2:3" x14ac:dyDescent="0.25">
      <c r="B12" s="73" t="s">
        <v>157</v>
      </c>
      <c r="C12" s="56">
        <v>11088.46</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dimension ref="B1:E76"/>
  <sheetViews>
    <sheetView topLeftCell="A29" zoomScale="110" zoomScaleNormal="110" zoomScalePageLayoutView="70" workbookViewId="0">
      <selection activeCell="D31" sqref="D31"/>
    </sheetView>
  </sheetViews>
  <sheetFormatPr defaultColWidth="11" defaultRowHeight="15.75" x14ac:dyDescent="0.25"/>
  <cols>
    <col min="1" max="1" width="5.125" customWidth="1"/>
    <col min="2" max="2" width="18.875" bestFit="1" customWidth="1"/>
    <col min="3" max="3" width="28.5" customWidth="1"/>
    <col min="4" max="4" width="52.625" customWidth="1"/>
    <col min="5" max="5" width="51.625" customWidth="1"/>
  </cols>
  <sheetData>
    <row r="1" spans="2:5" s="2" customFormat="1" ht="17.25" x14ac:dyDescent="0.3"/>
    <row r="2" spans="2:5" s="2" customFormat="1" ht="18.75" x14ac:dyDescent="0.3">
      <c r="B2" s="1" t="s">
        <v>0</v>
      </c>
    </row>
    <row r="3" spans="2:5" s="2" customFormat="1" ht="17.25" x14ac:dyDescent="0.3">
      <c r="B3" s="2" t="s">
        <v>60</v>
      </c>
    </row>
    <row r="4" spans="2:5" s="2" customFormat="1" ht="17.25" x14ac:dyDescent="0.3"/>
    <row r="5" spans="2:5" x14ac:dyDescent="0.25">
      <c r="B5" s="23" t="s">
        <v>26</v>
      </c>
      <c r="C5" s="23" t="s">
        <v>38</v>
      </c>
      <c r="D5" s="23" t="s">
        <v>82</v>
      </c>
      <c r="E5" s="23" t="s">
        <v>117</v>
      </c>
    </row>
    <row r="6" spans="2:5" ht="17.25" x14ac:dyDescent="0.3">
      <c r="B6" s="6" t="s">
        <v>27</v>
      </c>
      <c r="C6" s="2" t="s">
        <v>72</v>
      </c>
      <c r="D6" s="2"/>
    </row>
    <row r="7" spans="2:5" ht="17.25" x14ac:dyDescent="0.3">
      <c r="B7" s="6" t="s">
        <v>27</v>
      </c>
      <c r="C7" s="2" t="s">
        <v>45</v>
      </c>
      <c r="D7" s="2"/>
    </row>
    <row r="8" spans="2:5" ht="17.25" x14ac:dyDescent="0.3">
      <c r="B8" s="6" t="s">
        <v>27</v>
      </c>
      <c r="C8" s="2" t="s">
        <v>69</v>
      </c>
      <c r="D8" s="2"/>
    </row>
    <row r="9" spans="2:5" ht="17.25" x14ac:dyDescent="0.3">
      <c r="B9" s="6" t="s">
        <v>27</v>
      </c>
      <c r="C9" s="2" t="s">
        <v>21</v>
      </c>
      <c r="D9" s="2"/>
    </row>
    <row r="10" spans="2:5" ht="17.25" x14ac:dyDescent="0.3">
      <c r="B10" s="6" t="s">
        <v>27</v>
      </c>
      <c r="C10" s="6" t="s">
        <v>22</v>
      </c>
      <c r="D10" s="2"/>
    </row>
    <row r="11" spans="2:5" ht="17.25" x14ac:dyDescent="0.3">
      <c r="B11" s="6" t="s">
        <v>27</v>
      </c>
      <c r="C11" s="6" t="s">
        <v>42</v>
      </c>
      <c r="D11" s="2"/>
    </row>
    <row r="12" spans="2:5" ht="17.25" x14ac:dyDescent="0.3">
      <c r="B12" s="6" t="s">
        <v>27</v>
      </c>
      <c r="C12" s="6" t="s">
        <v>122</v>
      </c>
      <c r="D12" s="2"/>
    </row>
    <row r="13" spans="2:5" ht="17.25" x14ac:dyDescent="0.3">
      <c r="B13" s="6" t="s">
        <v>27</v>
      </c>
      <c r="C13" s="6" t="s">
        <v>9</v>
      </c>
      <c r="D13" s="2"/>
    </row>
    <row r="14" spans="2:5" ht="17.25" x14ac:dyDescent="0.3">
      <c r="B14" s="6" t="s">
        <v>27</v>
      </c>
      <c r="C14" s="6" t="s">
        <v>51</v>
      </c>
      <c r="D14" s="2"/>
    </row>
    <row r="15" spans="2:5" ht="17.25" x14ac:dyDescent="0.3">
      <c r="B15" s="6" t="s">
        <v>27</v>
      </c>
      <c r="C15" s="6" t="s">
        <v>48</v>
      </c>
      <c r="D15" s="2"/>
    </row>
    <row r="16" spans="2:5" ht="17.25" x14ac:dyDescent="0.3">
      <c r="B16" s="6" t="s">
        <v>27</v>
      </c>
      <c r="C16" s="6" t="s">
        <v>113</v>
      </c>
      <c r="D16" s="2"/>
    </row>
    <row r="17" spans="2:5" ht="17.25" x14ac:dyDescent="0.3">
      <c r="B17" s="6" t="s">
        <v>27</v>
      </c>
      <c r="C17" s="6" t="s">
        <v>52</v>
      </c>
      <c r="D17" s="2"/>
    </row>
    <row r="18" spans="2:5" ht="17.25" x14ac:dyDescent="0.3">
      <c r="B18" s="6" t="s">
        <v>27</v>
      </c>
      <c r="C18" s="6" t="s">
        <v>24</v>
      </c>
      <c r="D18" s="2"/>
    </row>
    <row r="19" spans="2:5" ht="17.25" x14ac:dyDescent="0.3">
      <c r="B19" s="6" t="s">
        <v>27</v>
      </c>
      <c r="C19" s="6" t="s">
        <v>50</v>
      </c>
      <c r="D19" s="2"/>
    </row>
    <row r="20" spans="2:5" ht="17.25" x14ac:dyDescent="0.3">
      <c r="B20" s="6" t="s">
        <v>27</v>
      </c>
      <c r="C20" s="6" t="s">
        <v>70</v>
      </c>
      <c r="D20" s="2"/>
    </row>
    <row r="21" spans="2:5" ht="17.25" x14ac:dyDescent="0.3">
      <c r="B21" s="6" t="s">
        <v>27</v>
      </c>
      <c r="C21" s="6" t="s">
        <v>25</v>
      </c>
      <c r="D21" s="2"/>
    </row>
    <row r="22" spans="2:5" ht="17.25" x14ac:dyDescent="0.3">
      <c r="B22" s="6" t="s">
        <v>27</v>
      </c>
      <c r="C22" s="6" t="s">
        <v>20</v>
      </c>
      <c r="D22" s="2"/>
    </row>
    <row r="23" spans="2:5" ht="17.25" x14ac:dyDescent="0.3">
      <c r="B23" s="6" t="s">
        <v>27</v>
      </c>
      <c r="C23" s="6" t="s">
        <v>71</v>
      </c>
      <c r="D23" s="2"/>
    </row>
    <row r="24" spans="2:5" ht="17.25" x14ac:dyDescent="0.3">
      <c r="B24" s="6" t="s">
        <v>27</v>
      </c>
      <c r="C24" s="6" t="s">
        <v>59</v>
      </c>
      <c r="D24" s="2"/>
    </row>
    <row r="25" spans="2:5" ht="17.25" x14ac:dyDescent="0.3">
      <c r="B25" s="6" t="s">
        <v>27</v>
      </c>
      <c r="C25" s="6" t="s">
        <v>31</v>
      </c>
      <c r="D25" s="2"/>
    </row>
    <row r="26" spans="2:5" ht="17.25" x14ac:dyDescent="0.3">
      <c r="B26" s="6" t="s">
        <v>27</v>
      </c>
      <c r="C26" s="6" t="s">
        <v>47</v>
      </c>
      <c r="D26" s="2"/>
    </row>
    <row r="27" spans="2:5" ht="17.25" x14ac:dyDescent="0.3">
      <c r="B27" s="6" t="s">
        <v>27</v>
      </c>
      <c r="C27" s="6" t="s">
        <v>46</v>
      </c>
      <c r="D27" s="2"/>
    </row>
    <row r="28" spans="2:5" ht="17.25" x14ac:dyDescent="0.3">
      <c r="B28" s="6" t="s">
        <v>27</v>
      </c>
      <c r="C28" s="6" t="s">
        <v>53</v>
      </c>
      <c r="D28" s="2"/>
    </row>
    <row r="29" spans="2:5" ht="17.25" x14ac:dyDescent="0.3">
      <c r="B29" s="6" t="s">
        <v>27</v>
      </c>
      <c r="C29" s="39" t="s">
        <v>114</v>
      </c>
      <c r="D29" s="45"/>
    </row>
    <row r="30" spans="2:5" ht="17.25" x14ac:dyDescent="0.3">
      <c r="B30" s="6" t="s">
        <v>27</v>
      </c>
      <c r="C30" s="39" t="s">
        <v>33</v>
      </c>
      <c r="D30" s="45"/>
    </row>
    <row r="31" spans="2:5" ht="17.25" x14ac:dyDescent="0.3">
      <c r="B31" s="6" t="s">
        <v>27</v>
      </c>
      <c r="C31" s="39" t="s">
        <v>49</v>
      </c>
      <c r="D31" s="45"/>
      <c r="E31" s="46"/>
    </row>
    <row r="32" spans="2:5" ht="17.25" x14ac:dyDescent="0.3">
      <c r="B32" s="21" t="s">
        <v>30</v>
      </c>
      <c r="C32" s="21" t="s">
        <v>54</v>
      </c>
      <c r="D32" s="21"/>
    </row>
    <row r="33" spans="2:5" ht="17.25" x14ac:dyDescent="0.3">
      <c r="B33" s="39" t="s">
        <v>30</v>
      </c>
      <c r="C33" s="39" t="s">
        <v>89</v>
      </c>
      <c r="D33" s="39"/>
      <c r="E33" t="s">
        <v>119</v>
      </c>
    </row>
    <row r="34" spans="2:5" ht="17.25" x14ac:dyDescent="0.3">
      <c r="B34" s="39" t="s">
        <v>30</v>
      </c>
      <c r="C34" s="39" t="s">
        <v>88</v>
      </c>
      <c r="D34" s="39"/>
    </row>
    <row r="35" spans="2:5" ht="17.25" x14ac:dyDescent="0.3">
      <c r="B35" s="39" t="s">
        <v>30</v>
      </c>
      <c r="C35" s="6" t="s">
        <v>75</v>
      </c>
      <c r="D35" s="6"/>
    </row>
    <row r="36" spans="2:5" ht="17.25" x14ac:dyDescent="0.3">
      <c r="B36" s="39" t="s">
        <v>30</v>
      </c>
      <c r="C36" s="6" t="s">
        <v>107</v>
      </c>
      <c r="D36" s="6"/>
    </row>
    <row r="37" spans="2:5" ht="17.25" x14ac:dyDescent="0.3">
      <c r="B37" s="39" t="s">
        <v>30</v>
      </c>
      <c r="C37" s="39" t="s">
        <v>108</v>
      </c>
      <c r="D37" s="39"/>
    </row>
    <row r="38" spans="2:5" ht="17.25" x14ac:dyDescent="0.3">
      <c r="B38" s="39" t="s">
        <v>30</v>
      </c>
      <c r="C38" s="39" t="s">
        <v>109</v>
      </c>
      <c r="D38" s="39"/>
    </row>
    <row r="39" spans="2:5" ht="17.25" x14ac:dyDescent="0.3">
      <c r="B39" s="6" t="s">
        <v>30</v>
      </c>
      <c r="C39" s="6" t="s">
        <v>110</v>
      </c>
      <c r="D39" s="22"/>
      <c r="E39" s="46"/>
    </row>
    <row r="40" spans="2:5" ht="17.25" x14ac:dyDescent="0.3">
      <c r="B40" s="21" t="s">
        <v>37</v>
      </c>
      <c r="C40" s="21" t="s">
        <v>36</v>
      </c>
      <c r="D40" s="21" t="s">
        <v>81</v>
      </c>
    </row>
    <row r="41" spans="2:5" ht="17.25" x14ac:dyDescent="0.3">
      <c r="B41" s="6" t="s">
        <v>37</v>
      </c>
      <c r="C41" s="6" t="s">
        <v>76</v>
      </c>
      <c r="D41" s="6" t="s">
        <v>83</v>
      </c>
    </row>
    <row r="42" spans="2:5" ht="17.25" x14ac:dyDescent="0.3">
      <c r="B42" s="39" t="s">
        <v>37</v>
      </c>
      <c r="C42" s="39" t="s">
        <v>97</v>
      </c>
      <c r="D42" s="39" t="s">
        <v>99</v>
      </c>
    </row>
    <row r="43" spans="2:5" ht="17.25" x14ac:dyDescent="0.3">
      <c r="B43" s="39" t="s">
        <v>37</v>
      </c>
      <c r="C43" s="39" t="s">
        <v>98</v>
      </c>
      <c r="D43" s="39" t="s">
        <v>100</v>
      </c>
    </row>
    <row r="44" spans="2:5" ht="17.25" x14ac:dyDescent="0.3">
      <c r="B44" s="22" t="s">
        <v>37</v>
      </c>
      <c r="C44" s="22" t="s">
        <v>91</v>
      </c>
      <c r="D44" s="22"/>
      <c r="E44" s="46"/>
    </row>
    <row r="45" spans="2:5" ht="17.25" x14ac:dyDescent="0.3">
      <c r="B45" s="6" t="s">
        <v>29</v>
      </c>
      <c r="C45" s="6" t="s">
        <v>23</v>
      </c>
      <c r="D45" s="21"/>
    </row>
    <row r="46" spans="2:5" ht="17.25" x14ac:dyDescent="0.3">
      <c r="B46" s="39" t="s">
        <v>29</v>
      </c>
      <c r="C46" s="39" t="s">
        <v>55</v>
      </c>
      <c r="D46" s="39"/>
    </row>
    <row r="47" spans="2:5" ht="17.25" x14ac:dyDescent="0.3">
      <c r="B47" s="6" t="s">
        <v>29</v>
      </c>
      <c r="C47" s="6" t="s">
        <v>32</v>
      </c>
      <c r="D47" s="6"/>
    </row>
    <row r="48" spans="2:5" ht="17.25" x14ac:dyDescent="0.3">
      <c r="B48" s="6" t="s">
        <v>29</v>
      </c>
      <c r="C48" s="6" t="s">
        <v>56</v>
      </c>
      <c r="D48" s="6"/>
    </row>
    <row r="49" spans="2:5" ht="17.25" x14ac:dyDescent="0.3">
      <c r="B49" s="6" t="s">
        <v>29</v>
      </c>
      <c r="C49" s="6" t="s">
        <v>57</v>
      </c>
      <c r="D49" s="6"/>
      <c r="E49" t="s">
        <v>118</v>
      </c>
    </row>
    <row r="50" spans="2:5" ht="17.25" x14ac:dyDescent="0.3">
      <c r="B50" s="6" t="s">
        <v>29</v>
      </c>
      <c r="C50" s="6" t="s">
        <v>112</v>
      </c>
      <c r="D50" s="6"/>
    </row>
    <row r="51" spans="2:5" ht="17.25" x14ac:dyDescent="0.3">
      <c r="B51" s="6" t="s">
        <v>29</v>
      </c>
      <c r="C51" s="39" t="s">
        <v>111</v>
      </c>
      <c r="D51" s="39"/>
    </row>
    <row r="52" spans="2:5" ht="17.25" x14ac:dyDescent="0.3">
      <c r="B52" s="6" t="s">
        <v>29</v>
      </c>
      <c r="C52" s="39" t="s">
        <v>101</v>
      </c>
      <c r="D52" s="39"/>
      <c r="E52" t="s">
        <v>120</v>
      </c>
    </row>
    <row r="53" spans="2:5" ht="17.25" x14ac:dyDescent="0.3">
      <c r="B53" s="6" t="s">
        <v>29</v>
      </c>
      <c r="C53" s="39" t="s">
        <v>95</v>
      </c>
      <c r="D53" s="39"/>
    </row>
    <row r="54" spans="2:5" ht="17.25" x14ac:dyDescent="0.3">
      <c r="B54" s="6" t="s">
        <v>29</v>
      </c>
      <c r="C54" s="39" t="s">
        <v>64</v>
      </c>
      <c r="D54" s="39"/>
      <c r="E54" s="46"/>
    </row>
    <row r="55" spans="2:5" ht="17.25" x14ac:dyDescent="0.3">
      <c r="B55" s="20" t="s">
        <v>34</v>
      </c>
      <c r="C55" s="20" t="s">
        <v>66</v>
      </c>
      <c r="D55" s="20"/>
      <c r="E55" s="47"/>
    </row>
    <row r="56" spans="2:5" ht="17.25" x14ac:dyDescent="0.3">
      <c r="B56" s="6" t="s">
        <v>28</v>
      </c>
      <c r="C56" s="6" t="s">
        <v>39</v>
      </c>
      <c r="D56" s="21"/>
    </row>
    <row r="57" spans="2:5" ht="17.25" x14ac:dyDescent="0.3">
      <c r="B57" s="6" t="s">
        <v>28</v>
      </c>
      <c r="C57" s="6" t="s">
        <v>41</v>
      </c>
      <c r="D57" s="6"/>
    </row>
    <row r="58" spans="2:5" ht="17.25" x14ac:dyDescent="0.3">
      <c r="B58" s="6" t="s">
        <v>28</v>
      </c>
      <c r="C58" s="6" t="s">
        <v>40</v>
      </c>
      <c r="D58" s="6"/>
    </row>
    <row r="59" spans="2:5" ht="17.25" x14ac:dyDescent="0.3">
      <c r="B59" s="6" t="s">
        <v>28</v>
      </c>
      <c r="C59" s="6" t="s">
        <v>92</v>
      </c>
      <c r="D59" s="6"/>
    </row>
    <row r="60" spans="2:5" ht="17.25" x14ac:dyDescent="0.3">
      <c r="B60" s="6" t="s">
        <v>28</v>
      </c>
      <c r="C60" s="19" t="s">
        <v>35</v>
      </c>
      <c r="D60" s="22"/>
      <c r="E60" s="46"/>
    </row>
    <row r="61" spans="2:5" ht="17.25" x14ac:dyDescent="0.3">
      <c r="B61" s="21" t="s">
        <v>73</v>
      </c>
      <c r="C61" s="21" t="s">
        <v>102</v>
      </c>
      <c r="D61" s="21"/>
    </row>
    <row r="62" spans="2:5" ht="17.25" x14ac:dyDescent="0.3">
      <c r="B62" s="6" t="s">
        <v>73</v>
      </c>
      <c r="C62" s="6" t="s">
        <v>123</v>
      </c>
      <c r="D62" s="6"/>
    </row>
    <row r="63" spans="2:5" ht="17.25" x14ac:dyDescent="0.3">
      <c r="B63" s="6" t="s">
        <v>73</v>
      </c>
      <c r="C63" s="6" t="s">
        <v>94</v>
      </c>
      <c r="D63" s="6"/>
    </row>
    <row r="64" spans="2:5" ht="17.25" x14ac:dyDescent="0.3">
      <c r="B64" s="6" t="s">
        <v>73</v>
      </c>
      <c r="C64" s="6" t="s">
        <v>103</v>
      </c>
      <c r="D64" s="6"/>
    </row>
    <row r="65" spans="2:5" ht="17.25" x14ac:dyDescent="0.3">
      <c r="B65" s="6" t="s">
        <v>73</v>
      </c>
      <c r="C65" s="6" t="s">
        <v>93</v>
      </c>
      <c r="D65" s="6"/>
    </row>
    <row r="66" spans="2:5" ht="17.25" x14ac:dyDescent="0.3">
      <c r="B66" s="6" t="s">
        <v>73</v>
      </c>
      <c r="C66" s="6" t="s">
        <v>75</v>
      </c>
      <c r="D66" s="6"/>
    </row>
    <row r="67" spans="2:5" ht="17.25" x14ac:dyDescent="0.3">
      <c r="B67" s="6" t="s">
        <v>73</v>
      </c>
      <c r="C67" s="39" t="s">
        <v>124</v>
      </c>
      <c r="D67" s="39"/>
    </row>
    <row r="68" spans="2:5" ht="17.25" x14ac:dyDescent="0.3">
      <c r="B68" s="6" t="s">
        <v>73</v>
      </c>
      <c r="C68" s="39" t="s">
        <v>104</v>
      </c>
      <c r="D68" s="39"/>
    </row>
    <row r="69" spans="2:5" ht="17.25" x14ac:dyDescent="0.3">
      <c r="B69" s="6" t="s">
        <v>73</v>
      </c>
      <c r="C69" s="39" t="s">
        <v>125</v>
      </c>
      <c r="D69" s="39"/>
    </row>
    <row r="70" spans="2:5" ht="17.25" x14ac:dyDescent="0.3">
      <c r="B70" s="6" t="s">
        <v>73</v>
      </c>
      <c r="C70" s="39" t="s">
        <v>126</v>
      </c>
      <c r="D70" s="39"/>
    </row>
    <row r="71" spans="2:5" ht="17.25" x14ac:dyDescent="0.3">
      <c r="B71" s="6" t="s">
        <v>73</v>
      </c>
      <c r="C71" s="39" t="s">
        <v>105</v>
      </c>
      <c r="D71" s="39"/>
    </row>
    <row r="72" spans="2:5" ht="17.25" x14ac:dyDescent="0.3">
      <c r="B72" s="22" t="s">
        <v>73</v>
      </c>
      <c r="C72" s="22" t="s">
        <v>106</v>
      </c>
      <c r="D72" s="22"/>
      <c r="E72" s="46"/>
    </row>
    <row r="73" spans="2:5" ht="17.25" x14ac:dyDescent="0.3">
      <c r="B73" s="39" t="s">
        <v>84</v>
      </c>
      <c r="C73" s="39" t="s">
        <v>86</v>
      </c>
      <c r="D73" s="39"/>
    </row>
    <row r="74" spans="2:5" ht="17.25" x14ac:dyDescent="0.3">
      <c r="B74" s="39" t="s">
        <v>84</v>
      </c>
      <c r="C74" s="39" t="s">
        <v>90</v>
      </c>
      <c r="D74" s="39"/>
    </row>
    <row r="75" spans="2:5" ht="17.25" x14ac:dyDescent="0.3">
      <c r="B75" s="39" t="s">
        <v>84</v>
      </c>
      <c r="C75" s="39" t="s">
        <v>85</v>
      </c>
      <c r="D75" s="39"/>
    </row>
    <row r="76" spans="2:5" ht="17.25" x14ac:dyDescent="0.3">
      <c r="B76" s="39" t="s">
        <v>84</v>
      </c>
      <c r="C76" s="39" t="s">
        <v>87</v>
      </c>
      <c r="D76" s="39"/>
      <c r="E76" s="44"/>
    </row>
  </sheetData>
  <conditionalFormatting sqref="B6:B76">
    <cfRule type="cellIs" dxfId="42" priority="1" operator="equal">
      <formula>"Tax"</formula>
    </cfRule>
    <cfRule type="cellIs" dxfId="41" priority="8233" operator="equal">
      <formula>"Income"</formula>
    </cfRule>
    <cfRule type="cellIs" dxfId="40" priority="8234" operator="equal">
      <formula>"Cost of Sales"</formula>
    </cfRule>
    <cfRule type="cellIs" dxfId="39" priority="8235" operator="equal">
      <formula>"Payroll"</formula>
    </cfRule>
    <cfRule type="cellIs" dxfId="38" priority="8236" operator="equal">
      <formula>"Investment"</formula>
    </cfRule>
    <cfRule type="cellIs" dxfId="37" priority="8237" operator="equal">
      <formula>"Sunk"</formula>
    </cfRule>
    <cfRule type="cellIs" dxfId="36" priority="8238" operator="equal">
      <formula>"OpEx"</formula>
    </cfRule>
    <cfRule type="cellIs" dxfId="35" priority="8239" operator="equal">
      <formula>"CapEx"</formula>
    </cfRule>
    <cfRule type="dataBar" priority="8240">
      <dataBar>
        <cfvo type="min"/>
        <cfvo type="max"/>
        <color rgb="FF638EC6"/>
      </dataBar>
    </cfRule>
    <cfRule type="colorScale" priority="8241">
      <colorScale>
        <cfvo type="min"/>
        <cfvo type="percentile" val="50"/>
        <cfvo type="max"/>
        <color rgb="FFF8696B"/>
        <color rgb="FFFFEB84"/>
        <color rgb="FF63BE7B"/>
      </colorScale>
    </cfRule>
  </conditionalFormatting>
  <conditionalFormatting sqref="B73:B76">
    <cfRule type="cellIs" dxfId="34" priority="2" operator="equal">
      <formula>"Income"</formula>
    </cfRule>
    <cfRule type="cellIs" dxfId="33" priority="3" operator="equal">
      <formula>"Cost of Sales"</formula>
    </cfRule>
    <cfRule type="cellIs" dxfId="32" priority="4" operator="equal">
      <formula>"Payroll"</formula>
    </cfRule>
    <cfRule type="cellIs" dxfId="31" priority="5" operator="equal">
      <formula>"Investment"</formula>
    </cfRule>
    <cfRule type="cellIs" dxfId="30" priority="6" operator="equal">
      <formula>"Sunk"</formula>
    </cfRule>
    <cfRule type="cellIs" dxfId="29" priority="7" operator="equal">
      <formula>"OpEx"</formula>
    </cfRule>
    <cfRule type="cellIs" dxfId="28" priority="8" operator="equal">
      <formula>"CapEx"</formula>
    </cfRule>
    <cfRule type="dataBar" priority="9">
      <dataBar>
        <cfvo type="min"/>
        <cfvo type="max"/>
        <color rgb="FF638EC6"/>
      </dataBar>
    </cfRule>
    <cfRule type="colorScale" priority="10">
      <colorScale>
        <cfvo type="min"/>
        <cfvo type="percentile" val="50"/>
        <cfvo type="max"/>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Investment Report</vt:lpstr>
      <vt:lpstr>Dashboard</vt:lpstr>
      <vt:lpstr>plugo</vt:lpstr>
      <vt:lpstr>Jan</vt:lpstr>
      <vt:lpstr>Feb</vt:lpstr>
      <vt:lpstr>Mar</vt:lpstr>
      <vt:lpstr>Apr</vt:lpstr>
      <vt:lpstr>May</vt:lpstr>
      <vt:lpstr>Jun</vt:lpstr>
      <vt:lpstr>Jul</vt:lpstr>
      <vt:lpstr>Aug</vt:lpstr>
      <vt:lpstr>Sep</vt:lpstr>
      <vt:lpstr>Oct</vt:lpstr>
      <vt:lpstr>Nov</vt:lpstr>
      <vt:lpstr>Dec</vt:lpstr>
      <vt:lpstr>Income Pivot</vt:lpstr>
      <vt:lpstr>Payroll Pivot</vt:lpstr>
      <vt:lpstr>Expenses Pivot</vt:lpstr>
      <vt:lpstr>OpEx Pivot</vt:lpstr>
      <vt:lpstr>CoS Pivot</vt:lpstr>
      <vt:lpstr>Tax Pivot</vt:lpstr>
      <vt:lpstr>Ads Pivot</vt:lpstr>
      <vt:lpstr>Hosting Pivot</vt:lpstr>
      <vt:lpstr>Customers Count Pivot</vt:lpstr>
      <vt:lpstr>VAT Pivot</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Fadi Adib</dc:creator>
  <cp:lastModifiedBy>Mariam Kamal</cp:lastModifiedBy>
  <cp:lastPrinted>2025-02-27T09:28:17Z</cp:lastPrinted>
  <dcterms:created xsi:type="dcterms:W3CDTF">2014-11-16T17:48:27Z</dcterms:created>
  <dcterms:modified xsi:type="dcterms:W3CDTF">2025-12-29T12:03:05Z</dcterms:modified>
</cp:coreProperties>
</file>