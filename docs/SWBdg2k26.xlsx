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amerKamel/Library/CloudStorage/Dropbox/Aura-Finance/Aura2k26/01 AuraBdg2k26/"/>
    </mc:Choice>
  </mc:AlternateContent>
  <xr:revisionPtr revIDLastSave="0" documentId="13_ncr:1_{CD9ED76B-3F35-9D45-A154-6FD52D8014B5}" xr6:coauthVersionLast="47" xr6:coauthVersionMax="47" xr10:uidLastSave="{00000000-0000-0000-0000-000000000000}"/>
  <bookViews>
    <workbookView xWindow="0" yWindow="680" windowWidth="30240" windowHeight="17880" activeTab="5" xr2:uid="{2211782D-C234-014C-A9EC-67E618833432}"/>
  </bookViews>
  <sheets>
    <sheet name="Growth" sheetId="2" r:id="rId1"/>
    <sheet name="Activity" sheetId="1" state="hidden" r:id="rId2"/>
    <sheet name="Allocation" sheetId="3" state="hidden" r:id="rId3"/>
    <sheet name="Capacity" sheetId="8" r:id="rId4"/>
    <sheet name="Collection" sheetId="6" r:id="rId5"/>
    <sheet name="Result" sheetId="4" r:id="rId6"/>
    <sheet name="Personnel" sheetId="7" r:id="rId7"/>
    <sheet name="OpEx" sheetId="9" r:id="rId8"/>
    <sheet name="Taxes" sheetId="11" r:id="rId9"/>
    <sheet name="P&amp;L" sheetId="5" r:id="rId10"/>
    <sheet name="CapEx" sheetId="10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4" i="6" l="1"/>
  <c r="G16" i="2"/>
  <c r="H16" i="2"/>
  <c r="I16" i="2"/>
  <c r="J16" i="2"/>
  <c r="K16" i="2"/>
  <c r="L16" i="2"/>
  <c r="D10" i="5"/>
  <c r="F19" i="5"/>
  <c r="C23" i="11"/>
  <c r="C21" i="11"/>
  <c r="F28" i="5" l="1"/>
  <c r="F27" i="5"/>
  <c r="F22" i="5"/>
  <c r="F26" i="5"/>
  <c r="E53" i="7"/>
  <c r="E49" i="7"/>
  <c r="E47" i="7"/>
  <c r="E55" i="7" s="1"/>
  <c r="E46" i="7"/>
  <c r="E41" i="7"/>
  <c r="E40" i="7"/>
  <c r="E27" i="7"/>
  <c r="E26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U15" i="4"/>
  <c r="V7" i="4"/>
  <c r="V8" i="4"/>
  <c r="V9" i="4"/>
  <c r="V10" i="4"/>
  <c r="V11" i="4"/>
  <c r="V12" i="4"/>
  <c r="V13" i="4"/>
  <c r="V14" i="4"/>
  <c r="V15" i="4"/>
  <c r="U7" i="4"/>
  <c r="U8" i="4"/>
  <c r="U9" i="4"/>
  <c r="U10" i="4"/>
  <c r="U12" i="4"/>
  <c r="U13" i="4"/>
  <c r="U14" i="4"/>
  <c r="V14" i="2"/>
  <c r="T14" i="4"/>
  <c r="T13" i="4"/>
  <c r="T12" i="4"/>
  <c r="T10" i="4"/>
  <c r="T9" i="4"/>
  <c r="T8" i="4"/>
  <c r="S14" i="4"/>
  <c r="S13" i="4"/>
  <c r="S12" i="4"/>
  <c r="S10" i="4"/>
  <c r="S9" i="4"/>
  <c r="S8" i="4"/>
  <c r="S7" i="4"/>
  <c r="C13" i="8"/>
  <c r="C12" i="8"/>
  <c r="C11" i="8"/>
  <c r="F134" i="6"/>
  <c r="F122" i="6"/>
  <c r="F110" i="6"/>
  <c r="Q110" i="6"/>
  <c r="P110" i="6"/>
  <c r="O110" i="6"/>
  <c r="N110" i="6"/>
  <c r="M110" i="6"/>
  <c r="L110" i="6"/>
  <c r="K110" i="6"/>
  <c r="J110" i="6"/>
  <c r="I110" i="6"/>
  <c r="H110" i="6"/>
  <c r="G110" i="6"/>
  <c r="F71" i="6"/>
  <c r="F58" i="6"/>
  <c r="F45" i="6"/>
  <c r="D18" i="8"/>
  <c r="M14" i="2"/>
  <c r="L14" i="4" s="1"/>
  <c r="M13" i="2"/>
  <c r="L13" i="4" s="1"/>
  <c r="M12" i="2"/>
  <c r="L12" i="4" s="1"/>
  <c r="T14" i="2"/>
  <c r="E92" i="7"/>
  <c r="F92" i="7"/>
  <c r="G92" i="7"/>
  <c r="H92" i="7"/>
  <c r="I92" i="7"/>
  <c r="J92" i="7"/>
  <c r="K92" i="7"/>
  <c r="L92" i="7"/>
  <c r="M92" i="7"/>
  <c r="N92" i="7"/>
  <c r="D107" i="7"/>
  <c r="D121" i="7" s="1"/>
  <c r="D106" i="7"/>
  <c r="D102" i="7"/>
  <c r="D92" i="7"/>
  <c r="D83" i="7"/>
  <c r="D68" i="7"/>
  <c r="D49" i="7"/>
  <c r="D46" i="7"/>
  <c r="D41" i="7"/>
  <c r="D40" i="7"/>
  <c r="D27" i="7"/>
  <c r="D26" i="7"/>
  <c r="C14" i="4"/>
  <c r="C13" i="4"/>
  <c r="C12" i="4"/>
  <c r="C11" i="4"/>
  <c r="C10" i="4"/>
  <c r="C9" i="4"/>
  <c r="C8" i="4"/>
  <c r="C7" i="4"/>
  <c r="C20" i="8"/>
  <c r="D141" i="7" l="1"/>
  <c r="F111" i="6"/>
  <c r="D93" i="7"/>
  <c r="D103" i="7"/>
  <c r="D112" i="7"/>
  <c r="D116" i="7"/>
  <c r="D125" i="7"/>
  <c r="D129" i="7"/>
  <c r="D134" i="7"/>
  <c r="D138" i="7"/>
  <c r="D147" i="7"/>
  <c r="D109" i="7"/>
  <c r="D113" i="7"/>
  <c r="D122" i="7"/>
  <c r="D126" i="7"/>
  <c r="D130" i="7"/>
  <c r="D135" i="7"/>
  <c r="D139" i="7"/>
  <c r="D144" i="7"/>
  <c r="D148" i="7"/>
  <c r="D110" i="7"/>
  <c r="D114" i="7"/>
  <c r="D119" i="7"/>
  <c r="D123" i="7"/>
  <c r="D127" i="7"/>
  <c r="D131" i="7"/>
  <c r="D136" i="7"/>
  <c r="D140" i="7"/>
  <c r="D145" i="7"/>
  <c r="D149" i="7"/>
  <c r="D111" i="7"/>
  <c r="D115" i="7"/>
  <c r="D120" i="7"/>
  <c r="D124" i="7"/>
  <c r="D128" i="7"/>
  <c r="D137" i="7"/>
  <c r="D146" i="7"/>
  <c r="D150" i="7"/>
  <c r="M10" i="2" l="1"/>
  <c r="L10" i="4" s="1"/>
  <c r="M9" i="2"/>
  <c r="L9" i="4" s="1"/>
  <c r="D117" i="7"/>
  <c r="D132" i="7"/>
  <c r="D151" i="7"/>
  <c r="D142" i="7"/>
  <c r="D152" i="7" l="1"/>
  <c r="F17" i="7" l="1"/>
  <c r="C10" i="8"/>
  <c r="D7" i="4" s="1"/>
  <c r="H20" i="8"/>
  <c r="I20" i="8"/>
  <c r="I10" i="8"/>
  <c r="H10" i="8"/>
  <c r="F10" i="8"/>
  <c r="E10" i="8"/>
  <c r="F20" i="8"/>
  <c r="D20" i="8"/>
  <c r="E20" i="8"/>
  <c r="D10" i="8"/>
  <c r="E21" i="11"/>
  <c r="C11" i="11" s="1"/>
  <c r="E20" i="11"/>
  <c r="D9" i="5"/>
  <c r="F18" i="5" l="1"/>
  <c r="F13" i="5" l="1"/>
  <c r="B127" i="6" l="1"/>
  <c r="B126" i="6"/>
  <c r="B115" i="6"/>
  <c r="B114" i="6"/>
  <c r="B103" i="6"/>
  <c r="B102" i="6"/>
  <c r="B77" i="6"/>
  <c r="B76" i="6"/>
  <c r="B64" i="6"/>
  <c r="B63" i="6"/>
  <c r="B51" i="6"/>
  <c r="B50" i="6"/>
  <c r="C31" i="6"/>
  <c r="B55" i="6" s="1"/>
  <c r="B31" i="6"/>
  <c r="C30" i="6"/>
  <c r="B30" i="6"/>
  <c r="C29" i="6"/>
  <c r="B29" i="6"/>
  <c r="B28" i="6"/>
  <c r="C28" i="6"/>
  <c r="C27" i="6"/>
  <c r="B27" i="6"/>
  <c r="C26" i="6"/>
  <c r="B68" i="6" s="1"/>
  <c r="B26" i="6"/>
  <c r="B25" i="6"/>
  <c r="W14" i="2" l="1"/>
  <c r="W7" i="2"/>
  <c r="W9" i="2"/>
  <c r="W10" i="2"/>
  <c r="W12" i="2"/>
  <c r="W13" i="2"/>
  <c r="W15" i="2"/>
  <c r="W8" i="2"/>
  <c r="N15" i="2"/>
  <c r="L7" i="2"/>
  <c r="L14" i="2"/>
  <c r="L13" i="2"/>
  <c r="L12" i="2"/>
  <c r="L10" i="2"/>
  <c r="L9" i="2"/>
  <c r="L8" i="2"/>
  <c r="E21" i="8" l="1"/>
  <c r="F11" i="5"/>
  <c r="C17" i="6"/>
  <c r="F21" i="8"/>
  <c r="F12" i="5"/>
  <c r="C15" i="6"/>
  <c r="H21" i="8"/>
  <c r="F14" i="5"/>
  <c r="C13" i="6"/>
  <c r="F16" i="5"/>
  <c r="C14" i="6"/>
  <c r="I21" i="8"/>
  <c r="F15" i="5"/>
  <c r="C16" i="6"/>
  <c r="C41" i="9"/>
  <c r="E22" i="9"/>
  <c r="C22" i="9" s="1"/>
  <c r="E21" i="9"/>
  <c r="C21" i="9" s="1"/>
  <c r="E20" i="9"/>
  <c r="C20" i="9" s="1"/>
  <c r="E19" i="9"/>
  <c r="C19" i="9" s="1"/>
  <c r="E18" i="9"/>
  <c r="C18" i="9" s="1"/>
  <c r="E17" i="9"/>
  <c r="C17" i="9" s="1"/>
  <c r="E16" i="9"/>
  <c r="C16" i="9" s="1"/>
  <c r="E15" i="9"/>
  <c r="C15" i="9" s="1"/>
  <c r="E14" i="9"/>
  <c r="C14" i="9" s="1"/>
  <c r="E13" i="9"/>
  <c r="C13" i="9" s="1"/>
  <c r="E12" i="9"/>
  <c r="C12" i="9" s="1"/>
  <c r="E11" i="9"/>
  <c r="C11" i="9" s="1"/>
  <c r="C10" i="9"/>
  <c r="M8" i="2" l="1"/>
  <c r="L8" i="4" s="1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E23" i="11"/>
  <c r="C92" i="7" l="1"/>
  <c r="C8" i="11"/>
  <c r="D12" i="8" l="1"/>
  <c r="I23" i="8"/>
  <c r="P14" i="2"/>
  <c r="Q14" i="2"/>
  <c r="R14" i="2"/>
  <c r="I11" i="8" l="1"/>
  <c r="H11" i="8"/>
  <c r="R11" i="2"/>
  <c r="U8" i="2"/>
  <c r="U9" i="2"/>
  <c r="U10" i="2"/>
  <c r="U11" i="2"/>
  <c r="U12" i="2"/>
  <c r="U13" i="2"/>
  <c r="U14" i="2"/>
  <c r="U15" i="2"/>
  <c r="U7" i="2"/>
  <c r="S8" i="2"/>
  <c r="S9" i="2"/>
  <c r="S10" i="2"/>
  <c r="S12" i="2"/>
  <c r="S13" i="2"/>
  <c r="S15" i="2"/>
  <c r="S7" i="2"/>
  <c r="D16" i="5"/>
  <c r="D15" i="5"/>
  <c r="D14" i="5"/>
  <c r="D13" i="5"/>
  <c r="D12" i="5"/>
  <c r="D11" i="5"/>
  <c r="H15" i="4"/>
  <c r="C22" i="11" s="1"/>
  <c r="D37" i="11" s="1"/>
  <c r="Q58" i="6"/>
  <c r="P58" i="6"/>
  <c r="O58" i="6"/>
  <c r="N58" i="6"/>
  <c r="M58" i="6"/>
  <c r="L58" i="6"/>
  <c r="K58" i="6"/>
  <c r="J58" i="6"/>
  <c r="I58" i="6"/>
  <c r="H58" i="6"/>
  <c r="G58" i="6"/>
  <c r="A54" i="6"/>
  <c r="A41" i="6"/>
  <c r="F12" i="8"/>
  <c r="E19" i="8"/>
  <c r="E22" i="8" s="1"/>
  <c r="E27" i="8" s="1"/>
  <c r="I20" i="7"/>
  <c r="I21" i="7"/>
  <c r="I22" i="7"/>
  <c r="G28" i="7"/>
  <c r="F59" i="6" l="1"/>
  <c r="F11" i="8"/>
  <c r="E11" i="8"/>
  <c r="D11" i="8"/>
  <c r="D13" i="8"/>
  <c r="E25" i="8"/>
  <c r="D17" i="5"/>
  <c r="P9" i="4"/>
  <c r="K8" i="2"/>
  <c r="C9" i="5" l="1"/>
  <c r="D27" i="5"/>
  <c r="C10" i="5"/>
  <c r="D18" i="5"/>
  <c r="C11" i="5"/>
  <c r="C12" i="5"/>
  <c r="C13" i="5"/>
  <c r="C14" i="5"/>
  <c r="C15" i="5"/>
  <c r="C16" i="5"/>
  <c r="D19" i="5"/>
  <c r="J17" i="8"/>
  <c r="E12" i="8"/>
  <c r="E13" i="8" s="1"/>
  <c r="H12" i="8"/>
  <c r="I12" i="8"/>
  <c r="E24" i="8"/>
  <c r="F18" i="8"/>
  <c r="F19" i="8" s="1"/>
  <c r="H18" i="8"/>
  <c r="H19" i="8" s="1"/>
  <c r="I18" i="8"/>
  <c r="I19" i="8" s="1"/>
  <c r="C17" i="5" l="1"/>
  <c r="B38" i="6"/>
  <c r="C25" i="6"/>
  <c r="B42" i="6" s="1"/>
  <c r="D20" i="5"/>
  <c r="F22" i="8"/>
  <c r="F24" i="8" s="1"/>
  <c r="H22" i="8"/>
  <c r="I25" i="8"/>
  <c r="I22" i="8"/>
  <c r="I24" i="8" s="1"/>
  <c r="C20" i="5" l="1"/>
  <c r="C23" i="5"/>
  <c r="D21" i="8"/>
  <c r="F10" i="5"/>
  <c r="C11" i="6"/>
  <c r="B37" i="6"/>
  <c r="H24" i="8"/>
  <c r="H27" i="8"/>
  <c r="F25" i="8"/>
  <c r="H25" i="8"/>
  <c r="K12" i="2"/>
  <c r="B100" i="7"/>
  <c r="G26" i="7"/>
  <c r="Q7" i="4"/>
  <c r="R7" i="4"/>
  <c r="Q8" i="4"/>
  <c r="R8" i="4"/>
  <c r="Q9" i="4"/>
  <c r="R9" i="4"/>
  <c r="Q10" i="4"/>
  <c r="R10" i="4"/>
  <c r="Q12" i="4"/>
  <c r="R12" i="4"/>
  <c r="Q13" i="4"/>
  <c r="R13" i="4"/>
  <c r="Q15" i="4"/>
  <c r="Q14" i="4" s="1"/>
  <c r="R15" i="4"/>
  <c r="P15" i="4"/>
  <c r="P14" i="4" s="1"/>
  <c r="P7" i="4"/>
  <c r="P8" i="4"/>
  <c r="P10" i="4"/>
  <c r="P12" i="4"/>
  <c r="P13" i="4"/>
  <c r="M8" i="4"/>
  <c r="N8" i="4" s="1"/>
  <c r="M9" i="4"/>
  <c r="M10" i="4"/>
  <c r="M11" i="4"/>
  <c r="M13" i="4"/>
  <c r="M14" i="4"/>
  <c r="J21" i="8" l="1"/>
  <c r="K21" i="8" s="1"/>
  <c r="D19" i="8"/>
  <c r="R14" i="4"/>
  <c r="N13" i="4"/>
  <c r="N10" i="4"/>
  <c r="F49" i="7"/>
  <c r="I49" i="7"/>
  <c r="M12" i="4"/>
  <c r="E37" i="11"/>
  <c r="F37" i="11"/>
  <c r="G37" i="11"/>
  <c r="H37" i="11"/>
  <c r="I37" i="11"/>
  <c r="J37" i="11"/>
  <c r="K37" i="11"/>
  <c r="L37" i="11"/>
  <c r="M37" i="11"/>
  <c r="N37" i="11"/>
  <c r="C37" i="11"/>
  <c r="J10" i="2"/>
  <c r="P11" i="2"/>
  <c r="P11" i="4" s="1"/>
  <c r="Q11" i="2"/>
  <c r="Q11" i="4" s="1"/>
  <c r="N9" i="4"/>
  <c r="C145" i="7"/>
  <c r="C146" i="7"/>
  <c r="C147" i="7"/>
  <c r="C148" i="7"/>
  <c r="C149" i="7"/>
  <c r="C150" i="7"/>
  <c r="F13" i="8"/>
  <c r="H13" i="8"/>
  <c r="I13" i="8"/>
  <c r="B131" i="6"/>
  <c r="Q134" i="6"/>
  <c r="P134" i="6"/>
  <c r="O134" i="6"/>
  <c r="N134" i="6"/>
  <c r="M134" i="6"/>
  <c r="L134" i="6"/>
  <c r="K134" i="6"/>
  <c r="J134" i="6"/>
  <c r="I134" i="6"/>
  <c r="H134" i="6"/>
  <c r="G134" i="6"/>
  <c r="D31" i="6"/>
  <c r="B52" i="6" s="1"/>
  <c r="D30" i="6"/>
  <c r="B128" i="6" s="1"/>
  <c r="C32" i="6"/>
  <c r="B32" i="6"/>
  <c r="A31" i="6"/>
  <c r="A30" i="6"/>
  <c r="D18" i="1"/>
  <c r="C18" i="1"/>
  <c r="D17" i="1"/>
  <c r="C17" i="1"/>
  <c r="D15" i="1"/>
  <c r="D14" i="1"/>
  <c r="D13" i="1"/>
  <c r="D12" i="1"/>
  <c r="B56" i="6" l="1"/>
  <c r="B57" i="6" s="1"/>
  <c r="B58" i="6" s="1"/>
  <c r="B17" i="6" s="1"/>
  <c r="D25" i="8"/>
  <c r="D22" i="8"/>
  <c r="D27" i="8" s="1"/>
  <c r="E18" i="1"/>
  <c r="E17" i="1"/>
  <c r="R11" i="4"/>
  <c r="S11" i="2"/>
  <c r="N14" i="4"/>
  <c r="S14" i="2"/>
  <c r="N11" i="4"/>
  <c r="N12" i="4"/>
  <c r="F135" i="6"/>
  <c r="B132" i="6" s="1"/>
  <c r="B133" i="6" s="1"/>
  <c r="B134" i="6" s="1"/>
  <c r="B16" i="6" s="1"/>
  <c r="D32" i="6"/>
  <c r="D17" i="6" l="1"/>
  <c r="E9" i="4"/>
  <c r="F9" i="4" s="1"/>
  <c r="D24" i="8"/>
  <c r="E13" i="4"/>
  <c r="F13" i="4" s="1"/>
  <c r="D16" i="6"/>
  <c r="B145" i="7" l="1"/>
  <c r="B146" i="7"/>
  <c r="B147" i="7"/>
  <c r="B148" i="7"/>
  <c r="B149" i="7"/>
  <c r="B150" i="7"/>
  <c r="B144" i="7"/>
  <c r="N102" i="7"/>
  <c r="M102" i="7"/>
  <c r="L102" i="7"/>
  <c r="K102" i="7"/>
  <c r="J102" i="7"/>
  <c r="I102" i="7"/>
  <c r="H102" i="7"/>
  <c r="G102" i="7"/>
  <c r="F102" i="7"/>
  <c r="E102" i="7"/>
  <c r="C102" i="7"/>
  <c r="L48" i="7"/>
  <c r="L50" i="7"/>
  <c r="L51" i="7"/>
  <c r="L52" i="7"/>
  <c r="L53" i="7"/>
  <c r="L54" i="7"/>
  <c r="L55" i="7"/>
  <c r="F51" i="7"/>
  <c r="G51" i="7"/>
  <c r="I51" i="7"/>
  <c r="F52" i="7"/>
  <c r="G52" i="7"/>
  <c r="I52" i="7"/>
  <c r="F53" i="7"/>
  <c r="G53" i="7"/>
  <c r="I53" i="7"/>
  <c r="F54" i="7"/>
  <c r="G54" i="7"/>
  <c r="I54" i="7"/>
  <c r="F55" i="7"/>
  <c r="G55" i="7"/>
  <c r="I55" i="7"/>
  <c r="I50" i="7"/>
  <c r="G50" i="7"/>
  <c r="F50" i="7"/>
  <c r="F42" i="7"/>
  <c r="I42" i="7"/>
  <c r="I44" i="7"/>
  <c r="I36" i="7"/>
  <c r="L15" i="2"/>
  <c r="C139" i="1"/>
  <c r="C121" i="1"/>
  <c r="C12" i="11"/>
  <c r="D26" i="11"/>
  <c r="D33" i="11" s="1"/>
  <c r="E26" i="11"/>
  <c r="E33" i="11" s="1"/>
  <c r="F26" i="11"/>
  <c r="F33" i="11" s="1"/>
  <c r="G26" i="11"/>
  <c r="G33" i="11" s="1"/>
  <c r="H26" i="11"/>
  <c r="H33" i="11" s="1"/>
  <c r="I26" i="11"/>
  <c r="I33" i="11" s="1"/>
  <c r="J26" i="11"/>
  <c r="J33" i="11" s="1"/>
  <c r="K26" i="11"/>
  <c r="K33" i="11" s="1"/>
  <c r="L26" i="11"/>
  <c r="L33" i="11" s="1"/>
  <c r="M26" i="11"/>
  <c r="M33" i="11" s="1"/>
  <c r="N26" i="11"/>
  <c r="N33" i="11" s="1"/>
  <c r="C26" i="11"/>
  <c r="C33" i="11" s="1"/>
  <c r="D41" i="9"/>
  <c r="E41" i="9"/>
  <c r="F41" i="9"/>
  <c r="G41" i="9"/>
  <c r="H41" i="9"/>
  <c r="I41" i="9"/>
  <c r="J41" i="9"/>
  <c r="K41" i="9"/>
  <c r="L41" i="9"/>
  <c r="M41" i="9"/>
  <c r="N41" i="9"/>
  <c r="I9" i="4"/>
  <c r="J9" i="4" s="1"/>
  <c r="I10" i="4"/>
  <c r="J10" i="4" s="1"/>
  <c r="I11" i="4"/>
  <c r="I12" i="4"/>
  <c r="J12" i="4" s="1"/>
  <c r="I13" i="4"/>
  <c r="J13" i="4" s="1"/>
  <c r="I14" i="4"/>
  <c r="J14" i="4" s="1"/>
  <c r="D9" i="4"/>
  <c r="G9" i="4" s="1"/>
  <c r="D12" i="4"/>
  <c r="D8" i="4"/>
  <c r="K10" i="2"/>
  <c r="H15" i="2"/>
  <c r="C68" i="1"/>
  <c r="C7" i="2"/>
  <c r="D7" i="2"/>
  <c r="E7" i="2"/>
  <c r="F7" i="2"/>
  <c r="G44" i="7"/>
  <c r="G38" i="7"/>
  <c r="L18" i="7"/>
  <c r="L19" i="7"/>
  <c r="L20" i="7"/>
  <c r="L21" i="7"/>
  <c r="L22" i="7"/>
  <c r="L23" i="7"/>
  <c r="L24" i="7"/>
  <c r="L25" i="7"/>
  <c r="L28" i="7"/>
  <c r="L29" i="7"/>
  <c r="L30" i="7"/>
  <c r="L31" i="7"/>
  <c r="L32" i="7"/>
  <c r="L33" i="7"/>
  <c r="L34" i="7"/>
  <c r="L35" i="7"/>
  <c r="L36" i="7"/>
  <c r="L37" i="7"/>
  <c r="L38" i="7"/>
  <c r="L39" i="7"/>
  <c r="L42" i="7"/>
  <c r="L43" i="7"/>
  <c r="L44" i="7"/>
  <c r="L45" i="7"/>
  <c r="L17" i="7"/>
  <c r="G19" i="7"/>
  <c r="G29" i="7"/>
  <c r="E72" i="10"/>
  <c r="F72" i="10"/>
  <c r="G72" i="10"/>
  <c r="H72" i="10"/>
  <c r="I72" i="10"/>
  <c r="J72" i="10"/>
  <c r="K72" i="10"/>
  <c r="L72" i="10"/>
  <c r="M72" i="10"/>
  <c r="N72" i="10"/>
  <c r="D72" i="10"/>
  <c r="D73" i="10"/>
  <c r="O102" i="7" l="1"/>
  <c r="D10" i="4"/>
  <c r="J11" i="8"/>
  <c r="D16" i="1"/>
  <c r="D11" i="4"/>
  <c r="K15" i="2"/>
  <c r="C156" i="1"/>
  <c r="C152" i="1"/>
  <c r="C161" i="1" s="1"/>
  <c r="C64" i="1"/>
  <c r="C75" i="1" s="1"/>
  <c r="C160" i="1" l="1"/>
  <c r="C46" i="7" l="1"/>
  <c r="I34" i="7"/>
  <c r="I35" i="7"/>
  <c r="C124" i="1"/>
  <c r="C69" i="1"/>
  <c r="C74" i="1"/>
  <c r="C30" i="1"/>
  <c r="C29" i="1"/>
  <c r="C25" i="1"/>
  <c r="C24" i="1"/>
  <c r="J8" i="2"/>
  <c r="C158" i="1" l="1"/>
  <c r="C70" i="1"/>
  <c r="C71" i="1"/>
  <c r="C72" i="1"/>
  <c r="C73" i="1"/>
  <c r="J15" i="2"/>
  <c r="I102" i="1" l="1"/>
  <c r="K102" i="1"/>
  <c r="D102" i="1"/>
  <c r="L102" i="1"/>
  <c r="E102" i="1"/>
  <c r="M102" i="1"/>
  <c r="N102" i="1"/>
  <c r="G102" i="1"/>
  <c r="J102" i="1"/>
  <c r="F102" i="1"/>
  <c r="H102" i="1"/>
  <c r="F101" i="1"/>
  <c r="N101" i="1"/>
  <c r="G101" i="1"/>
  <c r="C101" i="1"/>
  <c r="H101" i="1"/>
  <c r="I101" i="1"/>
  <c r="J101" i="1"/>
  <c r="L101" i="1"/>
  <c r="E101" i="1"/>
  <c r="M101" i="1"/>
  <c r="D101" i="1"/>
  <c r="K101" i="1"/>
  <c r="J100" i="1"/>
  <c r="K100" i="1"/>
  <c r="D100" i="1"/>
  <c r="L100" i="1"/>
  <c r="E100" i="1"/>
  <c r="M100" i="1"/>
  <c r="F100" i="1"/>
  <c r="N100" i="1"/>
  <c r="G100" i="1"/>
  <c r="C100" i="1"/>
  <c r="H100" i="1"/>
  <c r="I100" i="1"/>
  <c r="F99" i="1"/>
  <c r="N99" i="1"/>
  <c r="G99" i="1"/>
  <c r="C99" i="1"/>
  <c r="H99" i="1"/>
  <c r="I99" i="1"/>
  <c r="J99" i="1"/>
  <c r="L99" i="1"/>
  <c r="E99" i="1"/>
  <c r="K99" i="1"/>
  <c r="D99" i="1"/>
  <c r="M99" i="1"/>
  <c r="C111" i="1"/>
  <c r="C27" i="1"/>
  <c r="C26" i="1"/>
  <c r="C28" i="1"/>
  <c r="I10" i="2"/>
  <c r="I8" i="2"/>
  <c r="B127" i="7"/>
  <c r="C127" i="7"/>
  <c r="B78" i="7"/>
  <c r="F34" i="7"/>
  <c r="F36" i="7"/>
  <c r="B80" i="7"/>
  <c r="C129" i="7"/>
  <c r="B129" i="7"/>
  <c r="G36" i="7"/>
  <c r="G20" i="7"/>
  <c r="G21" i="7"/>
  <c r="G22" i="7"/>
  <c r="G32" i="7"/>
  <c r="G43" i="7"/>
  <c r="C109" i="7"/>
  <c r="B140" i="7"/>
  <c r="C139" i="7"/>
  <c r="B139" i="7"/>
  <c r="C138" i="7"/>
  <c r="B138" i="7"/>
  <c r="C137" i="7"/>
  <c r="B137" i="7"/>
  <c r="C136" i="7"/>
  <c r="B136" i="7"/>
  <c r="B133" i="7"/>
  <c r="C131" i="7"/>
  <c r="B131" i="7"/>
  <c r="C130" i="7"/>
  <c r="B130" i="7"/>
  <c r="C128" i="7"/>
  <c r="B128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B120" i="7"/>
  <c r="B119" i="7"/>
  <c r="B118" i="7"/>
  <c r="C116" i="7"/>
  <c r="B116" i="7"/>
  <c r="C115" i="7"/>
  <c r="B115" i="7"/>
  <c r="C114" i="7"/>
  <c r="B114" i="7"/>
  <c r="C113" i="7"/>
  <c r="B113" i="7"/>
  <c r="C112" i="7"/>
  <c r="B112" i="7"/>
  <c r="C111" i="7"/>
  <c r="B111" i="7"/>
  <c r="C110" i="7"/>
  <c r="B110" i="7"/>
  <c r="B109" i="7"/>
  <c r="B108" i="7"/>
  <c r="N106" i="7"/>
  <c r="M106" i="7"/>
  <c r="L106" i="7"/>
  <c r="K106" i="7"/>
  <c r="J106" i="7"/>
  <c r="I106" i="7"/>
  <c r="H106" i="7"/>
  <c r="G106" i="7"/>
  <c r="F106" i="7"/>
  <c r="E106" i="7"/>
  <c r="C106" i="7"/>
  <c r="N93" i="7"/>
  <c r="M93" i="7"/>
  <c r="L93" i="7"/>
  <c r="K93" i="7"/>
  <c r="J93" i="7"/>
  <c r="I93" i="7"/>
  <c r="H93" i="7"/>
  <c r="G93" i="7"/>
  <c r="F93" i="7"/>
  <c r="E93" i="7"/>
  <c r="C93" i="7"/>
  <c r="B91" i="7"/>
  <c r="B90" i="7"/>
  <c r="B89" i="7"/>
  <c r="B88" i="7"/>
  <c r="B87" i="7"/>
  <c r="B84" i="7"/>
  <c r="N83" i="7"/>
  <c r="M83" i="7"/>
  <c r="L83" i="7"/>
  <c r="K83" i="7"/>
  <c r="J83" i="7"/>
  <c r="I83" i="7"/>
  <c r="H83" i="7"/>
  <c r="H103" i="7" s="1"/>
  <c r="G83" i="7"/>
  <c r="F83" i="7"/>
  <c r="E83" i="7"/>
  <c r="C83" i="7"/>
  <c r="B82" i="7"/>
  <c r="B81" i="7"/>
  <c r="B79" i="7"/>
  <c r="B77" i="7"/>
  <c r="B76" i="7"/>
  <c r="B75" i="7"/>
  <c r="B74" i="7"/>
  <c r="B73" i="7"/>
  <c r="B72" i="7"/>
  <c r="B71" i="7"/>
  <c r="B70" i="7"/>
  <c r="B69" i="7"/>
  <c r="N68" i="7"/>
  <c r="M68" i="7"/>
  <c r="L68" i="7"/>
  <c r="K68" i="7"/>
  <c r="J68" i="7"/>
  <c r="I68" i="7"/>
  <c r="H68" i="7"/>
  <c r="G68" i="7"/>
  <c r="F68" i="7"/>
  <c r="E68" i="7"/>
  <c r="C68" i="7"/>
  <c r="B67" i="7"/>
  <c r="B66" i="7"/>
  <c r="B65" i="7"/>
  <c r="B64" i="7"/>
  <c r="B63" i="7"/>
  <c r="B62" i="7"/>
  <c r="B61" i="7"/>
  <c r="B60" i="7"/>
  <c r="B59" i="7"/>
  <c r="L47" i="7"/>
  <c r="B47" i="7"/>
  <c r="B92" i="7" s="1"/>
  <c r="F45" i="7"/>
  <c r="F44" i="7"/>
  <c r="I43" i="7"/>
  <c r="F43" i="7"/>
  <c r="L41" i="7"/>
  <c r="C41" i="7"/>
  <c r="B41" i="7"/>
  <c r="B135" i="7" s="1"/>
  <c r="B40" i="7"/>
  <c r="B134" i="7" s="1"/>
  <c r="I38" i="7"/>
  <c r="F38" i="7"/>
  <c r="I37" i="7"/>
  <c r="F37" i="7"/>
  <c r="F35" i="7"/>
  <c r="I33" i="7"/>
  <c r="F33" i="7"/>
  <c r="I32" i="7"/>
  <c r="F32" i="7"/>
  <c r="I31" i="7"/>
  <c r="F31" i="7"/>
  <c r="I30" i="7"/>
  <c r="F30" i="7"/>
  <c r="I29" i="7"/>
  <c r="F29" i="7"/>
  <c r="I28" i="7"/>
  <c r="F28" i="7"/>
  <c r="C26" i="7"/>
  <c r="C40" i="7" s="1"/>
  <c r="I24" i="7"/>
  <c r="F24" i="7"/>
  <c r="I23" i="7"/>
  <c r="F23" i="7"/>
  <c r="F22" i="7"/>
  <c r="F21" i="7"/>
  <c r="F20" i="7"/>
  <c r="I19" i="7"/>
  <c r="F19" i="7"/>
  <c r="I18" i="7"/>
  <c r="F18" i="7"/>
  <c r="I17" i="7"/>
  <c r="I103" i="7" l="1"/>
  <c r="J103" i="7"/>
  <c r="L27" i="7"/>
  <c r="G27" i="7"/>
  <c r="K103" i="7"/>
  <c r="N103" i="7"/>
  <c r="M103" i="7"/>
  <c r="L103" i="7"/>
  <c r="G103" i="7"/>
  <c r="F103" i="7"/>
  <c r="E103" i="7"/>
  <c r="C103" i="7"/>
  <c r="O93" i="7"/>
  <c r="L26" i="7"/>
  <c r="L40" i="7"/>
  <c r="C134" i="7"/>
  <c r="O83" i="7"/>
  <c r="O68" i="7"/>
  <c r="Q71" i="7"/>
  <c r="F46" i="7"/>
  <c r="L46" i="7"/>
  <c r="I15" i="2"/>
  <c r="C38" i="11"/>
  <c r="B85" i="7"/>
  <c r="C140" i="7"/>
  <c r="I46" i="7"/>
  <c r="B86" i="7"/>
  <c r="C135" i="7"/>
  <c r="F41" i="7"/>
  <c r="I41" i="7"/>
  <c r="E107" i="7"/>
  <c r="C117" i="7"/>
  <c r="F26" i="7"/>
  <c r="C119" i="7"/>
  <c r="F47" i="7"/>
  <c r="B141" i="7"/>
  <c r="F27" i="7"/>
  <c r="F40" i="7"/>
  <c r="C120" i="7"/>
  <c r="C141" i="7"/>
  <c r="I47" i="7"/>
  <c r="I27" i="7"/>
  <c r="I40" i="7"/>
  <c r="I26" i="7"/>
  <c r="E145" i="7" l="1"/>
  <c r="E147" i="7"/>
  <c r="E149" i="7"/>
  <c r="E146" i="7"/>
  <c r="E148" i="7"/>
  <c r="E150" i="7"/>
  <c r="E144" i="7"/>
  <c r="F144" i="7"/>
  <c r="C144" i="7"/>
  <c r="C151" i="7" s="1"/>
  <c r="L49" i="7"/>
  <c r="O103" i="7"/>
  <c r="E127" i="7"/>
  <c r="E140" i="7"/>
  <c r="E129" i="7"/>
  <c r="E126" i="7"/>
  <c r="E113" i="7"/>
  <c r="E128" i="7"/>
  <c r="E125" i="7"/>
  <c r="E112" i="7"/>
  <c r="E137" i="7"/>
  <c r="E121" i="7"/>
  <c r="E114" i="7"/>
  <c r="E139" i="7"/>
  <c r="E124" i="7"/>
  <c r="E111" i="7"/>
  <c r="E109" i="7"/>
  <c r="E130" i="7"/>
  <c r="E122" i="7"/>
  <c r="E115" i="7"/>
  <c r="E138" i="7"/>
  <c r="E131" i="7"/>
  <c r="E123" i="7"/>
  <c r="E116" i="7"/>
  <c r="E110" i="7"/>
  <c r="F107" i="7"/>
  <c r="E136" i="7"/>
  <c r="E135" i="7"/>
  <c r="E134" i="7"/>
  <c r="E119" i="7"/>
  <c r="E120" i="7"/>
  <c r="C142" i="7"/>
  <c r="C132" i="7"/>
  <c r="E141" i="7"/>
  <c r="F145" i="7" l="1"/>
  <c r="F146" i="7"/>
  <c r="F147" i="7"/>
  <c r="F148" i="7"/>
  <c r="F149" i="7"/>
  <c r="F150" i="7"/>
  <c r="C152" i="7"/>
  <c r="E151" i="7"/>
  <c r="F129" i="7"/>
  <c r="F127" i="7"/>
  <c r="E142" i="7"/>
  <c r="E117" i="7"/>
  <c r="F125" i="7"/>
  <c r="F112" i="7"/>
  <c r="F114" i="7"/>
  <c r="F139" i="7"/>
  <c r="F124" i="7"/>
  <c r="F111" i="7"/>
  <c r="F128" i="7"/>
  <c r="F138" i="7"/>
  <c r="F131" i="7"/>
  <c r="F123" i="7"/>
  <c r="F116" i="7"/>
  <c r="F110" i="7"/>
  <c r="G107" i="7"/>
  <c r="F121" i="7"/>
  <c r="F137" i="7"/>
  <c r="F130" i="7"/>
  <c r="F122" i="7"/>
  <c r="F115" i="7"/>
  <c r="F109" i="7"/>
  <c r="F136" i="7"/>
  <c r="F141" i="7"/>
  <c r="F113" i="7"/>
  <c r="F126" i="7"/>
  <c r="F120" i="7"/>
  <c r="F135" i="7"/>
  <c r="F119" i="7"/>
  <c r="F134" i="7"/>
  <c r="F140" i="7"/>
  <c r="E132" i="7"/>
  <c r="G147" i="7" l="1"/>
  <c r="G149" i="7"/>
  <c r="G145" i="7"/>
  <c r="G146" i="7"/>
  <c r="G148" i="7"/>
  <c r="G150" i="7"/>
  <c r="G144" i="7"/>
  <c r="E152" i="7"/>
  <c r="F151" i="7"/>
  <c r="G129" i="7"/>
  <c r="G127" i="7"/>
  <c r="F142" i="7"/>
  <c r="F117" i="7"/>
  <c r="F132" i="7"/>
  <c r="G125" i="7"/>
  <c r="G112" i="7"/>
  <c r="G114" i="7"/>
  <c r="G139" i="7"/>
  <c r="G124" i="7"/>
  <c r="G111" i="7"/>
  <c r="G121" i="7"/>
  <c r="G138" i="7"/>
  <c r="G131" i="7"/>
  <c r="G123" i="7"/>
  <c r="G116" i="7"/>
  <c r="G110" i="7"/>
  <c r="G136" i="7"/>
  <c r="G113" i="7"/>
  <c r="G137" i="7"/>
  <c r="G130" i="7"/>
  <c r="G122" i="7"/>
  <c r="G115" i="7"/>
  <c r="G109" i="7"/>
  <c r="G120" i="7"/>
  <c r="H107" i="7"/>
  <c r="G128" i="7"/>
  <c r="G135" i="7"/>
  <c r="G141" i="7"/>
  <c r="G140" i="7"/>
  <c r="G119" i="7"/>
  <c r="G134" i="7"/>
  <c r="H145" i="7" l="1"/>
  <c r="H147" i="7"/>
  <c r="H149" i="7"/>
  <c r="H146" i="7"/>
  <c r="H148" i="7"/>
  <c r="H150" i="7"/>
  <c r="H144" i="7"/>
  <c r="F152" i="7"/>
  <c r="G151" i="7"/>
  <c r="H129" i="7"/>
  <c r="H127" i="7"/>
  <c r="H126" i="7"/>
  <c r="H120" i="7"/>
  <c r="H139" i="7"/>
  <c r="H124" i="7"/>
  <c r="H111" i="7"/>
  <c r="H113" i="7"/>
  <c r="H134" i="7"/>
  <c r="H138" i="7"/>
  <c r="H131" i="7"/>
  <c r="H123" i="7"/>
  <c r="H116" i="7"/>
  <c r="H110" i="7"/>
  <c r="H137" i="7"/>
  <c r="H130" i="7"/>
  <c r="H122" i="7"/>
  <c r="H115" i="7"/>
  <c r="H109" i="7"/>
  <c r="I107" i="7"/>
  <c r="H136" i="7"/>
  <c r="H128" i="7"/>
  <c r="H121" i="7"/>
  <c r="H114" i="7"/>
  <c r="H140" i="7"/>
  <c r="H112" i="7"/>
  <c r="H125" i="7"/>
  <c r="H119" i="7"/>
  <c r="H135" i="7"/>
  <c r="H141" i="7"/>
  <c r="G117" i="7"/>
  <c r="G142" i="7"/>
  <c r="G132" i="7"/>
  <c r="I146" i="7" l="1"/>
  <c r="I148" i="7"/>
  <c r="I145" i="7"/>
  <c r="I147" i="7"/>
  <c r="I150" i="7"/>
  <c r="I149" i="7"/>
  <c r="I144" i="7"/>
  <c r="G152" i="7"/>
  <c r="H151" i="7"/>
  <c r="I129" i="7"/>
  <c r="I127" i="7"/>
  <c r="H132" i="7"/>
  <c r="H117" i="7"/>
  <c r="H142" i="7"/>
  <c r="I139" i="7"/>
  <c r="I124" i="7"/>
  <c r="I111" i="7"/>
  <c r="I120" i="7"/>
  <c r="I138" i="7"/>
  <c r="I131" i="7"/>
  <c r="I123" i="7"/>
  <c r="I116" i="7"/>
  <c r="I110" i="7"/>
  <c r="I126" i="7"/>
  <c r="I137" i="7"/>
  <c r="I130" i="7"/>
  <c r="I122" i="7"/>
  <c r="I115" i="7"/>
  <c r="I109" i="7"/>
  <c r="I125" i="7"/>
  <c r="J107" i="7"/>
  <c r="I136" i="7"/>
  <c r="I128" i="7"/>
  <c r="I121" i="7"/>
  <c r="I114" i="7"/>
  <c r="I113" i="7"/>
  <c r="I140" i="7"/>
  <c r="I134" i="7"/>
  <c r="I119" i="7"/>
  <c r="I112" i="7"/>
  <c r="I141" i="7"/>
  <c r="I135" i="7"/>
  <c r="J147" i="7" l="1"/>
  <c r="J150" i="7"/>
  <c r="J146" i="7"/>
  <c r="J148" i="7"/>
  <c r="J145" i="7"/>
  <c r="J149" i="7"/>
  <c r="J144" i="7"/>
  <c r="H152" i="7"/>
  <c r="I151" i="7"/>
  <c r="J129" i="7"/>
  <c r="J127" i="7"/>
  <c r="I142" i="7"/>
  <c r="I132" i="7"/>
  <c r="J112" i="7"/>
  <c r="J138" i="7"/>
  <c r="J131" i="7"/>
  <c r="J123" i="7"/>
  <c r="J116" i="7"/>
  <c r="J110" i="7"/>
  <c r="J140" i="7"/>
  <c r="J137" i="7"/>
  <c r="J130" i="7"/>
  <c r="J122" i="7"/>
  <c r="J115" i="7"/>
  <c r="J109" i="7"/>
  <c r="J119" i="7"/>
  <c r="K107" i="7"/>
  <c r="J136" i="7"/>
  <c r="J128" i="7"/>
  <c r="J121" i="7"/>
  <c r="J114" i="7"/>
  <c r="J126" i="7"/>
  <c r="J113" i="7"/>
  <c r="J134" i="7"/>
  <c r="J125" i="7"/>
  <c r="J139" i="7"/>
  <c r="J124" i="7"/>
  <c r="J111" i="7"/>
  <c r="J135" i="7"/>
  <c r="J141" i="7"/>
  <c r="J120" i="7"/>
  <c r="I117" i="7"/>
  <c r="K147" i="7" l="1"/>
  <c r="K150" i="7"/>
  <c r="K146" i="7"/>
  <c r="K149" i="7"/>
  <c r="K145" i="7"/>
  <c r="K148" i="7"/>
  <c r="K144" i="7"/>
  <c r="I152" i="7"/>
  <c r="J151" i="7"/>
  <c r="K129" i="7"/>
  <c r="K127" i="7"/>
  <c r="K138" i="7"/>
  <c r="K131" i="7"/>
  <c r="K123" i="7"/>
  <c r="K116" i="7"/>
  <c r="K110" i="7"/>
  <c r="K134" i="7"/>
  <c r="K125" i="7"/>
  <c r="K111" i="7"/>
  <c r="K137" i="7"/>
  <c r="K130" i="7"/>
  <c r="K122" i="7"/>
  <c r="K115" i="7"/>
  <c r="K109" i="7"/>
  <c r="L107" i="7"/>
  <c r="K139" i="7"/>
  <c r="K136" i="7"/>
  <c r="K128" i="7"/>
  <c r="K121" i="7"/>
  <c r="K114" i="7"/>
  <c r="K119" i="7"/>
  <c r="K112" i="7"/>
  <c r="K140" i="7"/>
  <c r="K126" i="7"/>
  <c r="K113" i="7"/>
  <c r="K124" i="7"/>
  <c r="K120" i="7"/>
  <c r="K141" i="7"/>
  <c r="K135" i="7"/>
  <c r="J117" i="7"/>
  <c r="J132" i="7"/>
  <c r="J142" i="7"/>
  <c r="L145" i="7" l="1"/>
  <c r="L146" i="7"/>
  <c r="L147" i="7"/>
  <c r="L148" i="7"/>
  <c r="L149" i="7"/>
  <c r="L150" i="7"/>
  <c r="L144" i="7"/>
  <c r="J152" i="7"/>
  <c r="K151" i="7"/>
  <c r="L129" i="7"/>
  <c r="L127" i="7"/>
  <c r="K132" i="7"/>
  <c r="K142" i="7"/>
  <c r="L137" i="7"/>
  <c r="L130" i="7"/>
  <c r="L122" i="7"/>
  <c r="L115" i="7"/>
  <c r="L109" i="7"/>
  <c r="M107" i="7"/>
  <c r="L139" i="7"/>
  <c r="L136" i="7"/>
  <c r="L128" i="7"/>
  <c r="L121" i="7"/>
  <c r="L114" i="7"/>
  <c r="L124" i="7"/>
  <c r="L126" i="7"/>
  <c r="L113" i="7"/>
  <c r="L111" i="7"/>
  <c r="L125" i="7"/>
  <c r="L112" i="7"/>
  <c r="L123" i="7"/>
  <c r="L116" i="7"/>
  <c r="L131" i="7"/>
  <c r="L138" i="7"/>
  <c r="L110" i="7"/>
  <c r="L141" i="7"/>
  <c r="L120" i="7"/>
  <c r="L135" i="7"/>
  <c r="L119" i="7"/>
  <c r="L140" i="7"/>
  <c r="L134" i="7"/>
  <c r="K117" i="7"/>
  <c r="M149" i="7" l="1"/>
  <c r="M150" i="7"/>
  <c r="M145" i="7"/>
  <c r="M146" i="7"/>
  <c r="M147" i="7"/>
  <c r="M148" i="7"/>
  <c r="M144" i="7"/>
  <c r="K152" i="7"/>
  <c r="L151" i="7"/>
  <c r="M129" i="7"/>
  <c r="M127" i="7"/>
  <c r="M137" i="7"/>
  <c r="M130" i="7"/>
  <c r="M122" i="7"/>
  <c r="M115" i="7"/>
  <c r="M109" i="7"/>
  <c r="M116" i="7"/>
  <c r="N107" i="7"/>
  <c r="M136" i="7"/>
  <c r="M128" i="7"/>
  <c r="M121" i="7"/>
  <c r="M114" i="7"/>
  <c r="M111" i="7"/>
  <c r="M126" i="7"/>
  <c r="M113" i="7"/>
  <c r="M139" i="7"/>
  <c r="M124" i="7"/>
  <c r="M110" i="7"/>
  <c r="M123" i="7"/>
  <c r="M125" i="7"/>
  <c r="M112" i="7"/>
  <c r="M138" i="7"/>
  <c r="M131" i="7"/>
  <c r="M119" i="7"/>
  <c r="M134" i="7"/>
  <c r="M140" i="7"/>
  <c r="M141" i="7"/>
  <c r="M135" i="7"/>
  <c r="M120" i="7"/>
  <c r="L142" i="7"/>
  <c r="L117" i="7"/>
  <c r="L132" i="7"/>
  <c r="N146" i="7" l="1"/>
  <c r="N147" i="7"/>
  <c r="N148" i="7"/>
  <c r="N149" i="7"/>
  <c r="N150" i="7"/>
  <c r="N145" i="7"/>
  <c r="N144" i="7"/>
  <c r="L152" i="7"/>
  <c r="M151" i="7"/>
  <c r="N129" i="7"/>
  <c r="N127" i="7"/>
  <c r="M132" i="7"/>
  <c r="M142" i="7"/>
  <c r="N137" i="7"/>
  <c r="N136" i="7"/>
  <c r="N128" i="7"/>
  <c r="N121" i="7"/>
  <c r="N114" i="7"/>
  <c r="N126" i="7"/>
  <c r="N113" i="7"/>
  <c r="N131" i="7"/>
  <c r="N110" i="7"/>
  <c r="O101" i="7" s="1"/>
  <c r="N123" i="7"/>
  <c r="N116" i="7"/>
  <c r="N125" i="7"/>
  <c r="N112" i="7"/>
  <c r="N138" i="7"/>
  <c r="N139" i="7"/>
  <c r="O131" i="7" s="1"/>
  <c r="N124" i="7"/>
  <c r="N111" i="7"/>
  <c r="N109" i="7"/>
  <c r="N122" i="7"/>
  <c r="N115" i="7"/>
  <c r="N130" i="7"/>
  <c r="N135" i="7"/>
  <c r="N119" i="7"/>
  <c r="N134" i="7"/>
  <c r="N140" i="7"/>
  <c r="N141" i="7"/>
  <c r="N120" i="7"/>
  <c r="M117" i="7"/>
  <c r="M152" i="7" l="1"/>
  <c r="N151" i="7"/>
  <c r="O151" i="7" s="1"/>
  <c r="N132" i="7"/>
  <c r="O132" i="7" s="1"/>
  <c r="N117" i="7"/>
  <c r="O100" i="7"/>
  <c r="N142" i="7"/>
  <c r="O142" i="7" s="1"/>
  <c r="O117" i="7" l="1"/>
  <c r="D26" i="5" s="1"/>
  <c r="C26" i="5" s="1"/>
  <c r="N152" i="7"/>
  <c r="O152" i="7" l="1"/>
  <c r="C13" i="11"/>
  <c r="C15" i="11" s="1"/>
  <c r="C10" i="11"/>
  <c r="B21" i="11"/>
  <c r="B36" i="11" s="1"/>
  <c r="B22" i="11"/>
  <c r="B29" i="11" s="1"/>
  <c r="B23" i="11"/>
  <c r="B30" i="11" s="1"/>
  <c r="B20" i="11"/>
  <c r="B35" i="11" s="1"/>
  <c r="D34" i="11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B84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N73" i="10"/>
  <c r="M73" i="10"/>
  <c r="L73" i="10"/>
  <c r="K73" i="10"/>
  <c r="J73" i="10"/>
  <c r="I73" i="10"/>
  <c r="H73" i="10"/>
  <c r="G73" i="10"/>
  <c r="F73" i="10"/>
  <c r="E73" i="10"/>
  <c r="C73" i="10"/>
  <c r="B73" i="10"/>
  <c r="B72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D70" i="10"/>
  <c r="E70" i="10" s="1"/>
  <c r="F70" i="10" s="1"/>
  <c r="G70" i="10" s="1"/>
  <c r="H70" i="10" s="1"/>
  <c r="I70" i="10" s="1"/>
  <c r="J70" i="10" s="1"/>
  <c r="K70" i="10" s="1"/>
  <c r="L70" i="10" s="1"/>
  <c r="M70" i="10" s="1"/>
  <c r="N70" i="10" s="1"/>
  <c r="N69" i="10"/>
  <c r="M69" i="10"/>
  <c r="L69" i="10"/>
  <c r="K69" i="10"/>
  <c r="J69" i="10"/>
  <c r="I69" i="10"/>
  <c r="H69" i="10"/>
  <c r="G69" i="10"/>
  <c r="F69" i="10"/>
  <c r="E69" i="10"/>
  <c r="D69" i="10"/>
  <c r="C69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11" i="9"/>
  <c r="B12" i="9"/>
  <c r="B13" i="9"/>
  <c r="B14" i="9"/>
  <c r="B15" i="9"/>
  <c r="B16" i="9"/>
  <c r="B17" i="9"/>
  <c r="B18" i="9"/>
  <c r="B19" i="9"/>
  <c r="B20" i="9"/>
  <c r="B53" i="9" s="1"/>
  <c r="B21" i="9"/>
  <c r="B37" i="9" s="1"/>
  <c r="B22" i="9"/>
  <c r="B38" i="9" s="1"/>
  <c r="B10" i="9"/>
  <c r="D22" i="5" l="1"/>
  <c r="C22" i="5" s="1"/>
  <c r="F36" i="11"/>
  <c r="E34" i="11"/>
  <c r="F34" i="11" s="1"/>
  <c r="G34" i="11" s="1"/>
  <c r="H34" i="11" s="1"/>
  <c r="E98" i="10"/>
  <c r="M98" i="10"/>
  <c r="N98" i="10"/>
  <c r="J54" i="9"/>
  <c r="L54" i="9"/>
  <c r="K54" i="9"/>
  <c r="N54" i="9"/>
  <c r="C54" i="9"/>
  <c r="M54" i="9"/>
  <c r="I54" i="9"/>
  <c r="H54" i="9"/>
  <c r="D54" i="9"/>
  <c r="F54" i="9"/>
  <c r="E54" i="9"/>
  <c r="G54" i="9"/>
  <c r="B38" i="11"/>
  <c r="H38" i="11"/>
  <c r="D38" i="11"/>
  <c r="I34" i="11"/>
  <c r="J34" i="11" s="1"/>
  <c r="K34" i="11" s="1"/>
  <c r="L34" i="11" s="1"/>
  <c r="J38" i="11"/>
  <c r="I38" i="11"/>
  <c r="K38" i="11"/>
  <c r="B37" i="11"/>
  <c r="E38" i="11"/>
  <c r="B27" i="11"/>
  <c r="F38" i="11"/>
  <c r="B28" i="11"/>
  <c r="G38" i="11"/>
  <c r="D98" i="10"/>
  <c r="G98" i="10"/>
  <c r="H98" i="10"/>
  <c r="I98" i="10"/>
  <c r="J98" i="10"/>
  <c r="K98" i="10"/>
  <c r="L98" i="10"/>
  <c r="C98" i="10"/>
  <c r="F98" i="10"/>
  <c r="B55" i="9"/>
  <c r="B54" i="9"/>
  <c r="D24" i="5" l="1"/>
  <c r="C24" i="5" s="1"/>
  <c r="I36" i="11"/>
  <c r="E36" i="11"/>
  <c r="H36" i="11"/>
  <c r="D36" i="11"/>
  <c r="K36" i="11"/>
  <c r="C36" i="11"/>
  <c r="O98" i="10"/>
  <c r="O54" i="9"/>
  <c r="J36" i="11"/>
  <c r="G36" i="11"/>
  <c r="M34" i="11"/>
  <c r="N38" i="11"/>
  <c r="M38" i="11"/>
  <c r="L38" i="11"/>
  <c r="L36" i="11"/>
  <c r="M36" i="11"/>
  <c r="N36" i="11"/>
  <c r="O36" i="11" l="1"/>
  <c r="O38" i="11"/>
  <c r="N34" i="11"/>
  <c r="O37" i="11" l="1"/>
  <c r="B52" i="9" l="1"/>
  <c r="B51" i="9"/>
  <c r="B50" i="9"/>
  <c r="B49" i="9"/>
  <c r="B48" i="9"/>
  <c r="B47" i="9"/>
  <c r="B46" i="9"/>
  <c r="B45" i="9"/>
  <c r="B44" i="9"/>
  <c r="B43" i="9"/>
  <c r="D42" i="9"/>
  <c r="B36" i="9"/>
  <c r="B35" i="9"/>
  <c r="B34" i="9"/>
  <c r="B33" i="9"/>
  <c r="B32" i="9"/>
  <c r="B31" i="9"/>
  <c r="B30" i="9"/>
  <c r="B29" i="9"/>
  <c r="B28" i="9"/>
  <c r="B27" i="9"/>
  <c r="B26" i="9"/>
  <c r="F53" i="9"/>
  <c r="H52" i="9"/>
  <c r="J51" i="9"/>
  <c r="L50" i="9"/>
  <c r="N49" i="9"/>
  <c r="D48" i="9"/>
  <c r="E50" i="9" l="1"/>
  <c r="F50" i="9"/>
  <c r="G50" i="9"/>
  <c r="M50" i="9"/>
  <c r="M51" i="9"/>
  <c r="N51" i="9"/>
  <c r="H48" i="9"/>
  <c r="I48" i="9"/>
  <c r="C52" i="9"/>
  <c r="C49" i="9"/>
  <c r="D55" i="9"/>
  <c r="C53" i="9"/>
  <c r="G53" i="9"/>
  <c r="H53" i="9"/>
  <c r="D49" i="9"/>
  <c r="N50" i="9"/>
  <c r="D52" i="9"/>
  <c r="I53" i="9"/>
  <c r="C45" i="9"/>
  <c r="E49" i="9"/>
  <c r="E52" i="9"/>
  <c r="J53" i="9"/>
  <c r="F55" i="9"/>
  <c r="F47" i="9"/>
  <c r="D45" i="9"/>
  <c r="F49" i="9"/>
  <c r="C51" i="9"/>
  <c r="I52" i="9"/>
  <c r="K53" i="9"/>
  <c r="G49" i="9"/>
  <c r="D51" i="9"/>
  <c r="J52" i="9"/>
  <c r="L53" i="9"/>
  <c r="H49" i="9"/>
  <c r="E51" i="9"/>
  <c r="K52" i="9"/>
  <c r="M53" i="9"/>
  <c r="E48" i="9"/>
  <c r="F51" i="9"/>
  <c r="L52" i="9"/>
  <c r="N53" i="9"/>
  <c r="F48" i="9"/>
  <c r="C50" i="9"/>
  <c r="K51" i="9"/>
  <c r="M52" i="9"/>
  <c r="G48" i="9"/>
  <c r="D50" i="9"/>
  <c r="L51" i="9"/>
  <c r="N52" i="9"/>
  <c r="E44" i="9"/>
  <c r="G44" i="9"/>
  <c r="C44" i="9"/>
  <c r="F44" i="9"/>
  <c r="D44" i="9"/>
  <c r="G43" i="9"/>
  <c r="D43" i="9"/>
  <c r="G47" i="9"/>
  <c r="J48" i="9"/>
  <c r="E43" i="9"/>
  <c r="C43" i="9"/>
  <c r="E42" i="9"/>
  <c r="F42" i="9" s="1"/>
  <c r="G42" i="9" s="1"/>
  <c r="H42" i="9" s="1"/>
  <c r="G55" i="9"/>
  <c r="F43" i="9"/>
  <c r="C46" i="9"/>
  <c r="K48" i="9"/>
  <c r="D46" i="9"/>
  <c r="L48" i="9"/>
  <c r="H50" i="9"/>
  <c r="I50" i="9"/>
  <c r="G51" i="9"/>
  <c r="F46" i="9"/>
  <c r="D47" i="9"/>
  <c r="N48" i="9"/>
  <c r="L49" i="9"/>
  <c r="J50" i="9"/>
  <c r="H51" i="9"/>
  <c r="F52" i="9"/>
  <c r="D53" i="9"/>
  <c r="E55" i="9"/>
  <c r="I49" i="9"/>
  <c r="E46" i="9"/>
  <c r="C47" i="9"/>
  <c r="K49" i="9"/>
  <c r="G46" i="9"/>
  <c r="E47" i="9"/>
  <c r="C48" i="9"/>
  <c r="M49" i="9"/>
  <c r="K50" i="9"/>
  <c r="I51" i="9"/>
  <c r="G52" i="9"/>
  <c r="E53" i="9"/>
  <c r="C55" i="9"/>
  <c r="J49" i="9"/>
  <c r="M48" i="9"/>
  <c r="O50" i="9" l="1"/>
  <c r="O53" i="9"/>
  <c r="O52" i="9"/>
  <c r="O49" i="9"/>
  <c r="O48" i="9"/>
  <c r="I42" i="9"/>
  <c r="K55" i="9"/>
  <c r="J47" i="9"/>
  <c r="I55" i="9"/>
  <c r="H47" i="9"/>
  <c r="I46" i="9"/>
  <c r="H55" i="9"/>
  <c r="I47" i="9"/>
  <c r="K46" i="9"/>
  <c r="J46" i="9"/>
  <c r="J55" i="9"/>
  <c r="H46" i="9"/>
  <c r="C56" i="9"/>
  <c r="H45" i="9"/>
  <c r="I43" i="9"/>
  <c r="O51" i="9"/>
  <c r="I44" i="9"/>
  <c r="G45" i="9"/>
  <c r="G56" i="9" s="1"/>
  <c r="K43" i="9"/>
  <c r="H44" i="9"/>
  <c r="E45" i="9"/>
  <c r="H43" i="9"/>
  <c r="F45" i="9"/>
  <c r="F56" i="9" s="1"/>
  <c r="K47" i="9"/>
  <c r="D56" i="9"/>
  <c r="J43" i="9"/>
  <c r="J44" i="9"/>
  <c r="K44" i="9"/>
  <c r="H56" i="9" l="1"/>
  <c r="E56" i="9"/>
  <c r="J42" i="9"/>
  <c r="I45" i="9"/>
  <c r="I56" i="9" s="1"/>
  <c r="K42" i="9" l="1"/>
  <c r="J45" i="9"/>
  <c r="J56" i="9" s="1"/>
  <c r="L42" i="9" l="1"/>
  <c r="K45" i="9"/>
  <c r="K56" i="9" s="1"/>
  <c r="M55" i="9" l="1"/>
  <c r="M42" i="9"/>
  <c r="L55" i="9"/>
  <c r="L44" i="9"/>
  <c r="N43" i="9"/>
  <c r="N47" i="9"/>
  <c r="M44" i="9"/>
  <c r="L47" i="9"/>
  <c r="N44" i="9"/>
  <c r="L46" i="9"/>
  <c r="M43" i="9"/>
  <c r="N55" i="9"/>
  <c r="M46" i="9"/>
  <c r="L45" i="9"/>
  <c r="N46" i="9"/>
  <c r="L43" i="9"/>
  <c r="M47" i="9"/>
  <c r="O44" i="9" l="1"/>
  <c r="O46" i="9"/>
  <c r="L56" i="9"/>
  <c r="O43" i="9"/>
  <c r="O47" i="9"/>
  <c r="O55" i="9"/>
  <c r="N42" i="9"/>
  <c r="N45" i="9" s="1"/>
  <c r="M45" i="9"/>
  <c r="M56" i="9" s="1"/>
  <c r="O45" i="9" l="1"/>
  <c r="N56" i="9"/>
  <c r="O56" i="9" s="1"/>
  <c r="J7" i="8" l="1"/>
  <c r="K11" i="8" s="1"/>
  <c r="Q122" i="6" l="1"/>
  <c r="P122" i="6"/>
  <c r="O122" i="6"/>
  <c r="N122" i="6"/>
  <c r="M122" i="6"/>
  <c r="L122" i="6"/>
  <c r="K122" i="6"/>
  <c r="J122" i="6"/>
  <c r="I122" i="6"/>
  <c r="H122" i="6"/>
  <c r="G122" i="6"/>
  <c r="D13" i="4"/>
  <c r="G13" i="4" s="1"/>
  <c r="B21" i="3"/>
  <c r="F123" i="6" l="1"/>
  <c r="C122" i="1"/>
  <c r="C123" i="1"/>
  <c r="D15" i="4" l="1"/>
  <c r="C9" i="3" l="1"/>
  <c r="N183" i="1" l="1"/>
  <c r="M183" i="1"/>
  <c r="L183" i="1"/>
  <c r="K183" i="1"/>
  <c r="J183" i="1"/>
  <c r="I183" i="1"/>
  <c r="H183" i="1"/>
  <c r="G183" i="1"/>
  <c r="F183" i="1"/>
  <c r="E183" i="1"/>
  <c r="D183" i="1"/>
  <c r="C183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O172" i="1"/>
  <c r="B172" i="1"/>
  <c r="B183" i="1" s="1"/>
  <c r="O171" i="1"/>
  <c r="B171" i="1"/>
  <c r="B182" i="1" s="1"/>
  <c r="O170" i="1"/>
  <c r="B170" i="1"/>
  <c r="B181" i="1" s="1"/>
  <c r="O169" i="1"/>
  <c r="B169" i="1"/>
  <c r="B180" i="1" s="1"/>
  <c r="O168" i="1"/>
  <c r="B168" i="1"/>
  <c r="B179" i="1" s="1"/>
  <c r="O167" i="1"/>
  <c r="B167" i="1"/>
  <c r="B178" i="1" s="1"/>
  <c r="O166" i="1"/>
  <c r="B166" i="1"/>
  <c r="B177" i="1" s="1"/>
  <c r="H177" i="1"/>
  <c r="B83" i="1"/>
  <c r="B84" i="1"/>
  <c r="B85" i="1"/>
  <c r="B86" i="1"/>
  <c r="B87" i="1"/>
  <c r="B88" i="1"/>
  <c r="B89" i="1"/>
  <c r="B90" i="1"/>
  <c r="B91" i="1"/>
  <c r="B92" i="1"/>
  <c r="D177" i="1" l="1"/>
  <c r="E177" i="1"/>
  <c r="M177" i="1"/>
  <c r="I177" i="1"/>
  <c r="J177" i="1"/>
  <c r="K177" i="1"/>
  <c r="L177" i="1"/>
  <c r="F177" i="1"/>
  <c r="N177" i="1"/>
  <c r="C21" i="3"/>
  <c r="G9" i="3" s="1"/>
  <c r="G177" i="1"/>
  <c r="C177" i="1"/>
  <c r="C159" i="1"/>
  <c r="C157" i="1"/>
  <c r="O183" i="1"/>
  <c r="O182" i="1"/>
  <c r="O173" i="1"/>
  <c r="P173" i="1" s="1"/>
  <c r="O177" i="1" l="1"/>
  <c r="K179" i="1"/>
  <c r="C179" i="1"/>
  <c r="G179" i="1"/>
  <c r="F179" i="1"/>
  <c r="J179" i="1"/>
  <c r="H179" i="1"/>
  <c r="N179" i="1"/>
  <c r="M179" i="1"/>
  <c r="E179" i="1"/>
  <c r="L179" i="1"/>
  <c r="I179" i="1"/>
  <c r="D179" i="1"/>
  <c r="N180" i="1"/>
  <c r="F180" i="1"/>
  <c r="J180" i="1"/>
  <c r="I180" i="1"/>
  <c r="G180" i="1"/>
  <c r="M180" i="1"/>
  <c r="E180" i="1"/>
  <c r="K180" i="1"/>
  <c r="C180" i="1"/>
  <c r="H180" i="1"/>
  <c r="L180" i="1"/>
  <c r="D180" i="1"/>
  <c r="J181" i="1"/>
  <c r="N181" i="1"/>
  <c r="F181" i="1"/>
  <c r="M181" i="1"/>
  <c r="I181" i="1"/>
  <c r="G181" i="1"/>
  <c r="E181" i="1"/>
  <c r="L181" i="1"/>
  <c r="D181" i="1"/>
  <c r="H181" i="1"/>
  <c r="C181" i="1"/>
  <c r="K181" i="1"/>
  <c r="H178" i="1"/>
  <c r="L178" i="1"/>
  <c r="D178" i="1"/>
  <c r="K178" i="1"/>
  <c r="C178" i="1"/>
  <c r="I178" i="1"/>
  <c r="G178" i="1"/>
  <c r="M178" i="1"/>
  <c r="E178" i="1"/>
  <c r="J178" i="1"/>
  <c r="N178" i="1"/>
  <c r="F178" i="1"/>
  <c r="G184" i="1" l="1"/>
  <c r="H184" i="1"/>
  <c r="O178" i="1"/>
  <c r="K184" i="1"/>
  <c r="O179" i="1"/>
  <c r="F184" i="1"/>
  <c r="E184" i="1"/>
  <c r="N184" i="1"/>
  <c r="D184" i="1"/>
  <c r="M184" i="1"/>
  <c r="L184" i="1"/>
  <c r="O180" i="1"/>
  <c r="C184" i="1"/>
  <c r="J184" i="1"/>
  <c r="O181" i="1"/>
  <c r="I184" i="1"/>
  <c r="O184" i="1" l="1"/>
  <c r="P184" i="1" s="1"/>
  <c r="C16" i="1" l="1"/>
  <c r="Q184" i="1"/>
  <c r="G84" i="6"/>
  <c r="F84" i="6"/>
  <c r="E16" i="1" l="1"/>
  <c r="F97" i="6" l="1"/>
  <c r="G97" i="6" l="1"/>
  <c r="H97" i="6"/>
  <c r="I97" i="6"/>
  <c r="J97" i="6"/>
  <c r="K97" i="6"/>
  <c r="H84" i="6"/>
  <c r="I84" i="6"/>
  <c r="J84" i="6"/>
  <c r="K84" i="6"/>
  <c r="G71" i="6"/>
  <c r="H71" i="6"/>
  <c r="I71" i="6"/>
  <c r="J71" i="6"/>
  <c r="K71" i="6"/>
  <c r="H45" i="6" l="1"/>
  <c r="G45" i="6"/>
  <c r="Q97" i="6"/>
  <c r="P97" i="6"/>
  <c r="O97" i="6"/>
  <c r="N97" i="6"/>
  <c r="M97" i="6"/>
  <c r="L97" i="6"/>
  <c r="Q84" i="6"/>
  <c r="P84" i="6"/>
  <c r="O84" i="6"/>
  <c r="N84" i="6"/>
  <c r="M84" i="6"/>
  <c r="L84" i="6"/>
  <c r="M71" i="6"/>
  <c r="N71" i="6"/>
  <c r="O71" i="6"/>
  <c r="P71" i="6"/>
  <c r="Q71" i="6"/>
  <c r="M45" i="6"/>
  <c r="N45" i="6"/>
  <c r="O45" i="6"/>
  <c r="P45" i="6"/>
  <c r="Q45" i="6"/>
  <c r="L71" i="6"/>
  <c r="I45" i="6"/>
  <c r="J45" i="6"/>
  <c r="K45" i="6"/>
  <c r="L45" i="6"/>
  <c r="B81" i="6"/>
  <c r="F72" i="6" l="1"/>
  <c r="F46" i="6"/>
  <c r="D26" i="6"/>
  <c r="F85" i="6"/>
  <c r="D28" i="6"/>
  <c r="B78" i="6" s="1"/>
  <c r="F98" i="6"/>
  <c r="B69" i="6"/>
  <c r="B70" i="6" s="1"/>
  <c r="B71" i="6" s="1"/>
  <c r="B12" i="6" s="1"/>
  <c r="E7" i="4" l="1"/>
  <c r="B82" i="6"/>
  <c r="B83" i="6" s="1"/>
  <c r="B84" i="6" s="1"/>
  <c r="B14" i="6" s="1"/>
  <c r="E14" i="4" s="1"/>
  <c r="F7" i="4" l="1"/>
  <c r="G7" i="4"/>
  <c r="B107" i="6"/>
  <c r="D27" i="6"/>
  <c r="B104" i="6" s="1"/>
  <c r="B94" i="6"/>
  <c r="B91" i="6"/>
  <c r="B95" i="6" s="1"/>
  <c r="B108" i="6" l="1"/>
  <c r="B109" i="6" s="1"/>
  <c r="B110" i="6" s="1"/>
  <c r="B13" i="6" s="1"/>
  <c r="B96" i="6"/>
  <c r="B97" i="6" s="1"/>
  <c r="F11" i="4" s="1"/>
  <c r="C38" i="3"/>
  <c r="E12" i="4" l="1"/>
  <c r="F12" i="4" s="1"/>
  <c r="D13" i="6"/>
  <c r="D14" i="6"/>
  <c r="C134" i="1"/>
  <c r="D52" i="1"/>
  <c r="F52" i="1"/>
  <c r="H52" i="1"/>
  <c r="J52" i="1"/>
  <c r="L52" i="1"/>
  <c r="N52" i="1"/>
  <c r="F14" i="4" l="1"/>
  <c r="G14" i="4"/>
  <c r="C44" i="3"/>
  <c r="C42" i="3"/>
  <c r="C41" i="3"/>
  <c r="C40" i="3"/>
  <c r="C39" i="3"/>
  <c r="C53" i="3" s="1"/>
  <c r="C37" i="3"/>
  <c r="C36" i="3"/>
  <c r="C15" i="3"/>
  <c r="C17" i="3" s="1"/>
  <c r="C16" i="3"/>
  <c r="B8" i="4" l="1"/>
  <c r="B10" i="5" s="1"/>
  <c r="B10" i="4"/>
  <c r="B12" i="5" s="1"/>
  <c r="B11" i="4"/>
  <c r="B13" i="5" s="1"/>
  <c r="B12" i="4"/>
  <c r="B14" i="5" s="1"/>
  <c r="B14" i="4"/>
  <c r="B16" i="5" s="1"/>
  <c r="B7" i="4"/>
  <c r="B9" i="5" s="1"/>
  <c r="B39" i="5" l="1"/>
  <c r="B40" i="5"/>
  <c r="B35" i="5"/>
  <c r="B38" i="5"/>
  <c r="B42" i="5"/>
  <c r="B36" i="5"/>
  <c r="C15" i="4"/>
  <c r="D38" i="3"/>
  <c r="D42" i="3"/>
  <c r="O129" i="1"/>
  <c r="B148" i="1"/>
  <c r="B135" i="1"/>
  <c r="B134" i="1"/>
  <c r="N135" i="1"/>
  <c r="M103" i="1"/>
  <c r="N93" i="1"/>
  <c r="M93" i="1"/>
  <c r="L93" i="1"/>
  <c r="K93" i="1"/>
  <c r="J93" i="1"/>
  <c r="I93" i="1"/>
  <c r="H93" i="1"/>
  <c r="G93" i="1"/>
  <c r="F93" i="1"/>
  <c r="E93" i="1"/>
  <c r="D93" i="1"/>
  <c r="C93" i="1"/>
  <c r="O92" i="1"/>
  <c r="B107" i="1"/>
  <c r="O91" i="1"/>
  <c r="B106" i="1"/>
  <c r="O90" i="1"/>
  <c r="B105" i="1"/>
  <c r="O89" i="1"/>
  <c r="B104" i="1"/>
  <c r="O88" i="1"/>
  <c r="B103" i="1"/>
  <c r="O87" i="1"/>
  <c r="B102" i="1"/>
  <c r="O86" i="1"/>
  <c r="B101" i="1"/>
  <c r="O85" i="1"/>
  <c r="B100" i="1"/>
  <c r="O84" i="1"/>
  <c r="B99" i="1"/>
  <c r="O83" i="1"/>
  <c r="B98" i="1"/>
  <c r="O82" i="1"/>
  <c r="B82" i="1"/>
  <c r="B97" i="1" s="1"/>
  <c r="E59" i="1"/>
  <c r="D58" i="1"/>
  <c r="M57" i="1"/>
  <c r="O43" i="1"/>
  <c r="O44" i="1"/>
  <c r="O45" i="1"/>
  <c r="B43" i="1"/>
  <c r="B57" i="1" s="1"/>
  <c r="B44" i="1"/>
  <c r="B58" i="1" s="1"/>
  <c r="B45" i="1"/>
  <c r="B59" i="1" s="1"/>
  <c r="D54" i="1"/>
  <c r="F53" i="1"/>
  <c r="J51" i="1"/>
  <c r="N47" i="1"/>
  <c r="M47" i="1"/>
  <c r="L47" i="1"/>
  <c r="K47" i="1"/>
  <c r="J47" i="1"/>
  <c r="I47" i="1"/>
  <c r="H47" i="1"/>
  <c r="G47" i="1"/>
  <c r="F47" i="1"/>
  <c r="E47" i="1"/>
  <c r="D47" i="1"/>
  <c r="C47" i="1"/>
  <c r="O46" i="1"/>
  <c r="B46" i="1"/>
  <c r="B60" i="1" s="1"/>
  <c r="O42" i="1"/>
  <c r="B42" i="1"/>
  <c r="B56" i="1" s="1"/>
  <c r="O41" i="1"/>
  <c r="B41" i="1"/>
  <c r="B55" i="1" s="1"/>
  <c r="O40" i="1"/>
  <c r="B40" i="1"/>
  <c r="B54" i="1" s="1"/>
  <c r="O39" i="1"/>
  <c r="B39" i="1"/>
  <c r="B53" i="1" s="1"/>
  <c r="O38" i="1"/>
  <c r="B38" i="1"/>
  <c r="B52" i="1" s="1"/>
  <c r="O37" i="1"/>
  <c r="B37" i="1"/>
  <c r="B51" i="1" s="1"/>
  <c r="B116" i="1"/>
  <c r="O115" i="1"/>
  <c r="E116" i="1"/>
  <c r="E117" i="1" s="1"/>
  <c r="C130" i="1" l="1"/>
  <c r="C148" i="1" s="1"/>
  <c r="C149" i="1" s="1"/>
  <c r="D41" i="3"/>
  <c r="D40" i="3"/>
  <c r="D39" i="3"/>
  <c r="D11" i="3"/>
  <c r="D14" i="3"/>
  <c r="D15" i="3"/>
  <c r="D12" i="3"/>
  <c r="D13" i="3"/>
  <c r="N55" i="1"/>
  <c r="C103" i="1"/>
  <c r="K103" i="1"/>
  <c r="N103" i="1"/>
  <c r="M135" i="1"/>
  <c r="L135" i="1"/>
  <c r="K135" i="1"/>
  <c r="J135" i="1"/>
  <c r="I135" i="1"/>
  <c r="H135" i="1"/>
  <c r="G135" i="1"/>
  <c r="F135" i="1"/>
  <c r="E135" i="1"/>
  <c r="D135" i="1"/>
  <c r="C135" i="1"/>
  <c r="N58" i="1"/>
  <c r="L130" i="1"/>
  <c r="N130" i="1"/>
  <c r="K130" i="1"/>
  <c r="J130" i="1"/>
  <c r="M58" i="1"/>
  <c r="I130" i="1"/>
  <c r="G130" i="1"/>
  <c r="F130" i="1"/>
  <c r="E130" i="1"/>
  <c r="D130" i="1"/>
  <c r="M130" i="1"/>
  <c r="L59" i="1"/>
  <c r="F116" i="1"/>
  <c r="N59" i="1"/>
  <c r="M59" i="1"/>
  <c r="O93" i="1"/>
  <c r="P93" i="1" s="1"/>
  <c r="H58" i="1"/>
  <c r="K57" i="1"/>
  <c r="J59" i="1"/>
  <c r="J57" i="1"/>
  <c r="K59" i="1"/>
  <c r="I57" i="1"/>
  <c r="I59" i="1"/>
  <c r="G59" i="1"/>
  <c r="F57" i="1"/>
  <c r="D103" i="1"/>
  <c r="D59" i="1"/>
  <c r="D57" i="1"/>
  <c r="E103" i="1"/>
  <c r="L57" i="1"/>
  <c r="C59" i="1"/>
  <c r="F103" i="1"/>
  <c r="G52" i="1"/>
  <c r="C57" i="1"/>
  <c r="L103" i="1"/>
  <c r="G103" i="1"/>
  <c r="H103" i="1"/>
  <c r="I103" i="1"/>
  <c r="J103" i="1"/>
  <c r="L58" i="1"/>
  <c r="K58" i="1"/>
  <c r="J58" i="1"/>
  <c r="I52" i="1"/>
  <c r="I58" i="1"/>
  <c r="C58" i="1"/>
  <c r="N57" i="1"/>
  <c r="H59" i="1"/>
  <c r="F59" i="1"/>
  <c r="G58" i="1"/>
  <c r="F58" i="1"/>
  <c r="E58" i="1"/>
  <c r="H57" i="1"/>
  <c r="G57" i="1"/>
  <c r="E57" i="1"/>
  <c r="H116" i="1"/>
  <c r="G53" i="1"/>
  <c r="O47" i="1"/>
  <c r="I116" i="1"/>
  <c r="J116" i="1"/>
  <c r="G116" i="1"/>
  <c r="M51" i="1"/>
  <c r="K52" i="1"/>
  <c r="I53" i="1"/>
  <c r="G54" i="1"/>
  <c r="J53" i="1"/>
  <c r="H53" i="1"/>
  <c r="C51" i="1"/>
  <c r="M52" i="1"/>
  <c r="K53" i="1"/>
  <c r="I54" i="1"/>
  <c r="N51" i="1"/>
  <c r="K116" i="1"/>
  <c r="L116" i="1"/>
  <c r="D51" i="1"/>
  <c r="L53" i="1"/>
  <c r="J54" i="1"/>
  <c r="E54" i="1"/>
  <c r="H54" i="1"/>
  <c r="M116" i="1"/>
  <c r="E51" i="1"/>
  <c r="C52" i="1"/>
  <c r="M53" i="1"/>
  <c r="K54" i="1"/>
  <c r="L51" i="1"/>
  <c r="N116" i="1"/>
  <c r="F51" i="1"/>
  <c r="N53" i="1"/>
  <c r="L54" i="1"/>
  <c r="F54" i="1"/>
  <c r="C116" i="1"/>
  <c r="G51" i="1"/>
  <c r="E52" i="1"/>
  <c r="C53" i="1"/>
  <c r="M54" i="1"/>
  <c r="D116" i="1"/>
  <c r="H51" i="1"/>
  <c r="D53" i="1"/>
  <c r="N54" i="1"/>
  <c r="K51" i="1"/>
  <c r="I51" i="1"/>
  <c r="E53" i="1"/>
  <c r="C54" i="1"/>
  <c r="C11" i="2"/>
  <c r="J143" i="1" l="1"/>
  <c r="J148" i="1" s="1"/>
  <c r="J149" i="1" s="1"/>
  <c r="I148" i="1"/>
  <c r="I149" i="1" s="1"/>
  <c r="K144" i="1"/>
  <c r="M148" i="1"/>
  <c r="M149" i="1" s="1"/>
  <c r="D144" i="1"/>
  <c r="G148" i="1"/>
  <c r="G149" i="1" s="1"/>
  <c r="N148" i="1"/>
  <c r="N149" i="1" s="1"/>
  <c r="E144" i="1"/>
  <c r="L144" i="1"/>
  <c r="F148" i="1"/>
  <c r="F149" i="1" s="1"/>
  <c r="C144" i="1"/>
  <c r="H134" i="1"/>
  <c r="H136" i="1" s="1"/>
  <c r="H130" i="1"/>
  <c r="J55" i="1"/>
  <c r="G55" i="1"/>
  <c r="H55" i="1"/>
  <c r="D55" i="1"/>
  <c r="K55" i="1"/>
  <c r="E55" i="1"/>
  <c r="M55" i="1"/>
  <c r="I55" i="1"/>
  <c r="C55" i="1"/>
  <c r="L55" i="1"/>
  <c r="F55" i="1"/>
  <c r="O135" i="1"/>
  <c r="D134" i="1"/>
  <c r="D136" i="1" s="1"/>
  <c r="F134" i="1"/>
  <c r="F136" i="1" s="1"/>
  <c r="C136" i="1"/>
  <c r="G134" i="1"/>
  <c r="G136" i="1" s="1"/>
  <c r="I144" i="1"/>
  <c r="I134" i="1"/>
  <c r="I136" i="1" s="1"/>
  <c r="M134" i="1"/>
  <c r="M136" i="1" s="1"/>
  <c r="E134" i="1"/>
  <c r="E136" i="1" s="1"/>
  <c r="J134" i="1"/>
  <c r="J136" i="1" s="1"/>
  <c r="L134" i="1"/>
  <c r="L136" i="1" s="1"/>
  <c r="K134" i="1"/>
  <c r="K136" i="1" s="1"/>
  <c r="N134" i="1"/>
  <c r="N136" i="1" s="1"/>
  <c r="C117" i="1"/>
  <c r="D117" i="1"/>
  <c r="O128" i="1"/>
  <c r="F117" i="1"/>
  <c r="J117" i="1"/>
  <c r="I117" i="1"/>
  <c r="L117" i="1"/>
  <c r="M117" i="1"/>
  <c r="K117" i="1"/>
  <c r="G117" i="1"/>
  <c r="H117" i="1"/>
  <c r="N117" i="1"/>
  <c r="O57" i="1"/>
  <c r="O58" i="1"/>
  <c r="O59" i="1"/>
  <c r="O103" i="1"/>
  <c r="H60" i="1"/>
  <c r="G60" i="1"/>
  <c r="F60" i="1"/>
  <c r="E60" i="1"/>
  <c r="J60" i="1"/>
  <c r="I60" i="1"/>
  <c r="D60" i="1"/>
  <c r="C60" i="1"/>
  <c r="N60" i="1"/>
  <c r="M60" i="1"/>
  <c r="L60" i="1"/>
  <c r="K60" i="1"/>
  <c r="O52" i="1"/>
  <c r="O54" i="1"/>
  <c r="J56" i="1"/>
  <c r="I56" i="1"/>
  <c r="H56" i="1"/>
  <c r="G56" i="1"/>
  <c r="F56" i="1"/>
  <c r="E56" i="1"/>
  <c r="D56" i="1"/>
  <c r="K56" i="1"/>
  <c r="C56" i="1"/>
  <c r="N56" i="1"/>
  <c r="M56" i="1"/>
  <c r="L56" i="1"/>
  <c r="O53" i="1"/>
  <c r="O51" i="1"/>
  <c r="G14" i="2"/>
  <c r="G12" i="2"/>
  <c r="G11" i="2"/>
  <c r="G10" i="2"/>
  <c r="G8" i="2"/>
  <c r="G7" i="2"/>
  <c r="F12" i="2"/>
  <c r="F11" i="2"/>
  <c r="F10" i="2"/>
  <c r="F8" i="2"/>
  <c r="F15" i="2" l="1"/>
  <c r="G15" i="2"/>
  <c r="L148" i="1"/>
  <c r="L149" i="1" s="1"/>
  <c r="K148" i="1"/>
  <c r="K149" i="1" s="1"/>
  <c r="H143" i="1"/>
  <c r="H144" i="1" s="1"/>
  <c r="G144" i="1"/>
  <c r="E148" i="1"/>
  <c r="E149" i="1" s="1"/>
  <c r="D148" i="1"/>
  <c r="D149" i="1" s="1"/>
  <c r="D19" i="1"/>
  <c r="O130" i="1"/>
  <c r="Q130" i="1" s="1"/>
  <c r="J144" i="1"/>
  <c r="M144" i="1"/>
  <c r="N144" i="1"/>
  <c r="O143" i="1"/>
  <c r="O144" i="1" s="1"/>
  <c r="F144" i="1"/>
  <c r="O55" i="1"/>
  <c r="L61" i="1"/>
  <c r="O117" i="1"/>
  <c r="C13" i="1" s="1"/>
  <c r="O136" i="1"/>
  <c r="C14" i="1" s="1"/>
  <c r="I61" i="1"/>
  <c r="K61" i="1"/>
  <c r="H61" i="1"/>
  <c r="N61" i="1"/>
  <c r="F61" i="1"/>
  <c r="O60" i="1"/>
  <c r="D61" i="1"/>
  <c r="E61" i="1"/>
  <c r="G61" i="1"/>
  <c r="M61" i="1"/>
  <c r="O56" i="1"/>
  <c r="J61" i="1"/>
  <c r="C61" i="1"/>
  <c r="E12" i="2"/>
  <c r="E11" i="2"/>
  <c r="E10" i="2"/>
  <c r="E8" i="2"/>
  <c r="E15" i="2" l="1"/>
  <c r="H148" i="1"/>
  <c r="E14" i="1"/>
  <c r="E13" i="1"/>
  <c r="P136" i="1"/>
  <c r="C48" i="3" s="1"/>
  <c r="H105" i="1"/>
  <c r="K105" i="1"/>
  <c r="J105" i="1"/>
  <c r="I105" i="1"/>
  <c r="E105" i="1"/>
  <c r="M105" i="1"/>
  <c r="G105" i="1"/>
  <c r="L105" i="1"/>
  <c r="N105" i="1"/>
  <c r="F105" i="1"/>
  <c r="D105" i="1"/>
  <c r="C105" i="1"/>
  <c r="J104" i="1"/>
  <c r="M104" i="1"/>
  <c r="L104" i="1"/>
  <c r="K104" i="1"/>
  <c r="D104" i="1"/>
  <c r="C104" i="1"/>
  <c r="H104" i="1"/>
  <c r="F104" i="1"/>
  <c r="I104" i="1"/>
  <c r="G104" i="1"/>
  <c r="E104" i="1"/>
  <c r="N104" i="1"/>
  <c r="D107" i="1"/>
  <c r="E107" i="1"/>
  <c r="J107" i="1"/>
  <c r="I107" i="1"/>
  <c r="G107" i="1"/>
  <c r="H107" i="1"/>
  <c r="K107" i="1"/>
  <c r="C107" i="1"/>
  <c r="N107" i="1"/>
  <c r="M107" i="1"/>
  <c r="F107" i="1"/>
  <c r="L107" i="1"/>
  <c r="L97" i="1"/>
  <c r="C97" i="1"/>
  <c r="N97" i="1"/>
  <c r="M97" i="1"/>
  <c r="E97" i="1"/>
  <c r="K97" i="1"/>
  <c r="F97" i="1"/>
  <c r="D97" i="1"/>
  <c r="H97" i="1"/>
  <c r="I97" i="1"/>
  <c r="G97" i="1"/>
  <c r="J97" i="1"/>
  <c r="J98" i="1"/>
  <c r="M98" i="1"/>
  <c r="L98" i="1"/>
  <c r="K98" i="1"/>
  <c r="N98" i="1"/>
  <c r="H98" i="1"/>
  <c r="C98" i="1"/>
  <c r="I98" i="1"/>
  <c r="F98" i="1"/>
  <c r="G98" i="1"/>
  <c r="E98" i="1"/>
  <c r="D98" i="1"/>
  <c r="F106" i="1"/>
  <c r="L106" i="1"/>
  <c r="N106" i="1"/>
  <c r="H106" i="1"/>
  <c r="K106" i="1"/>
  <c r="E106" i="1"/>
  <c r="J106" i="1"/>
  <c r="D106" i="1"/>
  <c r="G106" i="1"/>
  <c r="C106" i="1"/>
  <c r="I106" i="1"/>
  <c r="M106" i="1"/>
  <c r="O61" i="1"/>
  <c r="C11" i="1" s="1"/>
  <c r="E11" i="1" s="1"/>
  <c r="D12" i="2"/>
  <c r="D11" i="2"/>
  <c r="D10" i="2"/>
  <c r="D8" i="2"/>
  <c r="D15" i="2" l="1"/>
  <c r="I7" i="4"/>
  <c r="J7" i="4" s="1"/>
  <c r="H149" i="1"/>
  <c r="O149" i="1" s="1"/>
  <c r="C15" i="1" s="1"/>
  <c r="O148" i="1"/>
  <c r="G36" i="3"/>
  <c r="G39" i="3" s="1"/>
  <c r="C49" i="3" s="1"/>
  <c r="O106" i="1"/>
  <c r="O105" i="1"/>
  <c r="O100" i="1"/>
  <c r="C102" i="1"/>
  <c r="O98" i="1"/>
  <c r="O104" i="1"/>
  <c r="O99" i="1"/>
  <c r="O107" i="1"/>
  <c r="O97" i="1"/>
  <c r="C12" i="2"/>
  <c r="C8" i="2"/>
  <c r="C50" i="3" l="1"/>
  <c r="C51" i="3" s="1"/>
  <c r="G12" i="4" s="1"/>
  <c r="E15" i="1"/>
  <c r="C15" i="2"/>
  <c r="H108" i="1"/>
  <c r="J108" i="1"/>
  <c r="G108" i="1"/>
  <c r="L108" i="1"/>
  <c r="O134" i="1"/>
  <c r="I108" i="1"/>
  <c r="F108" i="1"/>
  <c r="E108" i="1"/>
  <c r="O101" i="1"/>
  <c r="C108" i="1"/>
  <c r="O102" i="1"/>
  <c r="M108" i="1"/>
  <c r="N108" i="1"/>
  <c r="D108" i="1"/>
  <c r="K108" i="1"/>
  <c r="C52" i="3" l="1"/>
  <c r="C54" i="3"/>
  <c r="C55" i="3"/>
  <c r="O108" i="1"/>
  <c r="P108" i="1" l="1"/>
  <c r="Q108" i="1"/>
  <c r="C56" i="3"/>
  <c r="C57" i="3" s="1"/>
  <c r="C12" i="1"/>
  <c r="E12" i="1" l="1"/>
  <c r="C19" i="1"/>
  <c r="E19" i="1" s="1"/>
  <c r="G12" i="3"/>
  <c r="I8" i="4" l="1"/>
  <c r="J8" i="4" s="1"/>
  <c r="C22" i="3"/>
  <c r="C23" i="3" s="1"/>
  <c r="C24" i="3" s="1"/>
  <c r="I15" i="4" l="1"/>
  <c r="C20" i="11" s="1"/>
  <c r="C35" i="11" s="1"/>
  <c r="C28" i="3"/>
  <c r="C25" i="3"/>
  <c r="C27" i="3"/>
  <c r="G35" i="11" l="1"/>
  <c r="G39" i="11" s="1"/>
  <c r="C39" i="11"/>
  <c r="D56" i="3"/>
  <c r="K35" i="11" l="1"/>
  <c r="K39" i="11" s="1"/>
  <c r="L35" i="11"/>
  <c r="L39" i="11" s="1"/>
  <c r="F35" i="11"/>
  <c r="F39" i="11" s="1"/>
  <c r="N35" i="11"/>
  <c r="N39" i="11" s="1"/>
  <c r="D35" i="11"/>
  <c r="D39" i="11" s="1"/>
  <c r="J35" i="11"/>
  <c r="J39" i="11" s="1"/>
  <c r="I35" i="11"/>
  <c r="I39" i="11" s="1"/>
  <c r="E35" i="11"/>
  <c r="E39" i="11" s="1"/>
  <c r="H35" i="11"/>
  <c r="H39" i="11" s="1"/>
  <c r="M35" i="11"/>
  <c r="M39" i="11" s="1"/>
  <c r="C29" i="3"/>
  <c r="O39" i="11" l="1"/>
  <c r="O35" i="11"/>
  <c r="D29" i="3"/>
  <c r="C30" i="3"/>
  <c r="D28" i="5" l="1"/>
  <c r="C28" i="5" s="1"/>
  <c r="D25" i="6"/>
  <c r="B39" i="6" s="1"/>
  <c r="B119" i="6"/>
  <c r="D29" i="5" l="1"/>
  <c r="C29" i="5" s="1"/>
  <c r="B43" i="6"/>
  <c r="D29" i="6"/>
  <c r="B116" i="6" s="1"/>
  <c r="B120" i="6" l="1"/>
  <c r="B121" i="6" s="1"/>
  <c r="B122" i="6" s="1"/>
  <c r="B15" i="6" s="1"/>
  <c r="B45" i="6"/>
  <c r="B11" i="6" s="1"/>
  <c r="G11" i="4"/>
  <c r="E10" i="4" l="1"/>
  <c r="D15" i="6"/>
  <c r="E8" i="4"/>
  <c r="B18" i="6"/>
  <c r="D11" i="6"/>
  <c r="F10" i="4" l="1"/>
  <c r="G10" i="4"/>
  <c r="E15" i="4"/>
  <c r="G8" i="4"/>
  <c r="F8" i="4"/>
  <c r="F15" i="4" s="1"/>
  <c r="G15" i="4" l="1"/>
  <c r="M7" i="2" l="1"/>
  <c r="L7" i="4" s="1"/>
  <c r="F9" i="5"/>
  <c r="F17" i="5" s="1"/>
  <c r="M15" i="2"/>
  <c r="C12" i="6" l="1"/>
  <c r="C21" i="8"/>
  <c r="C19" i="8" s="1"/>
  <c r="D12" i="6"/>
  <c r="C18" i="6"/>
  <c r="D18" i="6" s="1"/>
  <c r="M16" i="2"/>
  <c r="N16" i="2"/>
  <c r="C22" i="8"/>
  <c r="C24" i="8" s="1"/>
  <c r="C25" i="8"/>
  <c r="E9" i="5"/>
  <c r="F20" i="5"/>
  <c r="E19" i="5"/>
  <c r="E10" i="5"/>
  <c r="E12" i="5"/>
  <c r="E17" i="5"/>
  <c r="E15" i="5"/>
  <c r="E14" i="5"/>
  <c r="E11" i="5"/>
  <c r="E18" i="5"/>
  <c r="E16" i="5"/>
  <c r="E13" i="5"/>
  <c r="M7" i="4"/>
  <c r="L15" i="4"/>
  <c r="H16" i="4" s="1"/>
  <c r="E23" i="5" l="1"/>
  <c r="F24" i="5"/>
  <c r="E20" i="5"/>
  <c r="E28" i="5"/>
  <c r="E26" i="5"/>
  <c r="E22" i="5"/>
  <c r="N7" i="4"/>
  <c r="N15" i="4" s="1"/>
  <c r="M15" i="4"/>
  <c r="E24" i="5" l="1"/>
  <c r="F29" i="5"/>
  <c r="E29" i="5" s="1"/>
</calcChain>
</file>

<file path=xl/sharedStrings.xml><?xml version="1.0" encoding="utf-8"?>
<sst xmlns="http://schemas.openxmlformats.org/spreadsheetml/2006/main" count="532" uniqueCount="272">
  <si>
    <t>Income Budget based on Activities</t>
  </si>
  <si>
    <t>Income Budget based on Growth</t>
  </si>
  <si>
    <t>Income Budget based on Allocation</t>
  </si>
  <si>
    <t>Activity</t>
  </si>
  <si>
    <t>Custom Development</t>
  </si>
  <si>
    <t>Products</t>
  </si>
  <si>
    <t>Support Contracts</t>
  </si>
  <si>
    <t>Websites</t>
  </si>
  <si>
    <t>Hosting</t>
  </si>
  <si>
    <t>Total</t>
  </si>
  <si>
    <t>VAT Rate</t>
  </si>
  <si>
    <t>Development Month Pricing</t>
  </si>
  <si>
    <t>Average Product Price</t>
  </si>
  <si>
    <t>Support Retainer Sales</t>
  </si>
  <si>
    <t>Value</t>
  </si>
  <si>
    <t>Smart Furniture</t>
  </si>
  <si>
    <t>Custom Development Sales</t>
  </si>
  <si>
    <t># of Products Sold</t>
  </si>
  <si>
    <t>Products Sales</t>
  </si>
  <si>
    <t>Support Retainer Contracts</t>
  </si>
  <si>
    <t>Total Retainer Contracts</t>
  </si>
  <si>
    <t>Total Retainer Contracts Sales</t>
  </si>
  <si>
    <t>Websites Sales</t>
  </si>
  <si>
    <t>Hosting Sales</t>
  </si>
  <si>
    <t>1. Support Contracts</t>
  </si>
  <si>
    <t>Cheers</t>
  </si>
  <si>
    <t>2. Custom Development</t>
  </si>
  <si>
    <t>Alfa Electronics</t>
  </si>
  <si>
    <t>Support Retainer Pricing</t>
  </si>
  <si>
    <t>Custom Development Pricing</t>
  </si>
  <si>
    <t>Custom Development Contracts</t>
  </si>
  <si>
    <t>3. Products</t>
  </si>
  <si>
    <t>4. Websites</t>
  </si>
  <si>
    <t>Websites Contracts</t>
  </si>
  <si>
    <t>Custom Websites</t>
  </si>
  <si>
    <t>Readymade Websites</t>
  </si>
  <si>
    <t>5. Hosting</t>
  </si>
  <si>
    <t>Hosting Contracts</t>
  </si>
  <si>
    <t>0. Summary</t>
  </si>
  <si>
    <t>Growth</t>
  </si>
  <si>
    <t>Growth Method</t>
  </si>
  <si>
    <t>Activity Method</t>
  </si>
  <si>
    <t>%</t>
  </si>
  <si>
    <t>Improvement Factors</t>
  </si>
  <si>
    <t>Headcount</t>
  </si>
  <si>
    <t>Training</t>
  </si>
  <si>
    <t>Revenue</t>
  </si>
  <si>
    <t>Pricing</t>
  </si>
  <si>
    <t>Average Contract</t>
  </si>
  <si>
    <t>Process</t>
  </si>
  <si>
    <t>Cost of Sales</t>
  </si>
  <si>
    <t>Allocation</t>
  </si>
  <si>
    <t>Salaries</t>
  </si>
  <si>
    <t>OpEx</t>
  </si>
  <si>
    <t>Taxes</t>
  </si>
  <si>
    <t>Earnings</t>
  </si>
  <si>
    <t>Revenue per Head</t>
  </si>
  <si>
    <t>Earnings per Head</t>
  </si>
  <si>
    <t>% Improvement</t>
  </si>
  <si>
    <t>Revenue per head</t>
  </si>
  <si>
    <t>Income Budget Results</t>
  </si>
  <si>
    <t>Financial Numbers in EGP</t>
  </si>
  <si>
    <t>Item</t>
  </si>
  <si>
    <t>Average</t>
  </si>
  <si>
    <t>Final</t>
  </si>
  <si>
    <t>P&amp;L Budget</t>
  </si>
  <si>
    <t>Total Sales</t>
  </si>
  <si>
    <t>Other Direct Expenses</t>
  </si>
  <si>
    <t>Sales Commissions</t>
  </si>
  <si>
    <t>Percent</t>
  </si>
  <si>
    <t>Gross Profit</t>
  </si>
  <si>
    <t>Contribution</t>
  </si>
  <si>
    <t>G&amp;A Salaries</t>
  </si>
  <si>
    <t>Profit</t>
  </si>
  <si>
    <t>P&amp;L</t>
  </si>
  <si>
    <t>Aura Systems - Software Department</t>
  </si>
  <si>
    <t>VAT</t>
  </si>
  <si>
    <t>Mobile</t>
  </si>
  <si>
    <t>Collection</t>
  </si>
  <si>
    <t>Collection Method</t>
  </si>
  <si>
    <t>Beginning Balance</t>
  </si>
  <si>
    <t>End Balance</t>
  </si>
  <si>
    <t>Average Collection per Month</t>
  </si>
  <si>
    <t>Collection Months</t>
  </si>
  <si>
    <t>Coll</t>
  </si>
  <si>
    <t>Collection per month</t>
  </si>
  <si>
    <t>Average Contract per month</t>
  </si>
  <si>
    <t>Increase</t>
  </si>
  <si>
    <t>Av/Month</t>
  </si>
  <si>
    <t>Aura Systems</t>
  </si>
  <si>
    <t>Salaries Forecast</t>
  </si>
  <si>
    <t>Financial Numbers in 000s of EGP</t>
  </si>
  <si>
    <t>Assumpltions</t>
  </si>
  <si>
    <t>Variable</t>
  </si>
  <si>
    <t>Social Insurance</t>
  </si>
  <si>
    <t>2019 Headcount</t>
  </si>
  <si>
    <t>Untaxable income</t>
  </si>
  <si>
    <t>E3fa2</t>
  </si>
  <si>
    <t>Health Insurance per Employee per month</t>
  </si>
  <si>
    <t>Salaries Estimates</t>
  </si>
  <si>
    <t>Role</t>
  </si>
  <si>
    <t>Employee</t>
  </si>
  <si>
    <t>Hourly</t>
  </si>
  <si>
    <t>Rep</t>
  </si>
  <si>
    <t>Y Increase</t>
  </si>
  <si>
    <t>G&amp;A</t>
  </si>
  <si>
    <t>Admin Assistant</t>
  </si>
  <si>
    <t>Financial Manager</t>
  </si>
  <si>
    <t>Fadi</t>
  </si>
  <si>
    <t>General Manager</t>
  </si>
  <si>
    <t>Samer</t>
  </si>
  <si>
    <t>Sr. Sales</t>
  </si>
  <si>
    <t>TBH</t>
  </si>
  <si>
    <t>Jr. Sales</t>
  </si>
  <si>
    <t>Accountant</t>
  </si>
  <si>
    <t>Office Boy</t>
  </si>
  <si>
    <t xml:space="preserve">Ibrahim </t>
  </si>
  <si>
    <t>Engineering Manager</t>
  </si>
  <si>
    <t>Project Manager</t>
  </si>
  <si>
    <t>Backend Developer 1</t>
  </si>
  <si>
    <t>Hazem</t>
  </si>
  <si>
    <t>Backend Developer 2</t>
  </si>
  <si>
    <t>Backend Developer 3</t>
  </si>
  <si>
    <t>Backend Developer 4</t>
  </si>
  <si>
    <t>Shady</t>
  </si>
  <si>
    <t>Backend Developer 5</t>
  </si>
  <si>
    <t>Tester</t>
  </si>
  <si>
    <t>Websites Department</t>
  </si>
  <si>
    <t>Frontend Designer</t>
  </si>
  <si>
    <t>Frontend Developer 1</t>
  </si>
  <si>
    <t>Frontend Developer 2</t>
  </si>
  <si>
    <t>Mohamed</t>
  </si>
  <si>
    <t>Frontend Developer 3</t>
  </si>
  <si>
    <t>Headcount Forecast</t>
  </si>
  <si>
    <t>G&amp;A Headcount</t>
  </si>
  <si>
    <t>Software Department Headcount</t>
  </si>
  <si>
    <t>Websites Department Headcount</t>
  </si>
  <si>
    <t>Total Headcount</t>
  </si>
  <si>
    <t>Inflation Coefficient</t>
  </si>
  <si>
    <t>Software Department Salaries</t>
  </si>
  <si>
    <t>Websites Department Salaries</t>
  </si>
  <si>
    <t>Total Salaries</t>
  </si>
  <si>
    <t>Monthly</t>
  </si>
  <si>
    <t>Mobile Manager</t>
  </si>
  <si>
    <t>Mobile Development</t>
  </si>
  <si>
    <t>iScore SME</t>
  </si>
  <si>
    <t>iScore ECR</t>
  </si>
  <si>
    <t>I Make This</t>
  </si>
  <si>
    <t>Project 2</t>
  </si>
  <si>
    <t>Project 1</t>
  </si>
  <si>
    <t>Project 3</t>
  </si>
  <si>
    <t>Mobile Development Pricing</t>
  </si>
  <si>
    <t>Mobile Development Contracts</t>
  </si>
  <si>
    <t>Mobile Development Sales</t>
  </si>
  <si>
    <t>Mobile Developmet</t>
  </si>
  <si>
    <t>2021 Average Websites Sold per month</t>
  </si>
  <si>
    <t>2021 Average Website Pricing</t>
  </si>
  <si>
    <t>2022 Average Custom Websites Sold per month</t>
  </si>
  <si>
    <t>2022 Average Custom Website Pricing</t>
  </si>
  <si>
    <t>2022 Average Readymade Website Pricing</t>
  </si>
  <si>
    <t>Monthly Price</t>
  </si>
  <si>
    <t>Design</t>
  </si>
  <si>
    <t>Hour Price</t>
  </si>
  <si>
    <t>Capacity</t>
  </si>
  <si>
    <t>Income Budget based on Capacity</t>
  </si>
  <si>
    <t>Head Count</t>
  </si>
  <si>
    <t>OPEX (Other) Forecast</t>
  </si>
  <si>
    <t>Inflation</t>
  </si>
  <si>
    <t>OPEX Estimates</t>
  </si>
  <si>
    <t>Opex item</t>
  </si>
  <si>
    <t>Cost/Month</t>
  </si>
  <si>
    <t>OPEX  Forecast</t>
  </si>
  <si>
    <t>OPEX Expense</t>
  </si>
  <si>
    <t>Cost Increase Coefficient</t>
  </si>
  <si>
    <t>Total Other OPEX</t>
  </si>
  <si>
    <t>CapEx Forecast</t>
  </si>
  <si>
    <t>CapEx Estimates</t>
  </si>
  <si>
    <t>CapEx item</t>
  </si>
  <si>
    <t>Cost</t>
  </si>
  <si>
    <t>CapEx  Forecast</t>
  </si>
  <si>
    <t>Total CapEx</t>
  </si>
  <si>
    <t>Taxes Forecast</t>
  </si>
  <si>
    <t>Taxes Estimates</t>
  </si>
  <si>
    <t>Taxes  Forecast</t>
  </si>
  <si>
    <t>Taxes Expense</t>
  </si>
  <si>
    <t>Nermeen</t>
  </si>
  <si>
    <t>Mariam</t>
  </si>
  <si>
    <t>Mostafa</t>
  </si>
  <si>
    <t>Mina</t>
  </si>
  <si>
    <t>SI</t>
  </si>
  <si>
    <t>Mobile Developer 1</t>
  </si>
  <si>
    <t>Mobile Developer 2</t>
  </si>
  <si>
    <t>Project 4</t>
  </si>
  <si>
    <t>Laptop</t>
  </si>
  <si>
    <t>SSD</t>
  </si>
  <si>
    <t>Nnetwork Booster</t>
  </si>
  <si>
    <t>Move</t>
  </si>
  <si>
    <t>Column1</t>
  </si>
  <si>
    <t>Nathalie</t>
  </si>
  <si>
    <t>2022</t>
  </si>
  <si>
    <t>Technical Lead</t>
  </si>
  <si>
    <t>EEP Hayah</t>
  </si>
  <si>
    <t>Spoon</t>
  </si>
  <si>
    <t>VIPFirst</t>
  </si>
  <si>
    <t>Project 5</t>
  </si>
  <si>
    <t>Esraa</t>
  </si>
  <si>
    <t>Project 6</t>
  </si>
  <si>
    <t>2024</t>
  </si>
  <si>
    <t>.NET</t>
  </si>
  <si>
    <t>.Net</t>
  </si>
  <si>
    <t>Sr. Software Developer</t>
  </si>
  <si>
    <t>Jr. Software Developer</t>
  </si>
  <si>
    <t>Najah</t>
  </si>
  <si>
    <t xml:space="preserve">.Net </t>
  </si>
  <si>
    <t>.Net Department Headcount</t>
  </si>
  <si>
    <t>Custom Department</t>
  </si>
  <si>
    <t>.NET Department Salaries</t>
  </si>
  <si>
    <t>Support 2023</t>
  </si>
  <si>
    <t>Jan2024 Balance</t>
  </si>
  <si>
    <t>Collection Months 2024</t>
  </si>
  <si>
    <t>Support 2024</t>
  </si>
  <si>
    <t>2023</t>
  </si>
  <si>
    <t>Pricing Structure</t>
  </si>
  <si>
    <t>Collection Adj</t>
  </si>
  <si>
    <t>Monthly +%</t>
  </si>
  <si>
    <t>Extrapolation</t>
  </si>
  <si>
    <t>Business Analyst/Documentation</t>
  </si>
  <si>
    <t>Avg billable hours per Emp</t>
  </si>
  <si>
    <t>Billable Hours per Month/Emp</t>
  </si>
  <si>
    <t>Total Worked Hours</t>
  </si>
  <si>
    <t>Billable/total</t>
  </si>
  <si>
    <t>Improvement Needed 2024</t>
  </si>
  <si>
    <t>Hours/Mth</t>
  </si>
  <si>
    <t>PHP</t>
  </si>
  <si>
    <t>2025</t>
  </si>
  <si>
    <t>USD$</t>
  </si>
  <si>
    <t>%2</t>
  </si>
  <si>
    <t>CapEx</t>
  </si>
  <si>
    <t>Employees</t>
  </si>
  <si>
    <t>2025 Monthly Salaries</t>
  </si>
  <si>
    <t>2025 Headcount</t>
  </si>
  <si>
    <t>2025 Average Salary</t>
  </si>
  <si>
    <t>2026</t>
  </si>
  <si>
    <t>%3</t>
  </si>
  <si>
    <t>Jan2026 Balance</t>
  </si>
  <si>
    <t>Collection Months 2026</t>
  </si>
  <si>
    <t>Products 2025</t>
  </si>
  <si>
    <t>Products 2026</t>
  </si>
  <si>
    <t>Hosting 2025</t>
  </si>
  <si>
    <t>Hosting 2026</t>
  </si>
  <si>
    <t>Websites 2025</t>
  </si>
  <si>
    <t>Websites 2026</t>
  </si>
  <si>
    <t>Mobile Software 2026</t>
  </si>
  <si>
    <t>Mobile Software 2025</t>
  </si>
  <si>
    <t>Design 2025</t>
  </si>
  <si>
    <t>Design  2026</t>
  </si>
  <si>
    <t>2025 Monthly Payroll Tax</t>
  </si>
  <si>
    <t>2025 Payroll Tax per employee</t>
  </si>
  <si>
    <t>2026 Monthly Salaries</t>
  </si>
  <si>
    <t>2026 Headcount</t>
  </si>
  <si>
    <t>2026 Average Salary</t>
  </si>
  <si>
    <t>2026 Salaries Increase</t>
  </si>
  <si>
    <t xml:space="preserve"> </t>
  </si>
  <si>
    <t>Product</t>
  </si>
  <si>
    <t>2025 Net</t>
  </si>
  <si>
    <t>Eslam</t>
  </si>
  <si>
    <t>Reem</t>
  </si>
  <si>
    <t>Anton</t>
  </si>
  <si>
    <t>Monad</t>
  </si>
  <si>
    <t>kirolos</t>
  </si>
  <si>
    <t>collection &amp; expected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</si>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</sst>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-* #,##0_-;\-* #,##0_-;_-* &quot;-&quot;??_-;_-@_-"/>
    <numFmt numFmtId="167" formatCode="0.0%"/>
    <numFmt numFmtId="168" formatCode="0.0"/>
    <numFmt numFmtId="169" formatCode="_(* #,##0.0_);_(* \(#,##0.0\);_(* &quot;-&quot;?_);_(@_)"/>
    <numFmt numFmtId="170" formatCode="_(* #,##0.0_);_(* \(#,##0.0\);_(* &quot;-&quot;??_);_(@_)"/>
  </numFmts>
  <fonts count="4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entury Gothic"/>
      <family val="2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b/>
      <sz val="12"/>
      <color theme="1"/>
      <name val="Century Gothic"/>
      <family val="1"/>
    </font>
    <font>
      <sz val="12"/>
      <color theme="1"/>
      <name val="Century Gothic"/>
      <family val="1"/>
    </font>
    <font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name val="Century Gothic"/>
      <family val="2"/>
    </font>
    <font>
      <b/>
      <sz val="12"/>
      <color theme="5" tint="-0.249977111117893"/>
      <name val="Century Gothic"/>
      <family val="2"/>
    </font>
    <font>
      <b/>
      <sz val="12"/>
      <color rgb="FFFF0000"/>
      <name val="Century Gothic"/>
      <family val="1"/>
    </font>
    <font>
      <b/>
      <i/>
      <sz val="12"/>
      <name val="Century Gothic"/>
      <family val="1"/>
    </font>
    <font>
      <b/>
      <sz val="12"/>
      <name val="Century Gothic"/>
      <family val="1"/>
    </font>
    <font>
      <sz val="12"/>
      <name val="Century Gothic"/>
      <family val="1"/>
    </font>
    <font>
      <sz val="12"/>
      <name val="Century Gothic"/>
      <family val="2"/>
    </font>
    <font>
      <b/>
      <sz val="12"/>
      <name val="Calibri"/>
      <family val="2"/>
      <scheme val="minor"/>
    </font>
    <font>
      <b/>
      <sz val="12"/>
      <color rgb="FF3366FF"/>
      <name val="Century Gothic"/>
      <family val="2"/>
    </font>
    <font>
      <sz val="12"/>
      <color theme="5"/>
      <name val="Century Gothic"/>
      <family val="2"/>
    </font>
    <font>
      <sz val="12"/>
      <color rgb="FFFF0000"/>
      <name val="Century Gothic"/>
      <family val="1"/>
    </font>
    <font>
      <sz val="12"/>
      <color rgb="FFFF0000"/>
      <name val="Calibri"/>
      <family val="2"/>
      <scheme val="minor"/>
    </font>
    <font>
      <b/>
      <sz val="12"/>
      <color rgb="FF000000"/>
      <name val="Century Gothic"/>
      <family val="2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000000"/>
      <name val="Century Gothic"/>
      <family val="2"/>
    </font>
    <font>
      <b/>
      <sz val="12"/>
      <color rgb="FF963634"/>
      <name val="Century Gothic"/>
      <family val="2"/>
    </font>
    <font>
      <sz val="12"/>
      <color theme="0" tint="-0.34998626667073579"/>
      <name val="Century Gothic"/>
      <family val="1"/>
    </font>
    <font>
      <b/>
      <sz val="12"/>
      <color theme="0" tint="-0.34998626667073579"/>
      <name val="Century Gothic"/>
      <family val="1"/>
    </font>
    <font>
      <sz val="12"/>
      <color theme="0" tint="-0.34998626667073579"/>
      <name val="Century Gothic"/>
      <family val="2"/>
    </font>
    <font>
      <sz val="12"/>
      <color theme="0" tint="-0.34998626667073579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 tint="-0.34998626667073579"/>
      <name val="Calibri"/>
      <family val="2"/>
      <scheme val="minor"/>
    </font>
    <font>
      <b/>
      <sz val="12"/>
      <color rgb="FF00B050"/>
      <name val="Century Gothic"/>
      <family val="2"/>
    </font>
    <font>
      <sz val="12"/>
      <color rgb="FF00B05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4"/>
      <color rgb="FF00B050"/>
      <name val="Century Gothic"/>
      <family val="2"/>
    </font>
    <font>
      <sz val="12"/>
      <color rgb="FF00B050"/>
      <name val="Century Gothic"/>
      <family val="2"/>
    </font>
    <font>
      <sz val="8"/>
      <color theme="1"/>
      <name val="Century Gothic"/>
      <family val="2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FCD5B4"/>
        <bgColor rgb="FFFCD5B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 style="double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/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medium">
        <color indexed="64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indexed="64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/>
      <top style="medium">
        <color indexed="64"/>
      </top>
      <bottom style="thin">
        <color rgb="FF7F7F7F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10" borderId="0" applyNumberFormat="0" applyBorder="0" applyAlignment="0" applyProtection="0"/>
    <xf numFmtId="0" fontId="25" fillId="11" borderId="0" applyNumberFormat="0" applyBorder="0" applyAlignment="0" applyProtection="0"/>
    <xf numFmtId="0" fontId="1" fillId="12" borderId="0" applyNumberFormat="0" applyBorder="0" applyAlignment="0" applyProtection="0"/>
  </cellStyleXfs>
  <cellXfs count="433">
    <xf numFmtId="0" fontId="0" fillId="0" borderId="0" xfId="0"/>
    <xf numFmtId="0" fontId="3" fillId="0" borderId="0" xfId="0" applyFont="1"/>
    <xf numFmtId="0" fontId="4" fillId="0" borderId="0" xfId="0" applyFont="1"/>
    <xf numFmtId="165" fontId="0" fillId="0" borderId="0" xfId="1" applyNumberFormat="1" applyFont="1" applyBorder="1"/>
    <xf numFmtId="0" fontId="6" fillId="0" borderId="6" xfId="0" applyFont="1" applyBorder="1"/>
    <xf numFmtId="0" fontId="6" fillId="0" borderId="7" xfId="0" applyFont="1" applyBorder="1"/>
    <xf numFmtId="0" fontId="4" fillId="0" borderId="1" xfId="0" applyFont="1" applyBorder="1"/>
    <xf numFmtId="165" fontId="0" fillId="0" borderId="2" xfId="1" applyNumberFormat="1" applyFont="1" applyBorder="1"/>
    <xf numFmtId="0" fontId="4" fillId="0" borderId="3" xfId="0" applyFont="1" applyBorder="1"/>
    <xf numFmtId="165" fontId="0" fillId="0" borderId="8" xfId="0" applyNumberFormat="1" applyBorder="1"/>
    <xf numFmtId="165" fontId="0" fillId="0" borderId="4" xfId="0" applyNumberFormat="1" applyBorder="1"/>
    <xf numFmtId="165" fontId="0" fillId="0" borderId="0" xfId="0" applyNumberFormat="1"/>
    <xf numFmtId="165" fontId="1" fillId="0" borderId="2" xfId="1" applyNumberFormat="1" applyFont="1" applyBorder="1"/>
    <xf numFmtId="0" fontId="5" fillId="0" borderId="9" xfId="0" applyFont="1" applyBorder="1"/>
    <xf numFmtId="165" fontId="2" fillId="0" borderId="10" xfId="0" applyNumberFormat="1" applyFont="1" applyBorder="1"/>
    <xf numFmtId="165" fontId="2" fillId="0" borderId="11" xfId="0" applyNumberFormat="1" applyFont="1" applyBorder="1"/>
    <xf numFmtId="0" fontId="6" fillId="0" borderId="5" xfId="0" applyFont="1" applyBorder="1"/>
    <xf numFmtId="9" fontId="4" fillId="0" borderId="0" xfId="0" applyNumberFormat="1" applyFont="1"/>
    <xf numFmtId="0" fontId="5" fillId="2" borderId="18" xfId="0" applyFont="1" applyFill="1" applyBorder="1"/>
    <xf numFmtId="0" fontId="4" fillId="2" borderId="19" xfId="0" applyFont="1" applyFill="1" applyBorder="1"/>
    <xf numFmtId="0" fontId="5" fillId="0" borderId="20" xfId="0" applyFont="1" applyBorder="1"/>
    <xf numFmtId="15" fontId="5" fillId="0" borderId="21" xfId="0" applyNumberFormat="1" applyFont="1" applyBorder="1" applyAlignment="1">
      <alignment horizontal="center"/>
    </xf>
    <xf numFmtId="0" fontId="2" fillId="0" borderId="22" xfId="0" applyFont="1" applyBorder="1" applyAlignment="1">
      <alignment horizontal="left"/>
    </xf>
    <xf numFmtId="43" fontId="1" fillId="0" borderId="23" xfId="1" applyFont="1" applyBorder="1"/>
    <xf numFmtId="0" fontId="2" fillId="0" borderId="1" xfId="0" applyFont="1" applyBorder="1" applyAlignment="1">
      <alignment horizontal="left"/>
    </xf>
    <xf numFmtId="43" fontId="0" fillId="0" borderId="2" xfId="1" applyFont="1" applyBorder="1"/>
    <xf numFmtId="0" fontId="2" fillId="0" borderId="3" xfId="0" applyFont="1" applyBorder="1" applyAlignment="1">
      <alignment horizontal="left"/>
    </xf>
    <xf numFmtId="43" fontId="0" fillId="0" borderId="4" xfId="1" applyFont="1" applyBorder="1"/>
    <xf numFmtId="0" fontId="2" fillId="0" borderId="0" xfId="0" applyFont="1" applyAlignment="1">
      <alignment horizontal="left"/>
    </xf>
    <xf numFmtId="0" fontId="4" fillId="2" borderId="24" xfId="0" applyFont="1" applyFill="1" applyBorder="1"/>
    <xf numFmtId="0" fontId="4" fillId="2" borderId="7" xfId="0" applyFont="1" applyFill="1" applyBorder="1"/>
    <xf numFmtId="15" fontId="5" fillId="0" borderId="25" xfId="0" applyNumberFormat="1" applyFont="1" applyBorder="1" applyAlignment="1">
      <alignment horizontal="center"/>
    </xf>
    <xf numFmtId="0" fontId="6" fillId="0" borderId="26" xfId="0" applyFont="1" applyBorder="1"/>
    <xf numFmtId="0" fontId="0" fillId="0" borderId="14" xfId="0" applyBorder="1"/>
    <xf numFmtId="0" fontId="0" fillId="0" borderId="0" xfId="0" applyAlignment="1">
      <alignment horizontal="left"/>
    </xf>
    <xf numFmtId="43" fontId="0" fillId="0" borderId="0" xfId="1" applyFont="1"/>
    <xf numFmtId="43" fontId="0" fillId="0" borderId="14" xfId="1" applyFont="1" applyBorder="1"/>
    <xf numFmtId="0" fontId="2" fillId="3" borderId="27" xfId="0" applyFont="1" applyFill="1" applyBorder="1" applyAlignment="1">
      <alignment horizontal="left"/>
    </xf>
    <xf numFmtId="43" fontId="2" fillId="3" borderId="28" xfId="1" applyFont="1" applyFill="1" applyBorder="1"/>
    <xf numFmtId="164" fontId="2" fillId="3" borderId="29" xfId="0" applyNumberFormat="1" applyFont="1" applyFill="1" applyBorder="1"/>
    <xf numFmtId="0" fontId="0" fillId="0" borderId="0" xfId="0" applyAlignment="1">
      <alignment horizontal="left" indent="1"/>
    </xf>
    <xf numFmtId="0" fontId="2" fillId="0" borderId="0" xfId="0" applyFont="1"/>
    <xf numFmtId="43" fontId="2" fillId="0" borderId="0" xfId="0" applyNumberFormat="1" applyFont="1"/>
    <xf numFmtId="164" fontId="0" fillId="0" borderId="14" xfId="0" applyNumberFormat="1" applyBorder="1"/>
    <xf numFmtId="0" fontId="0" fillId="0" borderId="30" xfId="0" applyBorder="1"/>
    <xf numFmtId="43" fontId="0" fillId="0" borderId="30" xfId="0" applyNumberFormat="1" applyBorder="1"/>
    <xf numFmtId="43" fontId="2" fillId="0" borderId="16" xfId="0" applyNumberFormat="1" applyFont="1" applyBorder="1"/>
    <xf numFmtId="43" fontId="2" fillId="0" borderId="0" xfId="1" applyFont="1"/>
    <xf numFmtId="0" fontId="0" fillId="0" borderId="31" xfId="0" applyBorder="1" applyAlignment="1">
      <alignment horizontal="left"/>
    </xf>
    <xf numFmtId="43" fontId="1" fillId="0" borderId="31" xfId="1" applyFont="1" applyBorder="1"/>
    <xf numFmtId="43" fontId="2" fillId="0" borderId="31" xfId="1" applyFont="1" applyBorder="1"/>
    <xf numFmtId="43" fontId="2" fillId="0" borderId="12" xfId="1" applyFont="1" applyBorder="1"/>
    <xf numFmtId="43" fontId="1" fillId="0" borderId="0" xfId="1" applyFont="1" applyBorder="1"/>
    <xf numFmtId="43" fontId="0" fillId="0" borderId="0" xfId="1" applyFont="1" applyBorder="1"/>
    <xf numFmtId="43" fontId="0" fillId="0" borderId="30" xfId="1" applyFont="1" applyBorder="1"/>
    <xf numFmtId="43" fontId="0" fillId="0" borderId="16" xfId="1" applyFont="1" applyBorder="1"/>
    <xf numFmtId="43" fontId="1" fillId="0" borderId="0" xfId="1" applyFont="1"/>
    <xf numFmtId="0" fontId="2" fillId="3" borderId="27" xfId="0" applyFont="1" applyFill="1" applyBorder="1"/>
    <xf numFmtId="43" fontId="2" fillId="3" borderId="29" xfId="1" applyFont="1" applyFill="1" applyBorder="1"/>
    <xf numFmtId="0" fontId="6" fillId="0" borderId="0" xfId="0" applyFont="1"/>
    <xf numFmtId="43" fontId="0" fillId="0" borderId="0" xfId="0" applyNumberFormat="1"/>
    <xf numFmtId="43" fontId="2" fillId="3" borderId="27" xfId="1" applyFont="1" applyFill="1" applyBorder="1"/>
    <xf numFmtId="165" fontId="0" fillId="0" borderId="0" xfId="1" applyNumberFormat="1" applyFont="1"/>
    <xf numFmtId="165" fontId="0" fillId="0" borderId="14" xfId="1" applyNumberFormat="1" applyFont="1" applyBorder="1"/>
    <xf numFmtId="43" fontId="2" fillId="0" borderId="14" xfId="1" applyFont="1" applyBorder="1"/>
    <xf numFmtId="0" fontId="6" fillId="0" borderId="27" xfId="0" applyFont="1" applyBorder="1"/>
    <xf numFmtId="43" fontId="4" fillId="0" borderId="32" xfId="1" applyFont="1" applyBorder="1"/>
    <xf numFmtId="43" fontId="4" fillId="0" borderId="0" xfId="1" applyFont="1" applyBorder="1"/>
    <xf numFmtId="9" fontId="6" fillId="0" borderId="32" xfId="0" applyNumberFormat="1" applyFont="1" applyBorder="1"/>
    <xf numFmtId="0" fontId="0" fillId="0" borderId="12" xfId="0" applyBorder="1"/>
    <xf numFmtId="165" fontId="0" fillId="0" borderId="15" xfId="1" applyNumberFormat="1" applyFont="1" applyBorder="1"/>
    <xf numFmtId="0" fontId="0" fillId="0" borderId="16" xfId="0" applyBorder="1"/>
    <xf numFmtId="165" fontId="0" fillId="0" borderId="17" xfId="0" applyNumberFormat="1" applyBorder="1"/>
    <xf numFmtId="0" fontId="6" fillId="0" borderId="0" xfId="0" applyFont="1" applyAlignment="1">
      <alignment horizontal="left"/>
    </xf>
    <xf numFmtId="0" fontId="5" fillId="2" borderId="18" xfId="0" applyFont="1" applyFill="1" applyBorder="1" applyAlignment="1">
      <alignment horizontal="left"/>
    </xf>
    <xf numFmtId="15" fontId="5" fillId="0" borderId="28" xfId="0" applyNumberFormat="1" applyFont="1" applyBorder="1" applyAlignment="1">
      <alignment horizontal="center"/>
    </xf>
    <xf numFmtId="166" fontId="0" fillId="0" borderId="0" xfId="1" applyNumberFormat="1" applyFont="1" applyBorder="1"/>
    <xf numFmtId="9" fontId="0" fillId="0" borderId="0" xfId="2" applyFont="1"/>
    <xf numFmtId="166" fontId="0" fillId="0" borderId="0" xfId="0" applyNumberFormat="1"/>
    <xf numFmtId="0" fontId="0" fillId="0" borderId="33" xfId="0" applyBorder="1"/>
    <xf numFmtId="0" fontId="2" fillId="0" borderId="33" xfId="0" applyFont="1" applyBorder="1"/>
    <xf numFmtId="0" fontId="7" fillId="0" borderId="0" xfId="0" applyFont="1"/>
    <xf numFmtId="9" fontId="0" fillId="0" borderId="0" xfId="0" applyNumberFormat="1"/>
    <xf numFmtId="165" fontId="2" fillId="0" borderId="0" xfId="1" applyNumberFormat="1" applyFont="1" applyBorder="1"/>
    <xf numFmtId="167" fontId="0" fillId="0" borderId="0" xfId="2" applyNumberFormat="1" applyFont="1"/>
    <xf numFmtId="0" fontId="7" fillId="0" borderId="30" xfId="0" applyFont="1" applyBorder="1"/>
    <xf numFmtId="165" fontId="0" fillId="0" borderId="30" xfId="1" applyNumberFormat="1" applyFont="1" applyBorder="1"/>
    <xf numFmtId="9" fontId="0" fillId="0" borderId="30" xfId="0" applyNumberFormat="1" applyBorder="1"/>
    <xf numFmtId="167" fontId="2" fillId="0" borderId="0" xfId="2" applyNumberFormat="1" applyFont="1"/>
    <xf numFmtId="9" fontId="0" fillId="0" borderId="30" xfId="2" applyFont="1" applyBorder="1"/>
    <xf numFmtId="0" fontId="6" fillId="0" borderId="28" xfId="0" applyFont="1" applyBorder="1"/>
    <xf numFmtId="165" fontId="2" fillId="0" borderId="28" xfId="1" applyNumberFormat="1" applyFont="1" applyBorder="1"/>
    <xf numFmtId="9" fontId="2" fillId="0" borderId="28" xfId="2" applyFont="1" applyBorder="1"/>
    <xf numFmtId="165" fontId="0" fillId="0" borderId="30" xfId="0" applyNumberFormat="1" applyBorder="1"/>
    <xf numFmtId="0" fontId="0" fillId="0" borderId="28" xfId="0" applyBorder="1"/>
    <xf numFmtId="165" fontId="2" fillId="0" borderId="0" xfId="0" applyNumberFormat="1" applyFont="1"/>
    <xf numFmtId="9" fontId="2" fillId="0" borderId="0" xfId="2" applyFont="1"/>
    <xf numFmtId="43" fontId="2" fillId="3" borderId="0" xfId="1" applyFont="1" applyFill="1" applyBorder="1"/>
    <xf numFmtId="0" fontId="2" fillId="0" borderId="30" xfId="0" applyFont="1" applyBorder="1"/>
    <xf numFmtId="0" fontId="6" fillId="0" borderId="30" xfId="0" applyFont="1" applyBorder="1"/>
    <xf numFmtId="165" fontId="2" fillId="3" borderId="28" xfId="0" applyNumberFormat="1" applyFont="1" applyFill="1" applyBorder="1"/>
    <xf numFmtId="9" fontId="2" fillId="3" borderId="28" xfId="0" applyNumberFormat="1" applyFont="1" applyFill="1" applyBorder="1"/>
    <xf numFmtId="0" fontId="6" fillId="2" borderId="0" xfId="0" applyFont="1" applyFill="1"/>
    <xf numFmtId="0" fontId="4" fillId="2" borderId="0" xfId="0" applyFont="1" applyFill="1"/>
    <xf numFmtId="165" fontId="8" fillId="0" borderId="0" xfId="1" applyNumberFormat="1" applyFont="1" applyFill="1"/>
    <xf numFmtId="166" fontId="2" fillId="0" borderId="0" xfId="0" applyNumberFormat="1" applyFont="1"/>
    <xf numFmtId="0" fontId="2" fillId="0" borderId="12" xfId="0" applyFont="1" applyBorder="1"/>
    <xf numFmtId="0" fontId="0" fillId="0" borderId="31" xfId="0" applyBorder="1"/>
    <xf numFmtId="0" fontId="0" fillId="0" borderId="13" xfId="0" applyBorder="1"/>
    <xf numFmtId="0" fontId="0" fillId="0" borderId="15" xfId="0" applyBorder="1"/>
    <xf numFmtId="168" fontId="0" fillId="0" borderId="0" xfId="0" applyNumberFormat="1"/>
    <xf numFmtId="9" fontId="0" fillId="0" borderId="0" xfId="2" applyFont="1" applyBorder="1"/>
    <xf numFmtId="167" fontId="0" fillId="0" borderId="0" xfId="0" applyNumberFormat="1"/>
    <xf numFmtId="0" fontId="0" fillId="0" borderId="17" xfId="0" applyBorder="1"/>
    <xf numFmtId="0" fontId="2" fillId="0" borderId="14" xfId="0" applyFont="1" applyBorder="1"/>
    <xf numFmtId="0" fontId="9" fillId="0" borderId="12" xfId="0" applyFont="1" applyBorder="1"/>
    <xf numFmtId="0" fontId="10" fillId="0" borderId="0" xfId="0" applyFont="1"/>
    <xf numFmtId="0" fontId="10" fillId="0" borderId="31" xfId="0" applyFont="1" applyBorder="1"/>
    <xf numFmtId="0" fontId="10" fillId="0" borderId="13" xfId="0" applyFont="1" applyBorder="1"/>
    <xf numFmtId="0" fontId="10" fillId="0" borderId="14" xfId="0" applyFont="1" applyBorder="1"/>
    <xf numFmtId="43" fontId="10" fillId="0" borderId="0" xfId="0" applyNumberFormat="1" applyFont="1"/>
    <xf numFmtId="0" fontId="10" fillId="0" borderId="15" xfId="0" applyFont="1" applyBorder="1"/>
    <xf numFmtId="168" fontId="10" fillId="0" borderId="0" xfId="0" applyNumberFormat="1" applyFont="1"/>
    <xf numFmtId="0" fontId="9" fillId="0" borderId="14" xfId="0" applyFont="1" applyBorder="1"/>
    <xf numFmtId="165" fontId="10" fillId="0" borderId="0" xfId="0" applyNumberFormat="1" applyFont="1"/>
    <xf numFmtId="0" fontId="10" fillId="0" borderId="16" xfId="0" applyFont="1" applyBorder="1"/>
    <xf numFmtId="0" fontId="10" fillId="0" borderId="30" xfId="0" applyFont="1" applyBorder="1"/>
    <xf numFmtId="167" fontId="0" fillId="0" borderId="15" xfId="0" applyNumberFormat="1" applyBorder="1"/>
    <xf numFmtId="43" fontId="4" fillId="0" borderId="0" xfId="0" applyNumberFormat="1" applyFont="1"/>
    <xf numFmtId="0" fontId="5" fillId="0" borderId="34" xfId="0" applyFont="1" applyBorder="1"/>
    <xf numFmtId="0" fontId="5" fillId="0" borderId="35" xfId="0" applyFont="1" applyBorder="1"/>
    <xf numFmtId="9" fontId="4" fillId="0" borderId="2" xfId="0" applyNumberFormat="1" applyFont="1" applyBorder="1"/>
    <xf numFmtId="43" fontId="4" fillId="0" borderId="2" xfId="1" applyFont="1" applyBorder="1"/>
    <xf numFmtId="165" fontId="4" fillId="0" borderId="2" xfId="1" applyNumberFormat="1" applyFont="1" applyBorder="1"/>
    <xf numFmtId="0" fontId="4" fillId="0" borderId="2" xfId="0" applyFont="1" applyBorder="1"/>
    <xf numFmtId="43" fontId="4" fillId="0" borderId="4" xfId="1" applyFont="1" applyBorder="1"/>
    <xf numFmtId="0" fontId="5" fillId="2" borderId="24" xfId="0" applyFont="1" applyFill="1" applyBorder="1"/>
    <xf numFmtId="0" fontId="5" fillId="0" borderId="26" xfId="0" applyFont="1" applyBorder="1"/>
    <xf numFmtId="0" fontId="5" fillId="0" borderId="21" xfId="0" applyFont="1" applyBorder="1"/>
    <xf numFmtId="0" fontId="5" fillId="5" borderId="0" xfId="0" applyFont="1" applyFill="1"/>
    <xf numFmtId="0" fontId="4" fillId="5" borderId="0" xfId="0" applyFont="1" applyFill="1"/>
    <xf numFmtId="43" fontId="12" fillId="0" borderId="0" xfId="1" applyFont="1" applyBorder="1"/>
    <xf numFmtId="43" fontId="11" fillId="0" borderId="0" xfId="1" applyFont="1" applyFill="1" applyBorder="1"/>
    <xf numFmtId="43" fontId="4" fillId="0" borderId="0" xfId="1" applyFont="1"/>
    <xf numFmtId="43" fontId="4" fillId="0" borderId="0" xfId="1" applyFont="1" applyFill="1" applyBorder="1"/>
    <xf numFmtId="0" fontId="13" fillId="0" borderId="0" xfId="0" applyFont="1" applyAlignment="1">
      <alignment horizontal="left"/>
    </xf>
    <xf numFmtId="43" fontId="12" fillId="5" borderId="0" xfId="1" applyFont="1" applyFill="1" applyBorder="1"/>
    <xf numFmtId="0" fontId="15" fillId="0" borderId="0" xfId="0" applyFont="1" applyAlignment="1">
      <alignment horizontal="left"/>
    </xf>
    <xf numFmtId="0" fontId="5" fillId="0" borderId="0" xfId="0" applyFont="1"/>
    <xf numFmtId="0" fontId="15" fillId="0" borderId="0" xfId="0" applyFont="1"/>
    <xf numFmtId="0" fontId="16" fillId="0" borderId="0" xfId="0" applyFont="1"/>
    <xf numFmtId="0" fontId="15" fillId="0" borderId="8" xfId="0" applyFont="1" applyBorder="1" applyAlignment="1">
      <alignment horizontal="left"/>
    </xf>
    <xf numFmtId="43" fontId="12" fillId="0" borderId="8" xfId="1" applyFont="1" applyBorder="1"/>
    <xf numFmtId="0" fontId="16" fillId="0" borderId="8" xfId="0" applyFont="1" applyBorder="1"/>
    <xf numFmtId="0" fontId="4" fillId="0" borderId="0" xfId="0" applyFont="1" applyAlignment="1">
      <alignment horizontal="left"/>
    </xf>
    <xf numFmtId="43" fontId="6" fillId="0" borderId="0" xfId="1" applyFont="1" applyFill="1" applyBorder="1"/>
    <xf numFmtId="0" fontId="17" fillId="5" borderId="0" xfId="0" applyFont="1" applyFill="1"/>
    <xf numFmtId="0" fontId="17" fillId="5" borderId="2" xfId="0" applyFont="1" applyFill="1" applyBorder="1"/>
    <xf numFmtId="0" fontId="17" fillId="0" borderId="0" xfId="0" applyFont="1"/>
    <xf numFmtId="43" fontId="6" fillId="6" borderId="0" xfId="1" applyFont="1" applyFill="1"/>
    <xf numFmtId="15" fontId="5" fillId="0" borderId="31" xfId="0" applyNumberFormat="1" applyFont="1" applyBorder="1" applyAlignment="1">
      <alignment horizontal="center"/>
    </xf>
    <xf numFmtId="15" fontId="5" fillId="0" borderId="23" xfId="0" applyNumberFormat="1" applyFont="1" applyBorder="1" applyAlignment="1">
      <alignment horizontal="center"/>
    </xf>
    <xf numFmtId="0" fontId="5" fillId="7" borderId="34" xfId="0" applyFont="1" applyFill="1" applyBorder="1"/>
    <xf numFmtId="2" fontId="5" fillId="7" borderId="28" xfId="0" applyNumberFormat="1" applyFont="1" applyFill="1" applyBorder="1"/>
    <xf numFmtId="2" fontId="5" fillId="7" borderId="35" xfId="0" applyNumberFormat="1" applyFont="1" applyFill="1" applyBorder="1"/>
    <xf numFmtId="0" fontId="5" fillId="0" borderId="0" xfId="0" applyFont="1" applyAlignment="1">
      <alignment horizontal="center"/>
    </xf>
    <xf numFmtId="9" fontId="4" fillId="0" borderId="0" xfId="2" applyFont="1" applyAlignment="1">
      <alignment horizontal="center"/>
    </xf>
    <xf numFmtId="164" fontId="4" fillId="0" borderId="0" xfId="2" applyNumberFormat="1" applyFont="1" applyAlignment="1">
      <alignment horizontal="center"/>
    </xf>
    <xf numFmtId="43" fontId="17" fillId="5" borderId="0" xfId="1" applyFont="1" applyFill="1" applyBorder="1"/>
    <xf numFmtId="43" fontId="17" fillId="5" borderId="2" xfId="1" applyFont="1" applyFill="1" applyBorder="1"/>
    <xf numFmtId="164" fontId="4" fillId="0" borderId="0" xfId="0" applyNumberFormat="1" applyFont="1"/>
    <xf numFmtId="43" fontId="7" fillId="0" borderId="0" xfId="0" applyNumberFormat="1" applyFont="1"/>
    <xf numFmtId="165" fontId="8" fillId="0" borderId="0" xfId="1" applyNumberFormat="1" applyFont="1" applyFill="1" applyBorder="1"/>
    <xf numFmtId="165" fontId="1" fillId="0" borderId="0" xfId="1" applyNumberFormat="1" applyFont="1" applyBorder="1"/>
    <xf numFmtId="165" fontId="18" fillId="0" borderId="0" xfId="1" applyNumberFormat="1" applyFont="1" applyFill="1" applyBorder="1"/>
    <xf numFmtId="43" fontId="0" fillId="0" borderId="13" xfId="1" applyFont="1" applyBorder="1"/>
    <xf numFmtId="43" fontId="0" fillId="0" borderId="15" xfId="1" applyFont="1" applyBorder="1"/>
    <xf numFmtId="165" fontId="0" fillId="0" borderId="38" xfId="1" applyNumberFormat="1" applyFont="1" applyBorder="1"/>
    <xf numFmtId="165" fontId="2" fillId="0" borderId="37" xfId="0" applyNumberFormat="1" applyFont="1" applyBorder="1"/>
    <xf numFmtId="9" fontId="8" fillId="0" borderId="0" xfId="0" applyNumberFormat="1" applyFont="1"/>
    <xf numFmtId="10" fontId="0" fillId="0" borderId="0" xfId="2" applyNumberFormat="1" applyFont="1"/>
    <xf numFmtId="165" fontId="0" fillId="0" borderId="0" xfId="1" applyNumberFormat="1" applyFont="1" applyFill="1"/>
    <xf numFmtId="0" fontId="4" fillId="0" borderId="9" xfId="0" applyFont="1" applyBorder="1"/>
    <xf numFmtId="9" fontId="4" fillId="0" borderId="11" xfId="0" applyNumberFormat="1" applyFont="1" applyBorder="1"/>
    <xf numFmtId="43" fontId="19" fillId="0" borderId="14" xfId="1" applyFont="1" applyBorder="1"/>
    <xf numFmtId="43" fontId="20" fillId="0" borderId="2" xfId="1" applyFont="1" applyBorder="1"/>
    <xf numFmtId="43" fontId="19" fillId="0" borderId="36" xfId="1" applyFont="1" applyBorder="1"/>
    <xf numFmtId="0" fontId="4" fillId="0" borderId="4" xfId="0" applyFont="1" applyBorder="1"/>
    <xf numFmtId="43" fontId="20" fillId="0" borderId="4" xfId="1" applyFont="1" applyBorder="1"/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43" fontId="4" fillId="0" borderId="8" xfId="1" applyFont="1" applyBorder="1"/>
    <xf numFmtId="15" fontId="5" fillId="0" borderId="35" xfId="0" applyNumberFormat="1" applyFont="1" applyBorder="1" applyAlignment="1">
      <alignment horizontal="center"/>
    </xf>
    <xf numFmtId="2" fontId="5" fillId="7" borderId="35" xfId="0" applyNumberFormat="1" applyFont="1" applyFill="1" applyBorder="1" applyAlignment="1">
      <alignment horizontal="right"/>
    </xf>
    <xf numFmtId="0" fontId="4" fillId="0" borderId="39" xfId="0" applyFont="1" applyBorder="1" applyAlignment="1">
      <alignment horizontal="left"/>
    </xf>
    <xf numFmtId="43" fontId="4" fillId="0" borderId="30" xfId="1" applyFont="1" applyBorder="1"/>
    <xf numFmtId="43" fontId="4" fillId="0" borderId="40" xfId="1" applyFont="1" applyBorder="1"/>
    <xf numFmtId="0" fontId="5" fillId="0" borderId="3" xfId="0" applyFont="1" applyBorder="1"/>
    <xf numFmtId="43" fontId="5" fillId="0" borderId="8" xfId="1" applyFont="1" applyBorder="1"/>
    <xf numFmtId="43" fontId="5" fillId="0" borderId="4" xfId="1" applyFont="1" applyBorder="1"/>
    <xf numFmtId="15" fontId="6" fillId="0" borderId="25" xfId="0" applyNumberFormat="1" applyFont="1" applyBorder="1" applyAlignment="1">
      <alignment horizontal="center"/>
    </xf>
    <xf numFmtId="0" fontId="5" fillId="0" borderId="41" xfId="0" applyFont="1" applyBorder="1"/>
    <xf numFmtId="43" fontId="5" fillId="0" borderId="42" xfId="1" applyFont="1" applyBorder="1" applyAlignment="1">
      <alignment horizontal="center"/>
    </xf>
    <xf numFmtId="43" fontId="5" fillId="0" borderId="43" xfId="1" applyFont="1" applyBorder="1" applyAlignment="1">
      <alignment horizontal="center"/>
    </xf>
    <xf numFmtId="1" fontId="4" fillId="0" borderId="0" xfId="0" applyNumberFormat="1" applyFont="1"/>
    <xf numFmtId="168" fontId="4" fillId="0" borderId="0" xfId="0" applyNumberFormat="1" applyFont="1"/>
    <xf numFmtId="1" fontId="4" fillId="0" borderId="2" xfId="0" applyNumberFormat="1" applyFont="1" applyBorder="1"/>
    <xf numFmtId="1" fontId="4" fillId="0" borderId="8" xfId="0" applyNumberFormat="1" applyFont="1" applyBorder="1"/>
    <xf numFmtId="1" fontId="4" fillId="0" borderId="4" xfId="0" applyNumberFormat="1" applyFont="1" applyBorder="1"/>
    <xf numFmtId="0" fontId="5" fillId="0" borderId="33" xfId="0" applyFont="1" applyBorder="1"/>
    <xf numFmtId="0" fontId="5" fillId="4" borderId="33" xfId="0" applyFont="1" applyFill="1" applyBorder="1"/>
    <xf numFmtId="167" fontId="4" fillId="0" borderId="0" xfId="2" applyNumberFormat="1" applyFont="1" applyBorder="1"/>
    <xf numFmtId="167" fontId="4" fillId="0" borderId="8" xfId="2" applyNumberFormat="1" applyFont="1" applyBorder="1"/>
    <xf numFmtId="43" fontId="4" fillId="5" borderId="0" xfId="0" applyNumberFormat="1" applyFont="1" applyFill="1"/>
    <xf numFmtId="43" fontId="4" fillId="0" borderId="19" xfId="1" applyFont="1" applyBorder="1"/>
    <xf numFmtId="9" fontId="4" fillId="0" borderId="4" xfId="2" applyFont="1" applyBorder="1"/>
    <xf numFmtId="9" fontId="2" fillId="3" borderId="28" xfId="2" applyFont="1" applyFill="1" applyBorder="1"/>
    <xf numFmtId="165" fontId="0" fillId="9" borderId="0" xfId="0" applyNumberFormat="1" applyFill="1"/>
    <xf numFmtId="0" fontId="2" fillId="7" borderId="28" xfId="0" applyFont="1" applyFill="1" applyBorder="1"/>
    <xf numFmtId="0" fontId="2" fillId="7" borderId="28" xfId="0" applyFont="1" applyFill="1" applyBorder="1" applyAlignment="1">
      <alignment horizontal="left"/>
    </xf>
    <xf numFmtId="0" fontId="6" fillId="9" borderId="30" xfId="0" applyFont="1" applyFill="1" applyBorder="1"/>
    <xf numFmtId="0" fontId="6" fillId="9" borderId="0" xfId="0" applyFont="1" applyFill="1"/>
    <xf numFmtId="0" fontId="0" fillId="9" borderId="0" xfId="0" applyFill="1" applyAlignment="1">
      <alignment horizontal="left" indent="1"/>
    </xf>
    <xf numFmtId="0" fontId="0" fillId="9" borderId="30" xfId="0" applyFill="1" applyBorder="1" applyAlignment="1">
      <alignment horizontal="left" indent="1"/>
    </xf>
    <xf numFmtId="0" fontId="2" fillId="9" borderId="0" xfId="0" applyFont="1" applyFill="1"/>
    <xf numFmtId="0" fontId="2" fillId="9" borderId="0" xfId="0" applyFont="1" applyFill="1" applyAlignment="1">
      <alignment horizontal="left"/>
    </xf>
    <xf numFmtId="0" fontId="2" fillId="2" borderId="12" xfId="0" applyFont="1" applyFill="1" applyBorder="1"/>
    <xf numFmtId="0" fontId="0" fillId="2" borderId="13" xfId="0" applyFill="1" applyBorder="1"/>
    <xf numFmtId="0" fontId="2" fillId="0" borderId="17" xfId="0" applyFont="1" applyBorder="1"/>
    <xf numFmtId="167" fontId="0" fillId="0" borderId="17" xfId="0" applyNumberFormat="1" applyBorder="1"/>
    <xf numFmtId="0" fontId="2" fillId="9" borderId="16" xfId="0" applyFont="1" applyFill="1" applyBorder="1"/>
    <xf numFmtId="0" fontId="0" fillId="9" borderId="14" xfId="0" applyFill="1" applyBorder="1"/>
    <xf numFmtId="0" fontId="0" fillId="9" borderId="16" xfId="0" applyFill="1" applyBorder="1"/>
    <xf numFmtId="9" fontId="6" fillId="0" borderId="0" xfId="2" applyFont="1" applyFill="1" applyBorder="1"/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43" fontId="16" fillId="0" borderId="0" xfId="1" applyFont="1" applyFill="1" applyBorder="1"/>
    <xf numFmtId="0" fontId="5" fillId="0" borderId="44" xfId="0" applyFont="1" applyBorder="1"/>
    <xf numFmtId="43" fontId="5" fillId="0" borderId="45" xfId="1" applyFont="1" applyBorder="1"/>
    <xf numFmtId="43" fontId="5" fillId="0" borderId="46" xfId="1" applyFont="1" applyBorder="1"/>
    <xf numFmtId="43" fontId="10" fillId="0" borderId="30" xfId="0" applyNumberFormat="1" applyFont="1" applyBorder="1"/>
    <xf numFmtId="0" fontId="15" fillId="5" borderId="0" xfId="0" applyFont="1" applyFill="1"/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39" xfId="0" applyFont="1" applyBorder="1" applyAlignment="1">
      <alignment horizontal="left"/>
    </xf>
    <xf numFmtId="43" fontId="11" fillId="4" borderId="0" xfId="1" applyFont="1" applyFill="1" applyBorder="1"/>
    <xf numFmtId="43" fontId="11" fillId="5" borderId="0" xfId="1" applyFont="1" applyFill="1" applyBorder="1"/>
    <xf numFmtId="43" fontId="11" fillId="4" borderId="8" xfId="1" applyFont="1" applyFill="1" applyBorder="1"/>
    <xf numFmtId="165" fontId="0" fillId="0" borderId="13" xfId="1" applyNumberFormat="1" applyFont="1" applyBorder="1"/>
    <xf numFmtId="165" fontId="0" fillId="0" borderId="47" xfId="0" applyNumberFormat="1" applyBorder="1"/>
    <xf numFmtId="165" fontId="22" fillId="0" borderId="0" xfId="1" applyNumberFormat="1" applyFont="1"/>
    <xf numFmtId="165" fontId="22" fillId="0" borderId="0" xfId="1" applyNumberFormat="1" applyFont="1" applyFill="1"/>
    <xf numFmtId="15" fontId="23" fillId="0" borderId="25" xfId="0" applyNumberFormat="1" applyFont="1" applyBorder="1" applyAlignment="1">
      <alignment horizontal="center"/>
    </xf>
    <xf numFmtId="0" fontId="18" fillId="0" borderId="1" xfId="0" applyFont="1" applyBorder="1" applyAlignment="1">
      <alignment horizontal="left"/>
    </xf>
    <xf numFmtId="43" fontId="8" fillId="0" borderId="2" xfId="1" applyFont="1" applyBorder="1"/>
    <xf numFmtId="0" fontId="18" fillId="0" borderId="22" xfId="0" applyFont="1" applyBorder="1" applyAlignment="1">
      <alignment horizontal="left"/>
    </xf>
    <xf numFmtId="43" fontId="8" fillId="0" borderId="23" xfId="1" applyFont="1" applyBorder="1"/>
    <xf numFmtId="169" fontId="4" fillId="0" borderId="0" xfId="0" applyNumberFormat="1" applyFont="1"/>
    <xf numFmtId="169" fontId="4" fillId="0" borderId="8" xfId="0" applyNumberFormat="1" applyFont="1" applyBorder="1"/>
    <xf numFmtId="0" fontId="4" fillId="0" borderId="8" xfId="0" applyFont="1" applyBorder="1"/>
    <xf numFmtId="0" fontId="5" fillId="0" borderId="48" xfId="0" applyFont="1" applyBorder="1"/>
    <xf numFmtId="0" fontId="4" fillId="5" borderId="49" xfId="0" applyFont="1" applyFill="1" applyBorder="1"/>
    <xf numFmtId="43" fontId="11" fillId="0" borderId="49" xfId="1" applyFont="1" applyBorder="1"/>
    <xf numFmtId="43" fontId="11" fillId="5" borderId="49" xfId="1" applyFont="1" applyFill="1" applyBorder="1"/>
    <xf numFmtId="43" fontId="11" fillId="0" borderId="50" xfId="1" applyFont="1" applyBorder="1"/>
    <xf numFmtId="0" fontId="11" fillId="3" borderId="51" xfId="0" applyFont="1" applyFill="1" applyBorder="1" applyAlignment="1">
      <alignment horizontal="left" indent="1"/>
    </xf>
    <xf numFmtId="0" fontId="11" fillId="5" borderId="38" xfId="0" applyFont="1" applyFill="1" applyBorder="1"/>
    <xf numFmtId="0" fontId="17" fillId="0" borderId="38" xfId="0" applyFont="1" applyBorder="1" applyAlignment="1">
      <alignment horizontal="left" indent="1"/>
    </xf>
    <xf numFmtId="0" fontId="5" fillId="7" borderId="52" xfId="0" applyFont="1" applyFill="1" applyBorder="1"/>
    <xf numFmtId="0" fontId="5" fillId="2" borderId="53" xfId="0" applyFont="1" applyFill="1" applyBorder="1"/>
    <xf numFmtId="0" fontId="5" fillId="0" borderId="54" xfId="0" applyFont="1" applyBorder="1"/>
    <xf numFmtId="0" fontId="5" fillId="7" borderId="51" xfId="0" applyFont="1" applyFill="1" applyBorder="1"/>
    <xf numFmtId="0" fontId="5" fillId="0" borderId="55" xfId="0" applyFont="1" applyBorder="1"/>
    <xf numFmtId="0" fontId="17" fillId="0" borderId="56" xfId="0" applyFont="1" applyBorder="1" applyAlignment="1">
      <alignment horizontal="left" indent="1"/>
    </xf>
    <xf numFmtId="0" fontId="5" fillId="0" borderId="57" xfId="0" applyFont="1" applyBorder="1"/>
    <xf numFmtId="0" fontId="5" fillId="5" borderId="2" xfId="0" applyFont="1" applyFill="1" applyBorder="1"/>
    <xf numFmtId="0" fontId="4" fillId="0" borderId="2" xfId="0" applyFont="1" applyBorder="1" applyAlignment="1">
      <alignment horizontal="left" indent="1"/>
    </xf>
    <xf numFmtId="0" fontId="21" fillId="0" borderId="2" xfId="0" applyFont="1" applyBorder="1" applyAlignment="1">
      <alignment horizontal="left" indent="1"/>
    </xf>
    <xf numFmtId="0" fontId="4" fillId="0" borderId="4" xfId="0" applyFont="1" applyBorder="1" applyAlignment="1">
      <alignment horizontal="left" indent="1"/>
    </xf>
    <xf numFmtId="0" fontId="26" fillId="13" borderId="58" xfId="0" applyFont="1" applyFill="1" applyBorder="1" applyAlignment="1">
      <alignment horizontal="left" indent="1"/>
    </xf>
    <xf numFmtId="0" fontId="15" fillId="13" borderId="59" xfId="0" applyFont="1" applyFill="1" applyBorder="1"/>
    <xf numFmtId="43" fontId="11" fillId="13" borderId="60" xfId="0" applyNumberFormat="1" applyFont="1" applyFill="1" applyBorder="1"/>
    <xf numFmtId="43" fontId="27" fillId="13" borderId="59" xfId="0" applyNumberFormat="1" applyFont="1" applyFill="1" applyBorder="1"/>
    <xf numFmtId="0" fontId="26" fillId="13" borderId="59" xfId="0" applyFont="1" applyFill="1" applyBorder="1"/>
    <xf numFmtId="169" fontId="26" fillId="13" borderId="61" xfId="0" applyNumberFormat="1" applyFont="1" applyFill="1" applyBorder="1"/>
    <xf numFmtId="43" fontId="11" fillId="4" borderId="3" xfId="1" applyFont="1" applyFill="1" applyBorder="1"/>
    <xf numFmtId="43" fontId="6" fillId="0" borderId="0" xfId="1" applyFont="1" applyFill="1"/>
    <xf numFmtId="0" fontId="28" fillId="0" borderId="2" xfId="0" applyFont="1" applyBorder="1" applyAlignment="1">
      <alignment horizontal="left" indent="1"/>
    </xf>
    <xf numFmtId="0" fontId="29" fillId="0" borderId="0" xfId="0" applyFont="1" applyAlignment="1">
      <alignment horizontal="left"/>
    </xf>
    <xf numFmtId="43" fontId="29" fillId="0" borderId="49" xfId="1" applyFont="1" applyBorder="1"/>
    <xf numFmtId="43" fontId="29" fillId="4" borderId="0" xfId="1" applyFont="1" applyFill="1" applyBorder="1"/>
    <xf numFmtId="43" fontId="29" fillId="0" borderId="0" xfId="1" applyFont="1" applyBorder="1"/>
    <xf numFmtId="0" fontId="28" fillId="0" borderId="0" xfId="0" applyFont="1"/>
    <xf numFmtId="167" fontId="28" fillId="0" borderId="0" xfId="2" applyNumberFormat="1" applyFont="1" applyBorder="1"/>
    <xf numFmtId="169" fontId="28" fillId="0" borderId="0" xfId="0" applyNumberFormat="1" applyFont="1"/>
    <xf numFmtId="0" fontId="29" fillId="0" borderId="0" xfId="0" applyFont="1"/>
    <xf numFmtId="43" fontId="14" fillId="0" borderId="50" xfId="1" applyFont="1" applyBorder="1"/>
    <xf numFmtId="0" fontId="30" fillId="0" borderId="38" xfId="0" applyFont="1" applyBorder="1" applyAlignment="1">
      <alignment horizontal="left" indent="1"/>
    </xf>
    <xf numFmtId="0" fontId="30" fillId="0" borderId="0" xfId="0" applyFont="1"/>
    <xf numFmtId="0" fontId="31" fillId="0" borderId="0" xfId="0" applyFont="1"/>
    <xf numFmtId="165" fontId="0" fillId="0" borderId="0" xfId="1" applyNumberFormat="1" applyFont="1" applyFill="1" applyBorder="1"/>
    <xf numFmtId="169" fontId="0" fillId="0" borderId="0" xfId="0" applyNumberFormat="1"/>
    <xf numFmtId="165" fontId="1" fillId="0" borderId="0" xfId="1" applyNumberFormat="1" applyFont="1" applyFill="1" applyBorder="1"/>
    <xf numFmtId="15" fontId="6" fillId="0" borderId="21" xfId="0" applyNumberFormat="1" applyFont="1" applyBorder="1" applyAlignment="1">
      <alignment horizontal="center"/>
    </xf>
    <xf numFmtId="0" fontId="4" fillId="0" borderId="37" xfId="0" applyFont="1" applyBorder="1"/>
    <xf numFmtId="0" fontId="4" fillId="0" borderId="53" xfId="0" applyFont="1" applyBorder="1"/>
    <xf numFmtId="0" fontId="4" fillId="0" borderId="38" xfId="0" applyFont="1" applyBorder="1"/>
    <xf numFmtId="0" fontId="4" fillId="0" borderId="52" xfId="0" applyFont="1" applyBorder="1"/>
    <xf numFmtId="165" fontId="0" fillId="3" borderId="0" xfId="1" applyNumberFormat="1" applyFont="1" applyFill="1"/>
    <xf numFmtId="165" fontId="0" fillId="8" borderId="38" xfId="0" applyNumberFormat="1" applyFill="1" applyBorder="1"/>
    <xf numFmtId="165" fontId="2" fillId="8" borderId="37" xfId="0" applyNumberFormat="1" applyFont="1" applyFill="1" applyBorder="1"/>
    <xf numFmtId="0" fontId="0" fillId="0" borderId="1" xfId="0" applyBorder="1"/>
    <xf numFmtId="43" fontId="0" fillId="0" borderId="8" xfId="1" applyFont="1" applyBorder="1"/>
    <xf numFmtId="0" fontId="0" fillId="0" borderId="9" xfId="0" applyBorder="1"/>
    <xf numFmtId="0" fontId="2" fillId="0" borderId="10" xfId="0" applyFont="1" applyBorder="1"/>
    <xf numFmtId="0" fontId="2" fillId="0" borderId="11" xfId="0" applyFont="1" applyBorder="1"/>
    <xf numFmtId="0" fontId="2" fillId="0" borderId="1" xfId="0" applyFont="1" applyBorder="1"/>
    <xf numFmtId="9" fontId="0" fillId="0" borderId="2" xfId="2" applyFont="1" applyBorder="1"/>
    <xf numFmtId="0" fontId="2" fillId="0" borderId="3" xfId="0" applyFont="1" applyBorder="1"/>
    <xf numFmtId="43" fontId="2" fillId="0" borderId="0" xfId="1" applyFont="1" applyBorder="1"/>
    <xf numFmtId="43" fontId="2" fillId="0" borderId="2" xfId="1" applyFont="1" applyBorder="1"/>
    <xf numFmtId="43" fontId="0" fillId="0" borderId="2" xfId="0" applyNumberFormat="1" applyBorder="1"/>
    <xf numFmtId="43" fontId="0" fillId="0" borderId="8" xfId="0" applyNumberFormat="1" applyBorder="1"/>
    <xf numFmtId="43" fontId="0" fillId="0" borderId="4" xfId="0" applyNumberFormat="1" applyBorder="1"/>
    <xf numFmtId="0" fontId="0" fillId="0" borderId="3" xfId="0" applyBorder="1"/>
    <xf numFmtId="167" fontId="0" fillId="0" borderId="8" xfId="0" applyNumberFormat="1" applyBorder="1"/>
    <xf numFmtId="167" fontId="0" fillId="0" borderId="4" xfId="0" applyNumberFormat="1" applyBorder="1"/>
    <xf numFmtId="0" fontId="0" fillId="0" borderId="2" xfId="0" applyBorder="1"/>
    <xf numFmtId="165" fontId="2" fillId="0" borderId="8" xfId="0" applyNumberFormat="1" applyFont="1" applyBorder="1"/>
    <xf numFmtId="165" fontId="2" fillId="0" borderId="8" xfId="1" applyNumberFormat="1" applyFont="1" applyBorder="1"/>
    <xf numFmtId="0" fontId="0" fillId="0" borderId="38" xfId="0" applyBorder="1"/>
    <xf numFmtId="0" fontId="2" fillId="0" borderId="52" xfId="0" applyFont="1" applyBorder="1"/>
    <xf numFmtId="0" fontId="5" fillId="0" borderId="37" xfId="0" applyFont="1" applyBorder="1"/>
    <xf numFmtId="0" fontId="2" fillId="0" borderId="37" xfId="0" applyFont="1" applyBorder="1"/>
    <xf numFmtId="0" fontId="2" fillId="8" borderId="37" xfId="0" applyFont="1" applyFill="1" applyBorder="1"/>
    <xf numFmtId="165" fontId="2" fillId="0" borderId="4" xfId="0" applyNumberFormat="1" applyFont="1" applyBorder="1"/>
    <xf numFmtId="0" fontId="0" fillId="0" borderId="52" xfId="0" applyBorder="1"/>
    <xf numFmtId="165" fontId="0" fillId="0" borderId="8" xfId="1" applyNumberFormat="1" applyFont="1" applyBorder="1"/>
    <xf numFmtId="165" fontId="0" fillId="3" borderId="8" xfId="1" applyNumberFormat="1" applyFont="1" applyFill="1" applyBorder="1"/>
    <xf numFmtId="165" fontId="0" fillId="0" borderId="4" xfId="1" applyNumberFormat="1" applyFont="1" applyBorder="1"/>
    <xf numFmtId="165" fontId="0" fillId="0" borderId="52" xfId="1" applyNumberFormat="1" applyFont="1" applyBorder="1"/>
    <xf numFmtId="165" fontId="0" fillId="8" borderId="52" xfId="0" applyNumberFormat="1" applyFill="1" applyBorder="1"/>
    <xf numFmtId="9" fontId="0" fillId="0" borderId="2" xfId="2" applyFont="1" applyBorder="1" applyAlignment="1">
      <alignment horizontal="left"/>
    </xf>
    <xf numFmtId="165" fontId="1" fillId="0" borderId="1" xfId="1" applyNumberFormat="1" applyFont="1" applyFill="1" applyBorder="1"/>
    <xf numFmtId="9" fontId="1" fillId="0" borderId="2" xfId="1" applyNumberFormat="1" applyFont="1" applyFill="1" applyBorder="1"/>
    <xf numFmtId="165" fontId="1" fillId="0" borderId="1" xfId="1" applyNumberFormat="1" applyFont="1" applyBorder="1"/>
    <xf numFmtId="43" fontId="1" fillId="0" borderId="3" xfId="1" applyFont="1" applyBorder="1"/>
    <xf numFmtId="43" fontId="1" fillId="0" borderId="8" xfId="1" applyFont="1" applyBorder="1"/>
    <xf numFmtId="0" fontId="24" fillId="10" borderId="37" xfId="3" applyBorder="1" applyAlignment="1">
      <alignment horizontal="center"/>
    </xf>
    <xf numFmtId="43" fontId="11" fillId="0" borderId="49" xfId="1" applyFont="1" applyFill="1" applyBorder="1"/>
    <xf numFmtId="165" fontId="2" fillId="3" borderId="28" xfId="1" applyNumberFormat="1" applyFont="1" applyFill="1" applyBorder="1"/>
    <xf numFmtId="9" fontId="0" fillId="0" borderId="0" xfId="2" applyFont="1" applyFill="1" applyBorder="1"/>
    <xf numFmtId="0" fontId="0" fillId="0" borderId="0" xfId="2" applyNumberFormat="1" applyFont="1"/>
    <xf numFmtId="10" fontId="0" fillId="0" borderId="0" xfId="0" applyNumberFormat="1"/>
    <xf numFmtId="165" fontId="0" fillId="0" borderId="8" xfId="1" applyNumberFormat="1" applyFont="1" applyFill="1" applyBorder="1"/>
    <xf numFmtId="165" fontId="17" fillId="0" borderId="0" xfId="1" applyNumberFormat="1" applyFont="1"/>
    <xf numFmtId="10" fontId="2" fillId="3" borderId="28" xfId="0" applyNumberFormat="1" applyFont="1" applyFill="1" applyBorder="1"/>
    <xf numFmtId="0" fontId="2" fillId="7" borderId="0" xfId="0" applyFont="1" applyFill="1" applyAlignment="1">
      <alignment horizontal="left"/>
    </xf>
    <xf numFmtId="10" fontId="2" fillId="3" borderId="0" xfId="0" applyNumberFormat="1" applyFont="1" applyFill="1"/>
    <xf numFmtId="165" fontId="2" fillId="3" borderId="0" xfId="0" applyNumberFormat="1" applyFont="1" applyFill="1"/>
    <xf numFmtId="9" fontId="2" fillId="3" borderId="0" xfId="0" applyNumberFormat="1" applyFont="1" applyFill="1"/>
    <xf numFmtId="165" fontId="33" fillId="3" borderId="0" xfId="0" applyNumberFormat="1" applyFont="1" applyFill="1"/>
    <xf numFmtId="165" fontId="31" fillId="0" borderId="0" xfId="1" applyNumberFormat="1" applyFont="1"/>
    <xf numFmtId="165" fontId="33" fillId="0" borderId="0" xfId="0" applyNumberFormat="1" applyFont="1"/>
    <xf numFmtId="170" fontId="17" fillId="0" borderId="0" xfId="1" applyNumberFormat="1" applyFont="1"/>
    <xf numFmtId="165" fontId="17" fillId="0" borderId="0" xfId="1" applyNumberFormat="1" applyFont="1" applyAlignment="1">
      <alignment horizontal="right"/>
    </xf>
    <xf numFmtId="170" fontId="17" fillId="5" borderId="2" xfId="1" applyNumberFormat="1" applyFont="1" applyFill="1" applyBorder="1"/>
    <xf numFmtId="170" fontId="17" fillId="0" borderId="2" xfId="1" applyNumberFormat="1" applyFont="1" applyBorder="1"/>
    <xf numFmtId="170" fontId="11" fillId="3" borderId="28" xfId="1" applyNumberFormat="1" applyFont="1" applyFill="1" applyBorder="1"/>
    <xf numFmtId="170" fontId="11" fillId="3" borderId="35" xfId="1" applyNumberFormat="1" applyFont="1" applyFill="1" applyBorder="1"/>
    <xf numFmtId="170" fontId="4" fillId="0" borderId="0" xfId="1" applyNumberFormat="1" applyFont="1"/>
    <xf numFmtId="170" fontId="5" fillId="7" borderId="8" xfId="1" applyNumberFormat="1" applyFont="1" applyFill="1" applyBorder="1"/>
    <xf numFmtId="165" fontId="17" fillId="0" borderId="2" xfId="1" applyNumberFormat="1" applyFont="1" applyBorder="1"/>
    <xf numFmtId="165" fontId="17" fillId="0" borderId="0" xfId="1" quotePrefix="1" applyNumberFormat="1" applyFont="1"/>
    <xf numFmtId="43" fontId="17" fillId="5" borderId="0" xfId="1" applyFont="1" applyFill="1"/>
    <xf numFmtId="43" fontId="17" fillId="0" borderId="0" xfId="1" applyFont="1"/>
    <xf numFmtId="43" fontId="17" fillId="0" borderId="2" xfId="1" applyFont="1" applyBorder="1"/>
    <xf numFmtId="43" fontId="30" fillId="0" borderId="0" xfId="1" applyFont="1"/>
    <xf numFmtId="43" fontId="30" fillId="0" borderId="2" xfId="1" applyFont="1" applyBorder="1"/>
    <xf numFmtId="43" fontId="17" fillId="0" borderId="0" xfId="1" applyFont="1" applyBorder="1"/>
    <xf numFmtId="43" fontId="11" fillId="3" borderId="28" xfId="1" applyFont="1" applyFill="1" applyBorder="1"/>
    <xf numFmtId="43" fontId="11" fillId="3" borderId="35" xfId="1" applyFont="1" applyFill="1" applyBorder="1"/>
    <xf numFmtId="43" fontId="5" fillId="7" borderId="8" xfId="1" applyFont="1" applyFill="1" applyBorder="1"/>
    <xf numFmtId="43" fontId="5" fillId="7" borderId="4" xfId="1" applyFont="1" applyFill="1" applyBorder="1"/>
    <xf numFmtId="170" fontId="17" fillId="0" borderId="0" xfId="1" applyNumberFormat="1" applyFont="1" applyFill="1" applyBorder="1"/>
    <xf numFmtId="170" fontId="17" fillId="0" borderId="2" xfId="1" applyNumberFormat="1" applyFont="1" applyFill="1" applyBorder="1"/>
    <xf numFmtId="170" fontId="17" fillId="5" borderId="0" xfId="1" applyNumberFormat="1" applyFont="1" applyFill="1" applyBorder="1"/>
    <xf numFmtId="165" fontId="6" fillId="6" borderId="0" xfId="1" applyNumberFormat="1" applyFont="1" applyFill="1"/>
    <xf numFmtId="165" fontId="4" fillId="0" borderId="0" xfId="0" applyNumberFormat="1" applyFont="1"/>
    <xf numFmtId="165" fontId="6" fillId="0" borderId="0" xfId="1" applyNumberFormat="1" applyFont="1" applyFill="1"/>
    <xf numFmtId="169" fontId="4" fillId="5" borderId="0" xfId="0" applyNumberFormat="1" applyFont="1" applyFill="1"/>
    <xf numFmtId="43" fontId="34" fillId="0" borderId="14" xfId="1" applyFont="1" applyBorder="1"/>
    <xf numFmtId="0" fontId="4" fillId="0" borderId="0" xfId="2" applyNumberFormat="1" applyFont="1"/>
    <xf numFmtId="0" fontId="35" fillId="0" borderId="0" xfId="2" applyNumberFormat="1" applyFont="1"/>
    <xf numFmtId="10" fontId="35" fillId="0" borderId="0" xfId="0" applyNumberFormat="1" applyFont="1"/>
    <xf numFmtId="43" fontId="35" fillId="0" borderId="0" xfId="1" applyFont="1"/>
    <xf numFmtId="166" fontId="35" fillId="0" borderId="0" xfId="1" applyNumberFormat="1" applyFont="1" applyBorder="1"/>
    <xf numFmtId="0" fontId="35" fillId="0" borderId="31" xfId="0" applyFont="1" applyBorder="1"/>
    <xf numFmtId="43" fontId="35" fillId="0" borderId="0" xfId="0" applyNumberFormat="1" applyFont="1"/>
    <xf numFmtId="165" fontId="35" fillId="0" borderId="38" xfId="1" applyNumberFormat="1" applyFont="1" applyBorder="1"/>
    <xf numFmtId="165" fontId="35" fillId="0" borderId="38" xfId="1" applyNumberFormat="1" applyFont="1" applyFill="1" applyBorder="1"/>
    <xf numFmtId="165" fontId="35" fillId="0" borderId="52" xfId="1" applyNumberFormat="1" applyFont="1" applyBorder="1"/>
    <xf numFmtId="165" fontId="35" fillId="0" borderId="0" xfId="1" applyNumberFormat="1" applyFont="1" applyFill="1" applyBorder="1"/>
    <xf numFmtId="9" fontId="35" fillId="0" borderId="0" xfId="2" applyFont="1" applyFill="1" applyBorder="1"/>
    <xf numFmtId="0" fontId="36" fillId="0" borderId="10" xfId="0" applyFont="1" applyBorder="1"/>
    <xf numFmtId="0" fontId="36" fillId="0" borderId="0" xfId="0" applyFont="1"/>
    <xf numFmtId="43" fontId="35" fillId="0" borderId="8" xfId="1" applyFont="1" applyBorder="1"/>
    <xf numFmtId="43" fontId="36" fillId="0" borderId="0" xfId="1" applyFont="1" applyBorder="1"/>
    <xf numFmtId="43" fontId="35" fillId="0" borderId="8" xfId="0" applyNumberFormat="1" applyFont="1" applyBorder="1"/>
    <xf numFmtId="0" fontId="35" fillId="0" borderId="0" xfId="0" applyFont="1"/>
    <xf numFmtId="43" fontId="35" fillId="0" borderId="4" xfId="1" applyFont="1" applyBorder="1"/>
    <xf numFmtId="9" fontId="36" fillId="0" borderId="0" xfId="0" applyNumberFormat="1" applyFont="1"/>
    <xf numFmtId="0" fontId="37" fillId="0" borderId="0" xfId="0" applyFont="1"/>
    <xf numFmtId="0" fontId="38" fillId="0" borderId="0" xfId="0" applyFont="1"/>
    <xf numFmtId="43" fontId="35" fillId="0" borderId="0" xfId="1" applyFont="1" applyBorder="1"/>
    <xf numFmtId="9" fontId="35" fillId="0" borderId="0" xfId="2" applyFont="1" applyBorder="1"/>
    <xf numFmtId="167" fontId="35" fillId="0" borderId="8" xfId="0" applyNumberFormat="1" applyFont="1" applyBorder="1"/>
    <xf numFmtId="0" fontId="39" fillId="0" borderId="0" xfId="0" applyFont="1"/>
    <xf numFmtId="0" fontId="15" fillId="0" borderId="7" xfId="0" applyFont="1" applyBorder="1"/>
    <xf numFmtId="165" fontId="8" fillId="0" borderId="2" xfId="1" applyNumberFormat="1" applyFont="1" applyBorder="1"/>
    <xf numFmtId="165" fontId="8" fillId="0" borderId="38" xfId="1" applyNumberFormat="1" applyFont="1" applyBorder="1"/>
    <xf numFmtId="165" fontId="8" fillId="0" borderId="38" xfId="1" applyNumberFormat="1" applyFont="1" applyFill="1" applyBorder="1"/>
    <xf numFmtId="165" fontId="8" fillId="0" borderId="52" xfId="1" applyNumberFormat="1" applyFont="1" applyBorder="1"/>
    <xf numFmtId="0" fontId="24" fillId="10" borderId="37" xfId="3" applyBorder="1" applyAlignment="1">
      <alignment horizontal="center"/>
    </xf>
    <xf numFmtId="0" fontId="25" fillId="11" borderId="37" xfId="4" applyBorder="1" applyAlignment="1">
      <alignment horizontal="center"/>
    </xf>
    <xf numFmtId="0" fontId="1" fillId="12" borderId="63" xfId="5" applyBorder="1" applyAlignment="1">
      <alignment horizontal="center"/>
    </xf>
    <xf numFmtId="0" fontId="1" fillId="12" borderId="64" xfId="5" applyBorder="1" applyAlignment="1">
      <alignment horizontal="center"/>
    </xf>
    <xf numFmtId="0" fontId="1" fillId="12" borderId="66" xfId="5" applyBorder="1" applyAlignment="1">
      <alignment horizontal="center"/>
    </xf>
    <xf numFmtId="0" fontId="1" fillId="12" borderId="65" xfId="5" applyBorder="1" applyAlignment="1">
      <alignment horizontal="center"/>
    </xf>
    <xf numFmtId="0" fontId="5" fillId="2" borderId="62" xfId="0" applyFont="1" applyFill="1" applyBorder="1" applyAlignment="1">
      <alignment horizontal="center"/>
    </xf>
    <xf numFmtId="0" fontId="5" fillId="2" borderId="24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</cellXfs>
  <cellStyles count="6">
    <cellStyle name="20% - Accent3" xfId="5" builtinId="38"/>
    <cellStyle name="Comma" xfId="1" builtinId="3"/>
    <cellStyle name="Good" xfId="3" builtinId="26"/>
    <cellStyle name="Neutral" xfId="4" builtinId="28"/>
    <cellStyle name="Normal" xfId="0" builtinId="0"/>
    <cellStyle name="Percent" xfId="2" builtinId="5"/>
  </cellStyles>
  <dxfs count="6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auto="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69" formatCode="_(* #,##0.0_);_(* \(#,##0.0\);_(* &quot;-&quot;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67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249977111117893"/>
        <name val="Century Gothic"/>
        <family val="2"/>
        <scheme val="none"/>
      </font>
      <numFmt numFmtId="3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border diagonalUp="0" diagonalDown="0">
        <left style="thin">
          <color auto="1"/>
        </left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border diagonalUp="0" diagonalDown="0">
        <left style="thin">
          <color auto="1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left" vertical="bottom" textRotation="0" wrapText="0" indent="1" justifyLastLine="0" shrinkToFit="0" readingOrder="0"/>
      <border diagonalUp="0" diagonalDown="0">
        <left/>
        <right style="medium">
          <color indexed="64"/>
        </right>
        <vertical/>
      </border>
    </dxf>
    <dxf>
      <border outline="0">
        <left style="medium">
          <color auto="1"/>
        </left>
        <right style="medium">
          <color auto="1"/>
        </right>
        <top style="thin">
          <color auto="1"/>
        </top>
      </border>
    </dxf>
    <dxf>
      <border outline="0"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</dxf>
    <dxf>
      <numFmt numFmtId="166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</dxf>
    <dxf>
      <numFmt numFmtId="166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* #,##0_-;\-* #,##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border outline="0">
        <left style="medium">
          <color auto="1"/>
        </left>
      </border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</dxf>
    <dxf>
      <numFmt numFmtId="166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65" formatCode="_(* #,##0_);_(* \(#,##0\);_(* &quot;-&quot;??_);_(@_)"/>
    </dxf>
    <dxf>
      <numFmt numFmtId="166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* #,##0_-;\-* #,##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border outline="0">
        <left style="medium">
          <color auto="1"/>
        </left>
      </border>
    </dxf>
    <dxf>
      <font>
        <strike val="0"/>
        <outline val="0"/>
        <shadow val="0"/>
        <u val="none"/>
        <vertAlign val="baseline"/>
        <sz val="12"/>
        <color rgb="FF00B050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Calibri"/>
        <family val="2"/>
        <scheme val="minor"/>
      </font>
      <numFmt numFmtId="0" formatCode="General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Growth!$B$7</c:f>
              <c:strCache>
                <c:ptCount val="1"/>
                <c:pt idx="0">
                  <c:v>Products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Growth!$C$6:$N$6</c15:sqref>
                  </c15:fullRef>
                </c:ext>
              </c:extLst>
              <c:f>(Growth!$C$6:$F$6,Growth!$K$6:$N$6)</c:f>
              <c:numCache>
                <c:formatCode>General</c:formatCod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Growth!$C$7:$N$7</c15:sqref>
                  </c15:fullRef>
                </c:ext>
              </c:extLst>
              <c:f>(Growth!$C$7:$F$7,Growth!$K$7:$N$7)</c:f>
              <c:numCache>
                <c:formatCode>_(* #,##0_);_(* \(#,##0\);_(*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2140293.15</c:v>
                </c:pt>
                <c:pt idx="3">
                  <c:v>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D3-9345-AA20-E7DA39BA6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9583440"/>
        <c:axId val="1489585072"/>
      </c:barChart>
      <c:catAx>
        <c:axId val="148958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585072"/>
        <c:crosses val="autoZero"/>
        <c:auto val="1"/>
        <c:lblAlgn val="ctr"/>
        <c:lblOffset val="100"/>
        <c:noMultiLvlLbl val="0"/>
      </c:catAx>
      <c:valAx>
        <c:axId val="148958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58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Growth!$B$8</c:f>
              <c:strCache>
                <c:ptCount val="1"/>
                <c:pt idx="0">
                  <c:v>PHP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Growth!$J$6:$N$6</c15:sqref>
                  </c15:fullRef>
                </c:ext>
              </c:extLst>
              <c:f>Growth!$K$6:$N$6</c:f>
              <c:numCache>
                <c:formatCode>General</c:formatCod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Growth!$J$8:$N$8</c15:sqref>
                  </c15:fullRef>
                </c:ext>
              </c:extLst>
              <c:f>Growth!$K$8:$N$8</c:f>
              <c:numCache>
                <c:formatCode>_(* #,##0_);_(* \(#,##0\);_(* "-"??_);_(@_)</c:formatCode>
                <c:ptCount val="4"/>
                <c:pt idx="0">
                  <c:v>1748260.8</c:v>
                </c:pt>
                <c:pt idx="1">
                  <c:v>2649665.9204640002</c:v>
                </c:pt>
                <c:pt idx="2">
                  <c:v>3678723.555569455</c:v>
                </c:pt>
                <c:pt idx="3">
                  <c:v>4700000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76-3D4D-AE4C-972A18783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9583440"/>
        <c:axId val="1489585072"/>
      </c:barChart>
      <c:catAx>
        <c:axId val="148958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585072"/>
        <c:crosses val="autoZero"/>
        <c:auto val="1"/>
        <c:lblAlgn val="ctr"/>
        <c:lblOffset val="100"/>
        <c:noMultiLvlLbl val="0"/>
      </c:catAx>
      <c:valAx>
        <c:axId val="148958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58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Growth!$B$10</c:f>
              <c:strCache>
                <c:ptCount val="1"/>
                <c:pt idx="0">
                  <c:v>Mobile Development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Growth!$I$6:$N$6</c15:sqref>
                  </c15:fullRef>
                </c:ext>
              </c:extLst>
              <c:f>Growth!$K$6:$N$6</c:f>
              <c:numCache>
                <c:formatCode>General</c:formatCod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Growth!$I$10:$N$10</c15:sqref>
                  </c15:fullRef>
                </c:ext>
              </c:extLst>
              <c:f>Growth!$K$10:$N$10</c:f>
              <c:numCache>
                <c:formatCode>_(* #,##0_);_(* \(#,##0\);_(* "-"??_);_(@_)</c:formatCode>
                <c:ptCount val="4"/>
                <c:pt idx="0">
                  <c:v>418782</c:v>
                </c:pt>
                <c:pt idx="1">
                  <c:v>899561.65999999992</c:v>
                </c:pt>
                <c:pt idx="2">
                  <c:v>1442787.4651636363</c:v>
                </c:pt>
                <c:pt idx="3">
                  <c:v>2500000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15-0146-8176-0239C90BC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9583440"/>
        <c:axId val="1489585072"/>
      </c:barChart>
      <c:catAx>
        <c:axId val="148958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585072"/>
        <c:crosses val="autoZero"/>
        <c:auto val="1"/>
        <c:lblAlgn val="ctr"/>
        <c:lblOffset val="100"/>
        <c:noMultiLvlLbl val="0"/>
      </c:catAx>
      <c:valAx>
        <c:axId val="148958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58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Growth!$B$11</c:f>
              <c:strCache>
                <c:ptCount val="1"/>
                <c:pt idx="0">
                  <c:v>Support Contracts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cat>
            <c:numRef>
              <c:f>Growth!$F$6:$L$6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Growth!$F$11:$M$11</c:f>
              <c:numCache>
                <c:formatCode>_(* #,##0_);_(* \(#,##0\);_(* "-"??_);_(@_)</c:formatCode>
                <c:ptCount val="7"/>
                <c:pt idx="0">
                  <c:v>155639.8668918919</c:v>
                </c:pt>
                <c:pt idx="1">
                  <c:v>120000</c:v>
                </c:pt>
                <c:pt idx="2">
                  <c:v>160020</c:v>
                </c:pt>
                <c:pt idx="3">
                  <c:v>185595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C-4F42-B904-F7A97F3B7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9583440"/>
        <c:axId val="1489585072"/>
      </c:barChart>
      <c:catAx>
        <c:axId val="148958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585072"/>
        <c:crosses val="autoZero"/>
        <c:auto val="1"/>
        <c:lblAlgn val="ctr"/>
        <c:lblOffset val="100"/>
        <c:noMultiLvlLbl val="0"/>
      </c:catAx>
      <c:valAx>
        <c:axId val="148958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58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Growth!$B$12</c:f>
              <c:strCache>
                <c:ptCount val="1"/>
                <c:pt idx="0">
                  <c:v>Websites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Growth!$I$6:$M$6</c15:sqref>
                  </c15:fullRef>
                </c:ext>
              </c:extLst>
              <c:f>Growth!$K$6:$M$6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Growth!$I$12:$N$12</c15:sqref>
                  </c15:fullRef>
                </c:ext>
              </c:extLst>
              <c:f>Growth!$K$12:$N$12</c:f>
              <c:numCache>
                <c:formatCode>_(* #,##0_);_(* \(#,##0\);_(* "-"??_);_(@_)</c:formatCode>
                <c:ptCount val="4"/>
                <c:pt idx="0">
                  <c:v>405818.18181818182</c:v>
                </c:pt>
                <c:pt idx="1">
                  <c:v>1066495.9387799997</c:v>
                </c:pt>
                <c:pt idx="2">
                  <c:v>694293.42777818174</c:v>
                </c:pt>
                <c:pt idx="3">
                  <c:v>1100000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2D-0742-B651-67A705F66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9583440"/>
        <c:axId val="1489585072"/>
      </c:barChart>
      <c:catAx>
        <c:axId val="148958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585072"/>
        <c:crosses val="autoZero"/>
        <c:auto val="1"/>
        <c:lblAlgn val="ctr"/>
        <c:lblOffset val="100"/>
        <c:noMultiLvlLbl val="0"/>
      </c:catAx>
      <c:valAx>
        <c:axId val="148958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58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Growth!$B$14</c:f>
              <c:strCache>
                <c:ptCount val="1"/>
                <c:pt idx="0">
                  <c:v>Hosting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Growth!$I$6:$N$6</c15:sqref>
                  </c15:fullRef>
                </c:ext>
              </c:extLst>
              <c:f>Growth!$K$6:$N$6</c:f>
              <c:numCache>
                <c:formatCode>General</c:formatCod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Growth!$I$14:$N$14</c15:sqref>
                  </c15:fullRef>
                </c:ext>
              </c:extLst>
              <c:f>Growth!$K$14:$N$14</c:f>
              <c:numCache>
                <c:formatCode>_(* #,##0_);_(* \(#,##0\);_(* "-"??_);_(@_)</c:formatCode>
                <c:ptCount val="4"/>
                <c:pt idx="0">
                  <c:v>406043</c:v>
                </c:pt>
                <c:pt idx="1">
                  <c:v>373282.55611155997</c:v>
                </c:pt>
                <c:pt idx="2">
                  <c:v>376829.19485301821</c:v>
                </c:pt>
                <c:pt idx="3">
                  <c:v>362000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EC-8E4E-B796-F08991D8A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9583440"/>
        <c:axId val="1489585072"/>
      </c:barChart>
      <c:catAx>
        <c:axId val="148958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585072"/>
        <c:crosses val="autoZero"/>
        <c:auto val="1"/>
        <c:lblAlgn val="ctr"/>
        <c:lblOffset val="100"/>
        <c:noMultiLvlLbl val="0"/>
      </c:catAx>
      <c:valAx>
        <c:axId val="148958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58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Growth!$J$6:$N$6</c15:sqref>
                  </c15:fullRef>
                </c:ext>
              </c:extLst>
              <c:f>Growth!$K$6:$N$6</c:f>
              <c:numCache>
                <c:formatCode>General</c:formatCod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Growth!$J$15:$N$15</c15:sqref>
                  </c15:fullRef>
                </c:ext>
              </c:extLst>
              <c:f>Growth!$K$15:$N$15</c:f>
              <c:numCache>
                <c:formatCode>_(* #,##0_);_(* \(#,##0\);_(* "-"??_);_(@_)</c:formatCode>
                <c:ptCount val="4"/>
                <c:pt idx="0">
                  <c:v>3053903.9818181815</c:v>
                </c:pt>
                <c:pt idx="1">
                  <c:v>7889277.8453555601</c:v>
                </c:pt>
                <c:pt idx="2">
                  <c:v>12161577.770237021</c:v>
                </c:pt>
                <c:pt idx="3">
                  <c:v>15462000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8D-A440-AF3E-431B3E829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9583440"/>
        <c:axId val="1489585072"/>
      </c:barChart>
      <c:catAx>
        <c:axId val="1489583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585072"/>
        <c:crosses val="autoZero"/>
        <c:auto val="0"/>
        <c:lblAlgn val="ctr"/>
        <c:lblOffset val="100"/>
        <c:tickLblSkip val="1"/>
        <c:noMultiLvlLbl val="0"/>
      </c:catAx>
      <c:valAx>
        <c:axId val="148958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58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Growth!$B$13</c:f>
              <c:strCache>
                <c:ptCount val="1"/>
                <c:pt idx="0">
                  <c:v>Design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Growth!$J$6:$N$6</c15:sqref>
                  </c15:fullRef>
                </c:ext>
              </c:extLst>
              <c:f>Growth!$K$6:$N$6</c:f>
              <c:numCache>
                <c:formatCode>General</c:formatCod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Growth!$J$13:$N$13</c15:sqref>
                  </c15:fullRef>
                </c:ext>
              </c:extLst>
              <c:f>Growth!$K$13:$N$13</c:f>
              <c:numCache>
                <c:formatCode>_(* #,##0_);_(* \(#,##0\);_(* "-"??_);_(@_)</c:formatCode>
                <c:ptCount val="4"/>
                <c:pt idx="0">
                  <c:v>75000</c:v>
                </c:pt>
                <c:pt idx="1">
                  <c:v>100918.11</c:v>
                </c:pt>
                <c:pt idx="2">
                  <c:v>314078.47505454539</c:v>
                </c:pt>
                <c:pt idx="3">
                  <c:v>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7A-6B4C-B3CE-39A70F2B7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9583440"/>
        <c:axId val="1489585072"/>
      </c:barChart>
      <c:catAx>
        <c:axId val="148958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585072"/>
        <c:crosses val="autoZero"/>
        <c:auto val="1"/>
        <c:lblAlgn val="ctr"/>
        <c:lblOffset val="100"/>
        <c:noMultiLvlLbl val="0"/>
      </c:catAx>
      <c:valAx>
        <c:axId val="148958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58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.NET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val>
            <c:numRef>
              <c:f>Growth!$K$6:$N$6</c:f>
              <c:numCache>
                <c:formatCode>General</c:formatCod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A1-484B-9D4C-4B9B009242BC}"/>
            </c:ext>
          </c:extLst>
        </c:ser>
        <c:ser>
          <c:idx val="1"/>
          <c:order val="1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Growth!$K$9:$N$9</c:f>
              <c:numCache>
                <c:formatCode>_(* #,##0_);_(* \(#,##0\);_(* "-"??_);_(@_)</c:formatCode>
                <c:ptCount val="4"/>
                <c:pt idx="1">
                  <c:v>2799353.66</c:v>
                </c:pt>
                <c:pt idx="2">
                  <c:v>3514572.5018181815</c:v>
                </c:pt>
                <c:pt idx="3">
                  <c:v>4400000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8C-9940-AC24-540EE211A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9583440"/>
        <c:axId val="1489585072"/>
      </c:barChart>
      <c:catAx>
        <c:axId val="148958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585072"/>
        <c:crosses val="autoZero"/>
        <c:auto val="1"/>
        <c:lblAlgn val="ctr"/>
        <c:lblOffset val="100"/>
        <c:noMultiLvlLbl val="0"/>
      </c:catAx>
      <c:valAx>
        <c:axId val="148958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58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CapEx!$B$98</c:f>
              <c:strCache>
                <c:ptCount val="1"/>
                <c:pt idx="0">
                  <c:v>Total CapEx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CapEx!$C$98:$N$98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B7-4044-9616-32D07EDE8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6278207"/>
        <c:axId val="558478159"/>
      </c:barChart>
      <c:catAx>
        <c:axId val="85627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478159"/>
        <c:crosses val="autoZero"/>
        <c:auto val="1"/>
        <c:lblAlgn val="ctr"/>
        <c:lblOffset val="100"/>
        <c:noMultiLvlLbl val="0"/>
      </c:catAx>
      <c:valAx>
        <c:axId val="55847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278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17</xdr:row>
      <xdr:rowOff>6350</xdr:rowOff>
    </xdr:from>
    <xdr:to>
      <xdr:col>1</xdr:col>
      <xdr:colOff>3225800</xdr:colOff>
      <xdr:row>30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B75989-B732-9A43-82F0-AF96098CC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148166</xdr:colOff>
      <xdr:row>17</xdr:row>
      <xdr:rowOff>10583</xdr:rowOff>
    </xdr:from>
    <xdr:to>
      <xdr:col>10</xdr:col>
      <xdr:colOff>643466</xdr:colOff>
      <xdr:row>30</xdr:row>
      <xdr:rowOff>112183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2B2B72-062E-AF4D-934B-500D582D44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63500</xdr:colOff>
      <xdr:row>17</xdr:row>
      <xdr:rowOff>0</xdr:rowOff>
    </xdr:from>
    <xdr:to>
      <xdr:col>17</xdr:col>
      <xdr:colOff>508000</xdr:colOff>
      <xdr:row>30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EBACB0-F9F3-5F4F-B004-285AE4BC79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265141</xdr:colOff>
      <xdr:row>46</xdr:row>
      <xdr:rowOff>112963</xdr:rowOff>
    </xdr:from>
    <xdr:to>
      <xdr:col>6</xdr:col>
      <xdr:colOff>11141</xdr:colOff>
      <xdr:row>60</xdr:row>
      <xdr:rowOff>14037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90CBB3-4393-DD47-9029-61A6EC588F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179917</xdr:colOff>
      <xdr:row>31</xdr:row>
      <xdr:rowOff>12700</xdr:rowOff>
    </xdr:from>
    <xdr:to>
      <xdr:col>10</xdr:col>
      <xdr:colOff>675217</xdr:colOff>
      <xdr:row>44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69C242C-F7C5-AD42-B4A5-63F370094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88900</xdr:colOff>
      <xdr:row>31</xdr:row>
      <xdr:rowOff>12700</xdr:rowOff>
    </xdr:from>
    <xdr:to>
      <xdr:col>17</xdr:col>
      <xdr:colOff>533400</xdr:colOff>
      <xdr:row>44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7D6C87D-E329-224E-AC99-F8825F1B4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778934</xdr:colOff>
      <xdr:row>17</xdr:row>
      <xdr:rowOff>50800</xdr:rowOff>
    </xdr:from>
    <xdr:to>
      <xdr:col>24</xdr:col>
      <xdr:colOff>393700</xdr:colOff>
      <xdr:row>30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627CDFB-2EDD-CB49-AA3E-A5006C4523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0</xdr:colOff>
      <xdr:row>30</xdr:row>
      <xdr:rowOff>164353</xdr:rowOff>
    </xdr:from>
    <xdr:to>
      <xdr:col>24</xdr:col>
      <xdr:colOff>444500</xdr:colOff>
      <xdr:row>44</xdr:row>
      <xdr:rowOff>56776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53A0122-8918-614E-B2FF-73223C674E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222250</xdr:colOff>
      <xdr:row>30</xdr:row>
      <xdr:rowOff>199968</xdr:rowOff>
    </xdr:from>
    <xdr:to>
      <xdr:col>1</xdr:col>
      <xdr:colOff>3237944</xdr:colOff>
      <xdr:row>44</xdr:row>
      <xdr:rowOff>101042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3FF8184-3591-D54C-81C0-82DB8D9CF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222250</xdr:colOff>
      <xdr:row>99</xdr:row>
      <xdr:rowOff>184150</xdr:rowOff>
    </xdr:from>
    <xdr:to>
      <xdr:col>14</xdr:col>
      <xdr:colOff>50800</xdr:colOff>
      <xdr:row>113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D6ABE4-41B7-9A42-A1BE-166E97D2E7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fadiadib/Dropbox/Private/Aura-Private/Financials/Aura2k15/AuraInc2k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fadiadib/Dropbox/Private/Aura-Private/Financials/Aura2k16/AuraInc2k1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fadiadib/Dropbox/Private/Aura-Private/Financials/Aura2k17/AuraInc2k17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fadiadib/Dropbox/Private/Aura-Private/Financials/Aura2k18/AuraInc2k18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fadiadib/Dropbox/Private/Aura-Private/Financials/Aura2k19/AuraInc2k19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ariam%20Kamal/Dropbox/Aura-Finance/Aura2k24/Aura-alfa/incaura2k24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merKamel/Library/CloudStorage/Dropbox/Aura-Finance/Aura2k25/Aura-alfa/incaura2k25.xls" TargetMode="External"/><Relationship Id="rId1" Type="http://schemas.openxmlformats.org/officeDocument/2006/relationships/externalLinkPath" Target="/Users/SamerKamel/Library/CloudStorage/Dropbox/Aura-Finance/Aura2k25/Aura-alfa/incaura2k2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fadiadib/Dropbox/Private/Aura-Private/Financials/Aura2k20/06%20AuraBdg2k20/MarketingBdg2k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fadiadib/Dropbox/Private/Aura-Private/Financials/Aura2k20/AuraProfit2k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ariam%20Kamal/Dropbox/Aura-Finance/Aura2k25/Aura-alfa/incaura2k2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fadiadib/Dropbox/Private/Aura-Finance/Aura2k21/AuraExp2k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ariam%20Kamal/Dropbox/Aura-Finance/Aura2k25/AuraExp2k25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ariam%20Kamal/Dropbox/Aura-Finance/Aura2k25/Aura-alfa/ExpAura2k25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ariam%20Kamal/Dropbox/Aura-Finance/Aura2k25/02%20AuraPayroll2k25/AuraPay2k25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SamerKamel/Library/CloudStorage/Dropbox/Aura-Finance/Aura2k23/01%20AuraBdg2k23/AuraBdg2k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2015"/>
      <sheetName val="Custom Solutions"/>
      <sheetName val="Services"/>
      <sheetName val="Websites"/>
      <sheetName val="Support"/>
      <sheetName val="New Products"/>
    </sheetNames>
    <sheetDataSet>
      <sheetData sheetId="0">
        <row r="13"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5000</v>
          </cell>
          <cell r="K13">
            <v>7500</v>
          </cell>
          <cell r="L13">
            <v>25000</v>
          </cell>
          <cell r="M13">
            <v>20000</v>
          </cell>
          <cell r="N13">
            <v>40000</v>
          </cell>
          <cell r="O13">
            <v>40300</v>
          </cell>
          <cell r="P13">
            <v>0</v>
          </cell>
          <cell r="Q13">
            <v>47800</v>
          </cell>
        </row>
        <row r="17"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</row>
        <row r="25"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1400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11350</v>
          </cell>
        </row>
        <row r="29"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2016"/>
      <sheetName val="Custom Software"/>
      <sheetName val="Online Marketing"/>
      <sheetName val="Websites"/>
      <sheetName val="Support Contracts"/>
      <sheetName val=" Products"/>
      <sheetName val="Design"/>
      <sheetName val="Outsourced Projects"/>
    </sheetNames>
    <sheetDataSet>
      <sheetData sheetId="0">
        <row r="13">
          <cell r="F13">
            <v>20000</v>
          </cell>
          <cell r="G13">
            <v>62500</v>
          </cell>
          <cell r="H13">
            <v>15600</v>
          </cell>
          <cell r="I13">
            <v>55400</v>
          </cell>
          <cell r="J13">
            <v>68000</v>
          </cell>
          <cell r="K13">
            <v>102800</v>
          </cell>
          <cell r="L13">
            <v>0</v>
          </cell>
          <cell r="M13">
            <v>36800</v>
          </cell>
          <cell r="N13">
            <v>0</v>
          </cell>
          <cell r="O13">
            <v>28500</v>
          </cell>
          <cell r="P13">
            <v>57656</v>
          </cell>
          <cell r="Q13">
            <v>0</v>
          </cell>
        </row>
        <row r="17"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</row>
        <row r="25">
          <cell r="F25">
            <v>0</v>
          </cell>
          <cell r="G25">
            <v>0</v>
          </cell>
          <cell r="H25">
            <v>12000</v>
          </cell>
          <cell r="I25">
            <v>0</v>
          </cell>
          <cell r="J25">
            <v>7800</v>
          </cell>
          <cell r="K25">
            <v>1220</v>
          </cell>
          <cell r="L25">
            <v>7000</v>
          </cell>
          <cell r="M25">
            <v>10000</v>
          </cell>
          <cell r="N25">
            <v>4000</v>
          </cell>
          <cell r="O25">
            <v>0</v>
          </cell>
          <cell r="P25">
            <v>10988.1</v>
          </cell>
          <cell r="Q25">
            <v>8000</v>
          </cell>
        </row>
        <row r="29"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</row>
        <row r="37">
          <cell r="F37">
            <v>0</v>
          </cell>
          <cell r="G37">
            <v>0</v>
          </cell>
          <cell r="H37">
            <v>0</v>
          </cell>
          <cell r="I37">
            <v>9500</v>
          </cell>
          <cell r="J37">
            <v>25500</v>
          </cell>
          <cell r="K37">
            <v>0</v>
          </cell>
          <cell r="L37">
            <v>0</v>
          </cell>
          <cell r="M37">
            <v>-9500</v>
          </cell>
          <cell r="N37">
            <v>0</v>
          </cell>
          <cell r="O37">
            <v>0</v>
          </cell>
          <cell r="P37">
            <v>8400</v>
          </cell>
          <cell r="Q37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2017"/>
      <sheetName val="Custom Software"/>
      <sheetName val="Online Marketing"/>
      <sheetName val="Websites"/>
      <sheetName val="Support Contracts"/>
      <sheetName val=" Products"/>
      <sheetName val="Design"/>
      <sheetName val="Outsourced Projects"/>
    </sheetNames>
    <sheetDataSet>
      <sheetData sheetId="0">
        <row r="13">
          <cell r="F13">
            <v>0</v>
          </cell>
          <cell r="G13">
            <v>35400</v>
          </cell>
          <cell r="H13">
            <v>39324</v>
          </cell>
          <cell r="I13">
            <v>41000</v>
          </cell>
          <cell r="J13">
            <v>42939.999999999993</v>
          </cell>
          <cell r="K13">
            <v>58484</v>
          </cell>
          <cell r="L13">
            <v>5000</v>
          </cell>
          <cell r="M13">
            <v>51095.999999999993</v>
          </cell>
          <cell r="N13">
            <v>0</v>
          </cell>
          <cell r="O13">
            <v>3750</v>
          </cell>
          <cell r="P13">
            <v>14000</v>
          </cell>
          <cell r="Q13">
            <v>16500</v>
          </cell>
        </row>
        <row r="17">
          <cell r="F17">
            <v>0</v>
          </cell>
          <cell r="G17">
            <v>0</v>
          </cell>
          <cell r="H17">
            <v>0</v>
          </cell>
          <cell r="I17">
            <v>15000</v>
          </cell>
          <cell r="J17">
            <v>0</v>
          </cell>
          <cell r="K17">
            <v>1500</v>
          </cell>
          <cell r="L17">
            <v>0</v>
          </cell>
          <cell r="M17">
            <v>0</v>
          </cell>
          <cell r="N17">
            <v>0</v>
          </cell>
          <cell r="O17">
            <v>18500</v>
          </cell>
          <cell r="P17">
            <v>0</v>
          </cell>
          <cell r="Q17">
            <v>2100</v>
          </cell>
        </row>
        <row r="25">
          <cell r="F25">
            <v>17147.749999999996</v>
          </cell>
          <cell r="G25">
            <v>0</v>
          </cell>
          <cell r="H25">
            <v>19800</v>
          </cell>
          <cell r="I25">
            <v>0</v>
          </cell>
          <cell r="J25">
            <v>5000</v>
          </cell>
          <cell r="K25">
            <v>2520</v>
          </cell>
          <cell r="L25">
            <v>37556</v>
          </cell>
          <cell r="M25">
            <v>5000</v>
          </cell>
          <cell r="N25">
            <v>21202</v>
          </cell>
          <cell r="O25">
            <v>11160.5</v>
          </cell>
          <cell r="P25">
            <v>27578.5</v>
          </cell>
          <cell r="Q25">
            <v>42920</v>
          </cell>
        </row>
        <row r="29"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</row>
        <row r="37">
          <cell r="F37">
            <v>8400</v>
          </cell>
          <cell r="G37">
            <v>18000</v>
          </cell>
          <cell r="H37">
            <v>0</v>
          </cell>
          <cell r="I37">
            <v>16800</v>
          </cell>
          <cell r="J37">
            <v>0</v>
          </cell>
          <cell r="K37">
            <v>0</v>
          </cell>
          <cell r="L37">
            <v>4540</v>
          </cell>
          <cell r="M37">
            <v>36447.25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2018"/>
      <sheetName val="Custom Software"/>
      <sheetName val=" Products"/>
      <sheetName val="Support Contracts"/>
      <sheetName val="Websites"/>
      <sheetName val="Online Marketing"/>
      <sheetName val="Design"/>
      <sheetName val="Outsourced Projects"/>
      <sheetName val="Targets"/>
    </sheetNames>
    <sheetDataSet>
      <sheetData sheetId="0">
        <row r="13">
          <cell r="F13">
            <v>18757.8</v>
          </cell>
          <cell r="G13">
            <v>35400</v>
          </cell>
          <cell r="H13">
            <v>83080</v>
          </cell>
          <cell r="I13">
            <v>0</v>
          </cell>
          <cell r="J13">
            <v>118600</v>
          </cell>
          <cell r="K13">
            <v>51299.999999999993</v>
          </cell>
          <cell r="L13">
            <v>173715.19999999998</v>
          </cell>
          <cell r="M13">
            <v>64499.999999999993</v>
          </cell>
          <cell r="N13">
            <v>51299.999999999993</v>
          </cell>
          <cell r="O13">
            <v>110602.38</v>
          </cell>
          <cell r="P13">
            <v>121472</v>
          </cell>
          <cell r="Q13">
            <v>137540.99999999997</v>
          </cell>
        </row>
        <row r="17">
          <cell r="F17">
            <v>53566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20000</v>
          </cell>
          <cell r="M17">
            <v>0</v>
          </cell>
          <cell r="N17">
            <v>0</v>
          </cell>
          <cell r="O17">
            <v>34264</v>
          </cell>
          <cell r="P17">
            <v>0</v>
          </cell>
          <cell r="Q17">
            <v>10000</v>
          </cell>
        </row>
        <row r="25">
          <cell r="F25">
            <v>23176.159999999996</v>
          </cell>
          <cell r="G25">
            <v>15500</v>
          </cell>
          <cell r="H25">
            <v>57113.4</v>
          </cell>
          <cell r="I25">
            <v>0</v>
          </cell>
          <cell r="J25">
            <v>42995.100000000006</v>
          </cell>
          <cell r="K25">
            <v>30222.3</v>
          </cell>
          <cell r="L25">
            <v>9846</v>
          </cell>
          <cell r="M25">
            <v>16143.289199999999</v>
          </cell>
          <cell r="N25">
            <v>17459.981</v>
          </cell>
          <cell r="O25">
            <v>31305.546000000002</v>
          </cell>
          <cell r="P25">
            <v>0</v>
          </cell>
          <cell r="Q25">
            <v>35075.758000000002</v>
          </cell>
        </row>
        <row r="29"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3419.9999999999995</v>
          </cell>
          <cell r="K29">
            <v>0</v>
          </cell>
          <cell r="L29">
            <v>0</v>
          </cell>
          <cell r="M29">
            <v>8500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</row>
        <row r="37"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2019"/>
      <sheetName val=" Products"/>
      <sheetName val="Custom Software"/>
      <sheetName val="Outsourced Projects"/>
      <sheetName val="Support Contracts"/>
      <sheetName val="Websites"/>
      <sheetName val="Hosting"/>
      <sheetName val="Online Marketing"/>
      <sheetName val="Ads"/>
      <sheetName val="Design"/>
      <sheetName val="Content"/>
      <sheetName val="Videos"/>
      <sheetName val="Presentations"/>
      <sheetName val="Targets"/>
    </sheetNames>
    <sheetDataSet>
      <sheetData sheetId="0">
        <row r="18">
          <cell r="F18">
            <v>5000</v>
          </cell>
          <cell r="G18">
            <v>7500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</row>
        <row r="22">
          <cell r="F22">
            <v>0</v>
          </cell>
          <cell r="G22">
            <v>121409.99999999999</v>
          </cell>
          <cell r="H22">
            <v>11280</v>
          </cell>
          <cell r="I22">
            <v>22230</v>
          </cell>
          <cell r="J22">
            <v>51299.999999999993</v>
          </cell>
          <cell r="K22">
            <v>46659.999999999993</v>
          </cell>
          <cell r="L22">
            <v>83044.199999999983</v>
          </cell>
          <cell r="M22">
            <v>96748.06</v>
          </cell>
          <cell r="N22">
            <v>60000</v>
          </cell>
          <cell r="O22">
            <v>76734</v>
          </cell>
          <cell r="P22">
            <v>137079.924</v>
          </cell>
          <cell r="Q22">
            <v>120152</v>
          </cell>
        </row>
        <row r="26"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5000</v>
          </cell>
          <cell r="O26">
            <v>0</v>
          </cell>
          <cell r="P26">
            <v>0</v>
          </cell>
          <cell r="Q26">
            <v>0</v>
          </cell>
        </row>
        <row r="30">
          <cell r="F30">
            <v>15122.5</v>
          </cell>
          <cell r="G30">
            <v>3419.9999999999995</v>
          </cell>
          <cell r="H30">
            <v>0</v>
          </cell>
          <cell r="I30">
            <v>8710</v>
          </cell>
          <cell r="J30">
            <v>22332.314999999999</v>
          </cell>
          <cell r="K30">
            <v>1000</v>
          </cell>
          <cell r="L30">
            <v>36369.586486486485</v>
          </cell>
          <cell r="M30">
            <v>11952</v>
          </cell>
          <cell r="N30">
            <v>6270</v>
          </cell>
          <cell r="O30">
            <v>18742.565405405403</v>
          </cell>
          <cell r="P30">
            <v>4560</v>
          </cell>
          <cell r="Q30">
            <v>27160.9</v>
          </cell>
        </row>
        <row r="39">
          <cell r="F39">
            <v>35112</v>
          </cell>
          <cell r="G39">
            <v>7500</v>
          </cell>
          <cell r="H39">
            <v>9498</v>
          </cell>
          <cell r="I39">
            <v>58381.7</v>
          </cell>
          <cell r="J39">
            <v>46150</v>
          </cell>
          <cell r="K39">
            <v>17885</v>
          </cell>
          <cell r="L39">
            <v>28788.75</v>
          </cell>
          <cell r="M39">
            <v>25900.75</v>
          </cell>
          <cell r="N39">
            <v>38092.67</v>
          </cell>
          <cell r="O39">
            <v>105500.75</v>
          </cell>
          <cell r="P39">
            <v>48800.85</v>
          </cell>
          <cell r="Q39">
            <v>17210</v>
          </cell>
        </row>
        <row r="43">
          <cell r="F43">
            <v>20252.538</v>
          </cell>
          <cell r="G43">
            <v>0</v>
          </cell>
          <cell r="H43">
            <v>5699.8</v>
          </cell>
          <cell r="I43">
            <v>3150</v>
          </cell>
          <cell r="J43">
            <v>0</v>
          </cell>
          <cell r="K43">
            <v>6736.5472</v>
          </cell>
          <cell r="L43">
            <v>2153.46</v>
          </cell>
          <cell r="M43">
            <v>1687.1999999999998</v>
          </cell>
          <cell r="N43">
            <v>2646</v>
          </cell>
          <cell r="O43">
            <v>4773</v>
          </cell>
          <cell r="P43">
            <v>14369.25</v>
          </cell>
          <cell r="Q43">
            <v>584.54000000000087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PHP"/>
      <sheetName val="Mobile"/>
      <sheetName val="Websites"/>
      <sheetName val=".Net"/>
      <sheetName val="Products"/>
      <sheetName val="Design"/>
      <sheetName val="Hosting"/>
    </sheetNames>
    <sheetDataSet>
      <sheetData sheetId="0">
        <row r="6">
          <cell r="R6">
            <v>2649665.9204640002</v>
          </cell>
        </row>
        <row r="7">
          <cell r="R7">
            <v>0</v>
          </cell>
        </row>
        <row r="11">
          <cell r="R11">
            <v>899561.65999999992</v>
          </cell>
        </row>
        <row r="12">
          <cell r="R12">
            <v>0</v>
          </cell>
        </row>
        <row r="16">
          <cell r="R16">
            <v>1066495.9387799997</v>
          </cell>
        </row>
        <row r="17">
          <cell r="R17">
            <v>0</v>
          </cell>
        </row>
        <row r="21">
          <cell r="R21">
            <v>0</v>
          </cell>
        </row>
        <row r="22">
          <cell r="R22">
            <v>0</v>
          </cell>
        </row>
        <row r="26">
          <cell r="R26">
            <v>2799353.66</v>
          </cell>
        </row>
        <row r="27">
          <cell r="R27">
            <v>0</v>
          </cell>
        </row>
        <row r="30">
          <cell r="R30">
            <v>0</v>
          </cell>
        </row>
        <row r="31">
          <cell r="R31">
            <v>100918.11</v>
          </cell>
        </row>
        <row r="36">
          <cell r="R36">
            <v>373282.55611155997</v>
          </cell>
        </row>
        <row r="37">
          <cell r="R37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"/>
      <sheetName val="PHP"/>
      <sheetName val="Mobile"/>
      <sheetName val="Websites"/>
      <sheetName val=".Net"/>
      <sheetName val="Products"/>
      <sheetName val="Design"/>
      <sheetName val="Hosting"/>
    </sheetNames>
    <sheetDataSet>
      <sheetData sheetId="0">
        <row r="6">
          <cell r="F6">
            <v>287371.78148000001</v>
          </cell>
          <cell r="G6">
            <v>372419.23000000004</v>
          </cell>
          <cell r="H6">
            <v>267155.46999999997</v>
          </cell>
          <cell r="I6">
            <v>250000</v>
          </cell>
          <cell r="J6">
            <v>423744.37779199996</v>
          </cell>
          <cell r="K6">
            <v>310007.5</v>
          </cell>
          <cell r="L6">
            <v>290307.21999999997</v>
          </cell>
          <cell r="M6">
            <v>382915.7</v>
          </cell>
          <cell r="N6">
            <v>5557.4999999999991</v>
          </cell>
          <cell r="O6">
            <v>300355.56</v>
          </cell>
          <cell r="P6">
            <v>482328.92000000004</v>
          </cell>
        </row>
        <row r="7"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11">
          <cell r="F11">
            <v>0</v>
          </cell>
          <cell r="G11">
            <v>4560</v>
          </cell>
          <cell r="H11">
            <v>169864.78</v>
          </cell>
          <cell r="I11">
            <v>16672.499999999996</v>
          </cell>
          <cell r="J11">
            <v>343766.04639999999</v>
          </cell>
          <cell r="K11">
            <v>11114.999999999998</v>
          </cell>
          <cell r="L11">
            <v>55001.75</v>
          </cell>
          <cell r="M11">
            <v>235968.9</v>
          </cell>
          <cell r="N11">
            <v>5557.4999999999991</v>
          </cell>
          <cell r="O11">
            <v>5557.4999999999991</v>
          </cell>
          <cell r="P11">
            <v>474491.2</v>
          </cell>
        </row>
        <row r="12"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6">
          <cell r="F16">
            <v>9234</v>
          </cell>
          <cell r="G16">
            <v>27431.25</v>
          </cell>
          <cell r="H16">
            <v>12790.8</v>
          </cell>
          <cell r="I16">
            <v>135840</v>
          </cell>
          <cell r="J16">
            <v>51313.679999999993</v>
          </cell>
          <cell r="K16">
            <v>90830.280630000008</v>
          </cell>
          <cell r="L16">
            <v>88311.356499999994</v>
          </cell>
          <cell r="M16">
            <v>60737.774999999994</v>
          </cell>
          <cell r="N16">
            <v>56857.5</v>
          </cell>
          <cell r="O16">
            <v>45690</v>
          </cell>
          <cell r="P16">
            <v>57399</v>
          </cell>
        </row>
        <row r="17"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21">
          <cell r="M21">
            <v>250000</v>
          </cell>
          <cell r="N21">
            <v>330203</v>
          </cell>
          <cell r="O21">
            <v>258657.65</v>
          </cell>
          <cell r="P21">
            <v>0</v>
          </cell>
          <cell r="Q21">
            <v>282244</v>
          </cell>
        </row>
        <row r="22"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1019188.5</v>
          </cell>
        </row>
        <row r="26">
          <cell r="F26">
            <v>0</v>
          </cell>
          <cell r="G26">
            <v>341578.65</v>
          </cell>
          <cell r="H26">
            <v>200000</v>
          </cell>
          <cell r="I26">
            <v>250000</v>
          </cell>
          <cell r="J26">
            <v>232865.43</v>
          </cell>
          <cell r="K26">
            <v>463518.2</v>
          </cell>
          <cell r="L26">
            <v>0</v>
          </cell>
          <cell r="M26">
            <v>499977.44</v>
          </cell>
          <cell r="N26">
            <v>424857.56</v>
          </cell>
          <cell r="O26">
            <v>500000</v>
          </cell>
          <cell r="P26">
            <v>308894.18</v>
          </cell>
        </row>
        <row r="27"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31">
          <cell r="F31">
            <v>2565</v>
          </cell>
          <cell r="G31">
            <v>0</v>
          </cell>
          <cell r="H31">
            <v>0</v>
          </cell>
          <cell r="I31">
            <v>0</v>
          </cell>
          <cell r="J31">
            <v>49825.093599999993</v>
          </cell>
          <cell r="K31">
            <v>0</v>
          </cell>
          <cell r="L31">
            <v>152698.07519999999</v>
          </cell>
          <cell r="M31">
            <v>26249.4</v>
          </cell>
          <cell r="N31">
            <v>17955</v>
          </cell>
          <cell r="O31">
            <v>0</v>
          </cell>
          <cell r="P31">
            <v>38612.700000000004</v>
          </cell>
        </row>
        <row r="32"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</row>
        <row r="36">
          <cell r="F36">
            <v>7250.5709999999999</v>
          </cell>
          <cell r="G36">
            <v>28364.362572000005</v>
          </cell>
          <cell r="H36">
            <v>19148.25</v>
          </cell>
          <cell r="I36">
            <v>32995.903499999993</v>
          </cell>
          <cell r="J36">
            <v>33119.9382816</v>
          </cell>
          <cell r="K36">
            <v>35670.412105199997</v>
          </cell>
          <cell r="L36">
            <v>38239.537478400001</v>
          </cell>
          <cell r="M36">
            <v>26956.352874600001</v>
          </cell>
          <cell r="N36">
            <v>20523.417778799998</v>
          </cell>
          <cell r="O36">
            <v>58727.984358000002</v>
          </cell>
          <cell r="P36">
            <v>44430.032000000007</v>
          </cell>
        </row>
        <row r="37"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wth"/>
      <sheetName val="Activity"/>
      <sheetName val="Allocation"/>
      <sheetName val="Result"/>
      <sheetName val="P&amp;L"/>
      <sheetName val="MarketingBdg2k20"/>
    </sheetNames>
    <sheetDataSet>
      <sheetData sheetId="0"/>
      <sheetData sheetId="1"/>
      <sheetData sheetId="2"/>
      <sheetData sheetId="3">
        <row r="7">
          <cell r="H7">
            <v>2100000</v>
          </cell>
        </row>
      </sheetData>
      <sheetData sheetId="4">
        <row r="9">
          <cell r="B9" t="str">
            <v>Digital Retainer Contracts</v>
          </cell>
        </row>
      </sheetData>
      <sheetData sheetId="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y"/>
      <sheetName val="Software"/>
      <sheetName val="Websites"/>
      <sheetName val="Marketing"/>
      <sheetName val="General"/>
      <sheetName val="AuraProfit2k20"/>
    </sheetNames>
    <sheetDataSet>
      <sheetData sheetId="0"/>
      <sheetData sheetId="1">
        <row r="34">
          <cell r="O34">
            <v>207907.4200816667</v>
          </cell>
        </row>
      </sheetData>
      <sheetData sheetId="2">
        <row r="11">
          <cell r="O11">
            <v>502514.99360000005</v>
          </cell>
        </row>
        <row r="14">
          <cell r="O14">
            <v>64953.426373000002</v>
          </cell>
        </row>
        <row r="20">
          <cell r="O20">
            <v>298750.88690476189</v>
          </cell>
        </row>
        <row r="25">
          <cell r="O25">
            <v>2058.0499999999997</v>
          </cell>
        </row>
        <row r="30">
          <cell r="O30">
            <v>44645.244999999995</v>
          </cell>
        </row>
        <row r="32">
          <cell r="O32">
            <v>92107.385322238086</v>
          </cell>
        </row>
        <row r="38">
          <cell r="O38">
            <v>23153.931454703295</v>
          </cell>
        </row>
        <row r="47">
          <cell r="O47">
            <v>22321.129083333333</v>
          </cell>
        </row>
      </sheetData>
      <sheetData sheetId="3"/>
      <sheetData sheetId="4"/>
      <sheetData sheetId="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PHP"/>
      <sheetName val="Mobile"/>
      <sheetName val="Websites"/>
      <sheetName val=".Net"/>
      <sheetName val="Products"/>
      <sheetName val="Design"/>
      <sheetName val="Hosting"/>
    </sheetNames>
    <sheetDataSet>
      <sheetData sheetId="0">
        <row r="3">
          <cell r="E3">
            <v>330066.51688000001</v>
          </cell>
          <cell r="R3">
            <v>852855.96189999976</v>
          </cell>
        </row>
        <row r="4">
          <cell r="R4">
            <v>3612609.6042920002</v>
          </cell>
        </row>
        <row r="5">
          <cell r="R5">
            <v>560000</v>
          </cell>
        </row>
        <row r="6">
          <cell r="R6">
            <v>3089820.1592720002</v>
          </cell>
        </row>
        <row r="7">
          <cell r="R7">
            <v>1150563</v>
          </cell>
        </row>
        <row r="8">
          <cell r="E8">
            <v>451215</v>
          </cell>
          <cell r="R8">
            <v>1405820.7206000001</v>
          </cell>
        </row>
        <row r="9">
          <cell r="R9">
            <v>1802669.6969999999</v>
          </cell>
        </row>
        <row r="10">
          <cell r="R10">
            <v>90000</v>
          </cell>
        </row>
        <row r="11">
          <cell r="R11">
            <v>848063.97640000004</v>
          </cell>
        </row>
        <row r="12">
          <cell r="R12">
            <v>954782.5</v>
          </cell>
        </row>
        <row r="13">
          <cell r="E13">
            <v>245176.90684000001</v>
          </cell>
          <cell r="R13">
            <v>352236.75859999994</v>
          </cell>
        </row>
        <row r="14">
          <cell r="R14">
            <v>753907.35360000003</v>
          </cell>
        </row>
        <row r="15">
          <cell r="R15">
            <v>0</v>
          </cell>
        </row>
        <row r="16">
          <cell r="R16">
            <v>615779.50183999992</v>
          </cell>
        </row>
        <row r="17">
          <cell r="R17">
            <v>188758.31359999999</v>
          </cell>
        </row>
        <row r="18">
          <cell r="E18">
            <v>0</v>
          </cell>
          <cell r="R18">
            <v>909243.85</v>
          </cell>
        </row>
        <row r="19">
          <cell r="R19">
            <v>1748104.5</v>
          </cell>
        </row>
        <row r="20">
          <cell r="R20">
            <v>250799.99999999994</v>
          </cell>
        </row>
        <row r="21">
          <cell r="R21">
            <v>838860.65</v>
          </cell>
        </row>
        <row r="22">
          <cell r="R22">
            <v>1034643.8500000001</v>
          </cell>
        </row>
        <row r="23">
          <cell r="E23">
            <v>220381</v>
          </cell>
          <cell r="R23">
            <v>235120.93399999966</v>
          </cell>
        </row>
        <row r="24">
          <cell r="R24">
            <v>2927537.2139999997</v>
          </cell>
        </row>
        <row r="25">
          <cell r="R25">
            <v>666900</v>
          </cell>
        </row>
        <row r="26">
          <cell r="R26">
            <v>2912797.28</v>
          </cell>
        </row>
        <row r="27">
          <cell r="R27">
            <v>666900</v>
          </cell>
        </row>
        <row r="28">
          <cell r="E28">
            <v>78240.2</v>
          </cell>
          <cell r="R28">
            <v>135950.70640000002</v>
          </cell>
        </row>
        <row r="29">
          <cell r="R29">
            <v>311300.51040000003</v>
          </cell>
        </row>
        <row r="30">
          <cell r="R30">
            <v>0</v>
          </cell>
        </row>
        <row r="31">
          <cell r="R31">
            <v>253590.00399999999</v>
          </cell>
        </row>
        <row r="32">
          <cell r="R32">
            <v>81810</v>
          </cell>
        </row>
        <row r="33">
          <cell r="E33">
            <v>152020.95739</v>
          </cell>
          <cell r="R33">
            <v>351300.13791580003</v>
          </cell>
        </row>
        <row r="34">
          <cell r="R34">
            <v>500290.0894744001</v>
          </cell>
        </row>
        <row r="35">
          <cell r="R35">
            <v>32366.964359999998</v>
          </cell>
        </row>
        <row r="36">
          <cell r="R36">
            <v>301010.9089486</v>
          </cell>
        </row>
        <row r="37">
          <cell r="R37">
            <v>148884.91089999999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enses 2k21"/>
      <sheetName val="Payroll"/>
      <sheetName val="OpEx"/>
      <sheetName val="CapEx"/>
      <sheetName val="Cost of Sales"/>
      <sheetName val="Sunk"/>
      <sheetName val="Taxes"/>
    </sheetNames>
    <sheetDataSet>
      <sheetData sheetId="0">
        <row r="8">
          <cell r="O8">
            <v>1940051.32</v>
          </cell>
        </row>
      </sheetData>
      <sheetData sheetId="1"/>
      <sheetData sheetId="2">
        <row r="7">
          <cell r="B7" t="str">
            <v>Rent</v>
          </cell>
        </row>
        <row r="8">
          <cell r="B8" t="str">
            <v>Consumables</v>
          </cell>
        </row>
        <row r="9">
          <cell r="B9" t="str">
            <v>Office Supplies</v>
          </cell>
        </row>
        <row r="10">
          <cell r="B10" t="str">
            <v>Services</v>
          </cell>
        </row>
        <row r="11">
          <cell r="B11" t="str">
            <v>Bills</v>
          </cell>
        </row>
        <row r="12">
          <cell r="B12" t="str">
            <v>Internet</v>
          </cell>
        </row>
        <row r="13">
          <cell r="B13" t="str">
            <v>Subscriptions</v>
          </cell>
        </row>
        <row r="14">
          <cell r="B14" t="str">
            <v>Utilities</v>
          </cell>
        </row>
        <row r="15">
          <cell r="B15" t="str">
            <v>Transportation</v>
          </cell>
        </row>
        <row r="16">
          <cell r="B16" t="str">
            <v>Bank Charges</v>
          </cell>
        </row>
        <row r="17">
          <cell r="B17" t="str">
            <v>Marketing</v>
          </cell>
        </row>
        <row r="18">
          <cell r="B18" t="str">
            <v>Medical</v>
          </cell>
        </row>
        <row r="19">
          <cell r="B19" t="str">
            <v>Courses</v>
          </cell>
        </row>
      </sheetData>
      <sheetData sheetId="3"/>
      <sheetData sheetId="4"/>
      <sheetData sheetId="5"/>
      <sheetData sheetId="6">
        <row r="7">
          <cell r="B7" t="str">
            <v>Deduction Tax</v>
          </cell>
        </row>
        <row r="8">
          <cell r="B8" t="str">
            <v>Payroll Tax</v>
          </cell>
        </row>
        <row r="9">
          <cell r="B9" t="str">
            <v>Income Tax</v>
          </cell>
        </row>
        <row r="11">
          <cell r="B11" t="str">
            <v>Social Insurance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enses 2k25"/>
      <sheetName val="Payroll"/>
      <sheetName val="OpEx"/>
      <sheetName val="CapEx"/>
      <sheetName val="Cost of Sales"/>
      <sheetName val="Sunk"/>
      <sheetName val="Taxes"/>
    </sheetNames>
    <sheetDataSet>
      <sheetData sheetId="0">
        <row r="8">
          <cell r="C8">
            <v>411674.5</v>
          </cell>
          <cell r="O8">
            <v>4401059.75</v>
          </cell>
        </row>
        <row r="9">
          <cell r="O9">
            <v>864198.12391476391</v>
          </cell>
        </row>
        <row r="13">
          <cell r="O13">
            <v>1837222.9613000001</v>
          </cell>
        </row>
      </sheetData>
      <sheetData sheetId="1" refreshError="1"/>
      <sheetData sheetId="2">
        <row r="7">
          <cell r="C7">
            <v>0</v>
          </cell>
        </row>
        <row r="8">
          <cell r="C8">
            <v>5370.35</v>
          </cell>
          <cell r="D8">
            <v>6037</v>
          </cell>
          <cell r="E8">
            <v>18276.5</v>
          </cell>
          <cell r="F8">
            <v>5387.5</v>
          </cell>
          <cell r="G8">
            <v>7200</v>
          </cell>
          <cell r="H8">
            <v>7907.5</v>
          </cell>
          <cell r="I8">
            <v>4193</v>
          </cell>
          <cell r="J8">
            <v>5594</v>
          </cell>
          <cell r="K8">
            <v>10125</v>
          </cell>
          <cell r="L8">
            <v>2054</v>
          </cell>
        </row>
        <row r="9">
          <cell r="C9">
            <v>147</v>
          </cell>
          <cell r="D9">
            <v>0</v>
          </cell>
          <cell r="E9">
            <v>207</v>
          </cell>
          <cell r="F9">
            <v>80</v>
          </cell>
          <cell r="G9">
            <v>563</v>
          </cell>
          <cell r="H9">
            <v>70</v>
          </cell>
          <cell r="I9">
            <v>35</v>
          </cell>
          <cell r="J9">
            <v>400</v>
          </cell>
          <cell r="K9">
            <v>286</v>
          </cell>
          <cell r="L9">
            <v>70</v>
          </cell>
        </row>
        <row r="10">
          <cell r="C10">
            <v>0</v>
          </cell>
          <cell r="D10">
            <v>1270</v>
          </cell>
          <cell r="E10">
            <v>50</v>
          </cell>
          <cell r="F10">
            <v>2500</v>
          </cell>
          <cell r="G10">
            <v>0</v>
          </cell>
          <cell r="H10">
            <v>350</v>
          </cell>
          <cell r="I10">
            <v>2700</v>
          </cell>
          <cell r="J10">
            <v>0</v>
          </cell>
          <cell r="K10">
            <v>350</v>
          </cell>
          <cell r="L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3000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3000</v>
          </cell>
        </row>
        <row r="12">
          <cell r="C12">
            <v>2066.1999999999998</v>
          </cell>
          <cell r="D12">
            <v>2129.4899999999998</v>
          </cell>
          <cell r="E12">
            <v>1978.2</v>
          </cell>
          <cell r="F12">
            <v>1602.2</v>
          </cell>
          <cell r="G12">
            <v>1802.4</v>
          </cell>
          <cell r="H12">
            <v>2000</v>
          </cell>
          <cell r="I12">
            <v>2714.29</v>
          </cell>
          <cell r="J12">
            <v>2804.4</v>
          </cell>
          <cell r="K12">
            <v>1402.2</v>
          </cell>
          <cell r="L12">
            <v>1902.2</v>
          </cell>
        </row>
        <row r="13">
          <cell r="C13">
            <v>22562.921199999997</v>
          </cell>
          <cell r="D13">
            <v>22851.548565000005</v>
          </cell>
          <cell r="E13">
            <v>22586.749374999999</v>
          </cell>
          <cell r="F13">
            <v>37285.799265000001</v>
          </cell>
          <cell r="G13">
            <v>38017.646325000002</v>
          </cell>
          <cell r="H13">
            <v>37746.072540000001</v>
          </cell>
          <cell r="I13">
            <v>37597.592249999994</v>
          </cell>
          <cell r="J13">
            <v>62494.744964999998</v>
          </cell>
          <cell r="K13">
            <v>60311.847895000006</v>
          </cell>
          <cell r="L13">
            <v>61162.056749999996</v>
          </cell>
        </row>
        <row r="14">
          <cell r="C14">
            <v>20</v>
          </cell>
          <cell r="D14">
            <v>1047.78</v>
          </cell>
          <cell r="E14">
            <v>0</v>
          </cell>
          <cell r="F14">
            <v>20</v>
          </cell>
          <cell r="G14">
            <v>2081.56</v>
          </cell>
          <cell r="H14">
            <v>2495.56</v>
          </cell>
          <cell r="I14">
            <v>2581.56</v>
          </cell>
          <cell r="J14">
            <v>3113.56</v>
          </cell>
          <cell r="K14">
            <v>4150.5599999999995</v>
          </cell>
          <cell r="L14">
            <v>2081.56</v>
          </cell>
        </row>
        <row r="15">
          <cell r="C15">
            <v>112</v>
          </cell>
          <cell r="D15">
            <v>213</v>
          </cell>
          <cell r="E15">
            <v>84</v>
          </cell>
          <cell r="F15">
            <v>184</v>
          </cell>
          <cell r="G15">
            <v>188</v>
          </cell>
          <cell r="H15">
            <v>625</v>
          </cell>
          <cell r="I15">
            <v>135</v>
          </cell>
          <cell r="J15">
            <v>745</v>
          </cell>
          <cell r="K15">
            <v>285</v>
          </cell>
          <cell r="L15">
            <v>2202</v>
          </cell>
        </row>
        <row r="16">
          <cell r="C16">
            <v>1467.53665634</v>
          </cell>
          <cell r="D16">
            <v>1411.4794420999999</v>
          </cell>
          <cell r="E16">
            <v>2501.6331654000005</v>
          </cell>
          <cell r="F16">
            <v>477.08766897999993</v>
          </cell>
          <cell r="G16">
            <v>2374.8589394669998</v>
          </cell>
          <cell r="H16">
            <v>2802.1111514000004</v>
          </cell>
          <cell r="I16">
            <v>1228.0380741000001</v>
          </cell>
          <cell r="J16">
            <v>320.4066851</v>
          </cell>
          <cell r="K16">
            <v>1592.4064351</v>
          </cell>
          <cell r="L16">
            <v>1373.0399986877376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C18">
            <v>-4112</v>
          </cell>
          <cell r="D18">
            <v>-4112</v>
          </cell>
          <cell r="E18">
            <v>25888</v>
          </cell>
          <cell r="F18">
            <v>-4112</v>
          </cell>
          <cell r="G18">
            <v>-4112</v>
          </cell>
          <cell r="H18">
            <v>45888</v>
          </cell>
          <cell r="I18">
            <v>-4112</v>
          </cell>
          <cell r="J18">
            <v>45888</v>
          </cell>
          <cell r="K18">
            <v>-4112</v>
          </cell>
          <cell r="L18">
            <v>-4112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</sheetData>
      <sheetData sheetId="3">
        <row r="34">
          <cell r="C34">
            <v>0</v>
          </cell>
        </row>
      </sheetData>
      <sheetData sheetId="4">
        <row r="9">
          <cell r="C9">
            <v>49400</v>
          </cell>
        </row>
      </sheetData>
      <sheetData sheetId="5" refreshError="1"/>
      <sheetData sheetId="6">
        <row r="7">
          <cell r="C7">
            <v>1787.3978999999999</v>
          </cell>
          <cell r="D7">
            <v>31641.9692</v>
          </cell>
          <cell r="E7">
            <v>17155.466400000001</v>
          </cell>
          <cell r="F7">
            <v>2855.8130999999998</v>
          </cell>
          <cell r="G7">
            <v>21601.119299999998</v>
          </cell>
          <cell r="H7">
            <v>34712.67839999999</v>
          </cell>
          <cell r="I7">
            <v>2107.1873999999998</v>
          </cell>
          <cell r="J7">
            <v>17603.5141</v>
          </cell>
          <cell r="K7">
            <v>22920.203399999999</v>
          </cell>
          <cell r="L7">
            <v>24787.502099999998</v>
          </cell>
          <cell r="M7">
            <v>0</v>
          </cell>
        </row>
        <row r="8">
          <cell r="C8">
            <v>7300</v>
          </cell>
          <cell r="D8">
            <v>9851</v>
          </cell>
          <cell r="E8">
            <v>9851</v>
          </cell>
          <cell r="F8">
            <v>9851</v>
          </cell>
          <cell r="G8">
            <v>9851</v>
          </cell>
          <cell r="H8">
            <v>9851</v>
          </cell>
          <cell r="I8">
            <v>9851</v>
          </cell>
          <cell r="J8">
            <v>9851</v>
          </cell>
          <cell r="K8">
            <v>9851</v>
          </cell>
          <cell r="L8">
            <v>0</v>
          </cell>
          <cell r="M8">
            <v>19700.939999999999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I&amp;E"/>
      <sheetName val="QNB"/>
      <sheetName val="خزينة"/>
      <sheetName val="Suppliers"/>
      <sheetName val="HSBC$"/>
      <sheetName val="خ ضمان"/>
      <sheetName val="Supplier"/>
      <sheetName val="الموردين"/>
    </sheetNames>
    <sheetDataSet>
      <sheetData sheetId="0" refreshError="1"/>
      <sheetData sheetId="1" refreshError="1">
        <row r="28">
          <cell r="AF28">
            <v>1520653.583234</v>
          </cell>
        </row>
        <row r="34">
          <cell r="AF34">
            <v>978353.16999999993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Investment Report"/>
    </sheetNames>
    <sheetDataSet>
      <sheetData sheetId="0">
        <row r="8">
          <cell r="C8" t="str">
            <v>Hazem</v>
          </cell>
        </row>
        <row r="23">
          <cell r="BD23">
            <v>772158.59869999997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onnel Forecast"/>
      <sheetName val="OpEx Forecast"/>
      <sheetName val="CapEx Forecast"/>
      <sheetName val="Sales Comissions"/>
      <sheetName val="Sales Targets"/>
      <sheetName val="Marketing Sales"/>
      <sheetName val="Marketing Profitability"/>
      <sheetName val="Software Sales"/>
      <sheetName val="Software Profitability"/>
      <sheetName val="Income Statement Forecast"/>
    </sheetNames>
    <sheetDataSet>
      <sheetData sheetId="0">
        <row r="106">
          <cell r="C106">
            <v>23.75</v>
          </cell>
          <cell r="D106">
            <v>26.75</v>
          </cell>
          <cell r="E106">
            <v>27.75</v>
          </cell>
          <cell r="F106">
            <v>28.75</v>
          </cell>
          <cell r="G106">
            <v>28.75</v>
          </cell>
          <cell r="H106">
            <v>29.75</v>
          </cell>
          <cell r="I106">
            <v>32.75</v>
          </cell>
          <cell r="J106">
            <v>32.75</v>
          </cell>
          <cell r="K106">
            <v>32.75</v>
          </cell>
          <cell r="L106">
            <v>32.75</v>
          </cell>
          <cell r="M106">
            <v>32.75</v>
          </cell>
          <cell r="N106">
            <v>32.75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0333D16-BA80-9A43-9EEA-B9BB6BD2D078}" name="Table5" displayName="Table5" ref="P6:W15" totalsRowShown="0" headerRowDxfId="60">
  <autoFilter ref="P6:W15" xr:uid="{50333D16-BA80-9A43-9EEA-B9BB6BD2D078}"/>
  <tableColumns count="8">
    <tableColumn id="1" xr3:uid="{8C97B3B0-160B-3F44-938D-8A11EC30193B}" name="2022"/>
    <tableColumn id="2" xr3:uid="{A71CC1F0-0EC3-084C-AE88-0A21D0BDD528}" name="2023"/>
    <tableColumn id="3" xr3:uid="{48CC47AD-ABF1-5B4D-B72E-B8DA9FD39555}" name="2024"/>
    <tableColumn id="5" xr3:uid="{4066D0DE-00A1-FF4B-902F-6E5C14600374}" name="%">
      <calculatedColumnFormula>R7/Q7</calculatedColumnFormula>
    </tableColumn>
    <tableColumn id="4" xr3:uid="{848A70F9-BD6E-C94C-8613-60C44F1E8FC8}" name="2025" dataDxfId="59" dataCellStyle="Percent"/>
    <tableColumn id="6" xr3:uid="{33213CC4-AADB-2E44-BD7A-195E115D86CB}" name="%2" dataDxfId="58">
      <calculatedColumnFormula>Table5[[#This Row],[2025]]/Table5[[#This Row],[2024]]</calculatedColumnFormula>
    </tableColumn>
    <tableColumn id="7" xr3:uid="{B1167DC6-7C1F-4439-8841-2FDB6F9DD278}" name="2026" dataDxfId="57" dataCellStyle="Percent"/>
    <tableColumn id="8" xr3:uid="{FC4A344A-194E-4158-AA1D-BEAD350423DB}" name="%3" dataDxfId="56">
      <calculatedColumnFormula>Table5[[#This Row],[2025]]/Table5[[#This Row],[2024]]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BF9525-B439-8049-8D44-DC986EAD0849}" name="Table12" displayName="Table12" ref="B10:E19" totalsRowCount="1" tableBorderDxfId="55">
  <autoFilter ref="B10:E18" xr:uid="{7E7779AD-CF4C-F04A-84FE-4350DA6134F1}"/>
  <tableColumns count="4">
    <tableColumn id="1" xr3:uid="{DC286F71-7D25-D448-817B-5C669DC57755}" name="Activity" dataDxfId="54" totalsRowDxfId="53"/>
    <tableColumn id="2" xr3:uid="{C81E12B7-F90A-6945-BD76-23A064715D02}" name="Total" totalsRowFunction="sum" dataDxfId="52" totalsRowDxfId="51" dataCellStyle="Comma">
      <calculatedColumnFormula>[8]!Table2[[#Totals],[Total]]</calculatedColumnFormula>
    </tableColumn>
    <tableColumn id="3" xr3:uid="{B0C29474-5C19-834B-B2D4-9C234EB954D7}" name="2023" totalsRowFunction="sum" dataDxfId="50" totalsRowDxfId="49" dataCellStyle="Comma">
      <calculatedColumnFormula>Growth!G7</calculatedColumnFormula>
    </tableColumn>
    <tableColumn id="4" xr3:uid="{581812DB-3DD0-8E4E-B78C-5D6572DFCF56}" name="Growth" totalsRowFunction="custom" dataDxfId="48" totalsRowDxfId="47" dataCellStyle="Percent">
      <calculatedColumnFormula>Table12[[#This Row],[Total]]/Table12[[#This Row],[2023]]-1</calculatedColumnFormula>
      <totalsRowFormula>Table12[[#Totals],[Total]]/Table12[[#Totals],[2023]]</totalsRow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19AD48-45C3-BF4A-8439-0E22403F23D5}" name="Table124" displayName="Table124" ref="A9:D18" totalsRowCount="1" tableBorderDxfId="46">
  <autoFilter ref="A9:D17" xr:uid="{AB3049D2-D4A1-5942-AF40-8F9C0801E90F}"/>
  <tableColumns count="4">
    <tableColumn id="1" xr3:uid="{972DFFE9-7F3D-E549-8FB2-F1EFF48CF863}" name="Activity" dataDxfId="45" totalsRowDxfId="44"/>
    <tableColumn id="2" xr3:uid="{AD768161-6902-204D-848F-4FF64910C42E}" name="Total" totalsRowFunction="sum" dataDxfId="43" totalsRowDxfId="42" dataCellStyle="Comma">
      <calculatedColumnFormula>[8]!Table2[[#Totals],[Total]]</calculatedColumnFormula>
    </tableColumn>
    <tableColumn id="3" xr3:uid="{63649169-DBE1-E242-845B-A26A195A594E}" name="2025" totalsRowFunction="sum" dataDxfId="41" totalsRowDxfId="40" dataCellStyle="Comma">
      <calculatedColumnFormula>Activity!D11</calculatedColumnFormula>
    </tableColumn>
    <tableColumn id="4" xr3:uid="{13F7863E-4482-214C-B9F5-3F1BE75391F0}" name="Increase" totalsRowFunction="custom" dataDxfId="39" totalsRowDxfId="38" dataCellStyle="Percent">
      <calculatedColumnFormula>Table124[[#This Row],[Total]]/Table124[[#This Row],[2025]]-100%</calculatedColumnFormula>
      <totalsRowFormula>(Table124[[#Totals],[Total]]/Table124[[#Totals],[2025]])-100%</totalsRow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71EE357-A59F-0F41-8E04-38548AFC6ED9}" name="Table57" displayName="Table57" ref="P6:V15" totalsRowShown="0" headerRowDxfId="37" dataDxfId="36" dataCellStyle="Comma">
  <autoFilter ref="P6:V15" xr:uid="{771EE357-A59F-0F41-8E04-38548AFC6ED9}"/>
  <tableColumns count="7">
    <tableColumn id="1" xr3:uid="{D7F54887-61F3-FD4E-B0F5-03DD4A94E55D}" name="2022" dataDxfId="35" dataCellStyle="Comma">
      <calculatedColumnFormula>Table5[[#This Row],[2022]]</calculatedColumnFormula>
    </tableColumn>
    <tableColumn id="2" xr3:uid="{71F601EB-BF1F-554A-9C92-B61CC71FFA36}" name="2023" dataDxfId="34" dataCellStyle="Comma">
      <calculatedColumnFormula>Table5[[#This Row],[2023]]</calculatedColumnFormula>
    </tableColumn>
    <tableColumn id="3" xr3:uid="{5D0F6A5C-1F3D-7B48-957C-01A2290A7D31}" name="2024" dataDxfId="33" dataCellStyle="Comma">
      <calculatedColumnFormula>Table5[[#This Row],[2024]]</calculatedColumnFormula>
    </tableColumn>
    <tableColumn id="5" xr3:uid="{F312A094-05B1-E446-B40D-EF2C1FA819BF}" name="2025" dataDxfId="32" dataCellStyle="Comma"/>
    <tableColumn id="8" xr3:uid="{9DA6B596-A662-2D49-ADC8-F35FB9458DE8}" name="2026" dataDxfId="31" dataCellStyle="Comma"/>
    <tableColumn id="4" xr3:uid="{38BAF9AF-4A52-E344-8EA2-66593992FC8E}" name="%" dataDxfId="30" dataCellStyle="Comma">
      <calculatedColumnFormula>Table57[[#This Row],[2026]]/Table57[[#This Row],[2025]]</calculatedColumnFormula>
    </tableColumn>
    <tableColumn id="6" xr3:uid="{A74278AE-48BE-7647-A044-45BF62D3463F}" name="USD$" dataDxfId="29" dataCellStyle="Comma">
      <calculatedColumnFormula>Table57[[#This Row],[2026]]/$T$15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96E895-AE94-3143-8B53-5F52A6868E9D}" name="Table4" displayName="Table4" ref="B15:K55" totalsRowShown="0" headerRowDxfId="28" headerRowBorderDxfId="27" tableBorderDxfId="26">
  <autoFilter ref="B15:K55" xr:uid="{1296E895-AE94-3143-8B53-5F52A6868E9D}"/>
  <tableColumns count="10">
    <tableColumn id="1" xr3:uid="{7A9AED3A-3B60-304F-9007-A9F63510C67D}" name="Role" dataDxfId="25"/>
    <tableColumn id="2" xr3:uid="{E342F445-6025-854C-BD83-7265196E2C48}" name="Employee"/>
    <tableColumn id="3" xr3:uid="{B26C7446-9426-D146-AA35-244AF9F7B967}" name="2025 Net" dataDxfId="24" dataCellStyle="Comma"/>
    <tableColumn id="4" xr3:uid="{E165E43B-B4D9-3947-A8FE-2DA0C63CC521}" name="2026" dataDxfId="23" dataCellStyle="Comma"/>
    <tableColumn id="5" xr3:uid="{383448D7-81BE-264C-84C0-4963AD28D759}" name="Hourly" dataDxfId="22" dataCellStyle="Comma"/>
    <tableColumn id="6" xr3:uid="{2785D156-7C1B-0142-9666-D3811195D7B7}" name="SI" dataDxfId="21" dataCellStyle="Comma">
      <calculatedColumnFormula>MIN(Table4[[#This Row],[2026]],8.1)*0.2975</calculatedColumnFormula>
    </tableColumn>
    <tableColumn id="8" xr3:uid="{42920A7E-7A90-F144-9B70-7F3FC7179FCE}" name="Rep" dataDxfId="20"/>
    <tableColumn id="9" xr3:uid="{BB8036FD-D114-8740-8B4B-0427B41E442F}" name="Y Increase" dataDxfId="19" dataCellStyle="Percent"/>
    <tableColumn id="7" xr3:uid="{D58DB497-9FFD-DD42-98A3-AF0D4265BB66}" name="Column1" dataDxfId="18">
      <calculatedColumnFormula>Table4[[#This Row],[2025 Net]]*1.25</calculatedColumnFormula>
    </tableColumn>
    <tableColumn id="10" xr3:uid="{62A4447E-650F-D540-9F28-AD4A3BCECC88}" name="Column2" dataDxfId="17" dataCellStyle="Comma">
      <calculatedColumnFormula>Table4[[#This Row],[2025 Net]]*1.15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F323C-C1AA-8041-8A63-5EEDF4588FC1}">
  <sheetPr>
    <tabColor theme="6" tint="0.39997558519241921"/>
  </sheetPr>
  <dimension ref="B1:W16"/>
  <sheetViews>
    <sheetView topLeftCell="G1" zoomScale="114" zoomScaleNormal="120" workbookViewId="0">
      <selection activeCell="N7" sqref="N7:N15"/>
    </sheetView>
  </sheetViews>
  <sheetFormatPr baseColWidth="10" defaultColWidth="11" defaultRowHeight="16" x14ac:dyDescent="0.2"/>
  <cols>
    <col min="1" max="1" width="3.5" customWidth="1"/>
    <col min="2" max="2" width="42.5" bestFit="1" customWidth="1"/>
    <col min="3" max="3" width="11.5" hidden="1" customWidth="1"/>
    <col min="4" max="6" width="10.83203125" hidden="1" customWidth="1"/>
    <col min="7" max="8" width="10.83203125" customWidth="1"/>
    <col min="9" max="9" width="11.1640625" bestFit="1" customWidth="1"/>
    <col min="10" max="10" width="11.1640625" customWidth="1"/>
    <col min="13" max="13" width="11.5" bestFit="1" customWidth="1"/>
    <col min="14" max="14" width="11.5" customWidth="1"/>
    <col min="20" max="20" width="11.33203125" customWidth="1"/>
  </cols>
  <sheetData>
    <row r="1" spans="2:23" s="2" customFormat="1" ht="18" x14ac:dyDescent="0.2">
      <c r="B1" s="1"/>
    </row>
    <row r="2" spans="2:23" s="2" customFormat="1" ht="18" x14ac:dyDescent="0.2">
      <c r="B2" s="1" t="s">
        <v>75</v>
      </c>
    </row>
    <row r="3" spans="2:23" s="2" customFormat="1" x14ac:dyDescent="0.2">
      <c r="B3" s="2" t="s">
        <v>1</v>
      </c>
    </row>
    <row r="4" spans="2:23" s="2" customFormat="1" x14ac:dyDescent="0.2">
      <c r="B4" s="2" t="s">
        <v>61</v>
      </c>
    </row>
    <row r="5" spans="2:23" s="2" customFormat="1" ht="17" thickBot="1" x14ac:dyDescent="0.25">
      <c r="M5" s="418" t="s">
        <v>270</v>
      </c>
      <c r="P5" s="2" t="s">
        <v>222</v>
      </c>
    </row>
    <row r="6" spans="2:23" s="2" customFormat="1" x14ac:dyDescent="0.2">
      <c r="B6" s="16" t="s">
        <v>40</v>
      </c>
      <c r="C6" s="4">
        <v>2015</v>
      </c>
      <c r="D6" s="4">
        <v>2016</v>
      </c>
      <c r="E6" s="4">
        <v>2017</v>
      </c>
      <c r="F6" s="4">
        <v>2018</v>
      </c>
      <c r="G6" s="4">
        <v>2019</v>
      </c>
      <c r="H6" s="4">
        <v>2020</v>
      </c>
      <c r="I6" s="5">
        <v>2021</v>
      </c>
      <c r="J6" s="5">
        <v>2022</v>
      </c>
      <c r="K6" s="5">
        <v>2023</v>
      </c>
      <c r="L6" s="5">
        <v>2024</v>
      </c>
      <c r="M6" s="419">
        <v>2025</v>
      </c>
      <c r="N6" s="419">
        <v>2026</v>
      </c>
      <c r="P6" s="2" t="s">
        <v>199</v>
      </c>
      <c r="Q6" s="2" t="s">
        <v>221</v>
      </c>
      <c r="R6" s="2" t="s">
        <v>207</v>
      </c>
      <c r="S6" s="2" t="s">
        <v>42</v>
      </c>
      <c r="T6" s="353" t="s">
        <v>234</v>
      </c>
      <c r="U6" s="2" t="s">
        <v>236</v>
      </c>
      <c r="V6" s="393" t="s">
        <v>242</v>
      </c>
      <c r="W6" s="2" t="s">
        <v>243</v>
      </c>
    </row>
    <row r="7" spans="2:23" x14ac:dyDescent="0.2">
      <c r="B7" s="6" t="s">
        <v>5</v>
      </c>
      <c r="C7" s="3">
        <f>SUM('[1]Income 2015'!$F$17:$Q$17)</f>
        <v>0</v>
      </c>
      <c r="D7" s="3">
        <f>SUM('[2]Income 2016'!$F$17:$Q$17)</f>
        <v>0</v>
      </c>
      <c r="E7" s="3">
        <f>SUM('[3]Income 2017'!$F$17:$Q$17)</f>
        <v>37100</v>
      </c>
      <c r="F7" s="3">
        <f>SUM('[4]Income 2018'!$F$17:$Q$17)</f>
        <v>117830</v>
      </c>
      <c r="G7" s="3">
        <f>SUM('[5]Income 2019'!$F$18:$Q$18)</f>
        <v>12500</v>
      </c>
      <c r="H7" s="3">
        <v>30000</v>
      </c>
      <c r="I7" s="249">
        <v>34200</v>
      </c>
      <c r="J7" s="7">
        <v>40000</v>
      </c>
      <c r="K7" s="7">
        <v>0</v>
      </c>
      <c r="L7" s="7">
        <f>SUM([6]Total!$R$21:$R$22)</f>
        <v>0</v>
      </c>
      <c r="M7" s="420">
        <f>SUM([7]Total!$M$21:$Q$22)</f>
        <v>2140293.15</v>
      </c>
      <c r="N7" s="421">
        <v>2000000</v>
      </c>
      <c r="P7" s="403">
        <v>575</v>
      </c>
      <c r="Q7" s="403">
        <v>625</v>
      </c>
      <c r="R7" s="403">
        <v>800</v>
      </c>
      <c r="S7" s="404">
        <f>R7/Q7</f>
        <v>1.28</v>
      </c>
      <c r="T7" s="394">
        <v>1100</v>
      </c>
      <c r="U7" s="395">
        <f>Table5[[#This Row],[2025]]/Table5[[#This Row],[2024]]</f>
        <v>1.375</v>
      </c>
      <c r="V7" s="394">
        <v>1250</v>
      </c>
      <c r="W7" s="395">
        <f>Table5[[#This Row],[2026]]/Table5[[#This Row],[2025]]</f>
        <v>1.1363636363636365</v>
      </c>
    </row>
    <row r="8" spans="2:23" x14ac:dyDescent="0.2">
      <c r="B8" s="6" t="s">
        <v>233</v>
      </c>
      <c r="C8" s="3">
        <f>SUM('[1]Income 2015'!$F$13:$Q$13)</f>
        <v>185600</v>
      </c>
      <c r="D8" s="3">
        <f>SUM('[2]Income 2016'!$F$13:$Q$13)</f>
        <v>447256</v>
      </c>
      <c r="E8" s="3">
        <f>SUM('[3]Income 2017'!$F$13:$Q$13)</f>
        <v>307494</v>
      </c>
      <c r="F8" s="3">
        <f>SUM('[4]Income 2018'!$F$13:$Q$13)</f>
        <v>966268.38</v>
      </c>
      <c r="G8" s="3">
        <f>SUM('[5]Income 2019'!$F$22:$Q$22)</f>
        <v>826638.18400000001</v>
      </c>
      <c r="H8" s="172">
        <v>1100000</v>
      </c>
      <c r="I8" s="3">
        <f>-1280000+2497000+300000</f>
        <v>1517000</v>
      </c>
      <c r="J8" s="7">
        <f>1630000*0.65+46000+50000+70000</f>
        <v>1225500</v>
      </c>
      <c r="K8" s="7">
        <f>1456884*12/10</f>
        <v>1748260.8</v>
      </c>
      <c r="L8" s="7">
        <f>SUM([6]Total!$R$6:$R$7)</f>
        <v>2649665.9204640002</v>
      </c>
      <c r="M8" s="420">
        <f>SUM([7]Total!$F$6:$P$7)*12/11</f>
        <v>3678723.555569455</v>
      </c>
      <c r="N8" s="421">
        <v>4700000</v>
      </c>
      <c r="P8">
        <v>575</v>
      </c>
      <c r="Q8">
        <v>625</v>
      </c>
      <c r="R8">
        <v>800</v>
      </c>
      <c r="S8" s="352">
        <f t="shared" ref="S8:S15" si="0">R8/Q8</f>
        <v>1.28</v>
      </c>
      <c r="T8" s="353">
        <v>975</v>
      </c>
      <c r="U8" s="354">
        <f>Table5[[#This Row],[2025]]/Table5[[#This Row],[2024]]</f>
        <v>1.21875</v>
      </c>
      <c r="V8" s="394">
        <v>1150</v>
      </c>
      <c r="W8" s="395">
        <f>Table5[[#This Row],[2026]]/Table5[[#This Row],[2025]]</f>
        <v>1.1794871794871795</v>
      </c>
    </row>
    <row r="9" spans="2:23" x14ac:dyDescent="0.2">
      <c r="B9" s="6" t="s">
        <v>208</v>
      </c>
      <c r="C9" s="3"/>
      <c r="D9" s="3"/>
      <c r="E9" s="3"/>
      <c r="F9" s="3"/>
      <c r="G9" s="3"/>
      <c r="H9" s="172"/>
      <c r="I9" s="3"/>
      <c r="J9" s="7"/>
      <c r="K9" s="7"/>
      <c r="L9" s="7">
        <f>SUM([6]Total!$R$26:$R$27)</f>
        <v>2799353.66</v>
      </c>
      <c r="M9" s="420">
        <f>SUM([7]Total!$F$26:$P$27)*12/11</f>
        <v>3514572.5018181815</v>
      </c>
      <c r="N9" s="422">
        <v>4400000</v>
      </c>
      <c r="P9">
        <v>525</v>
      </c>
      <c r="Q9">
        <v>575</v>
      </c>
      <c r="R9">
        <v>800</v>
      </c>
      <c r="S9" s="352">
        <f t="shared" si="0"/>
        <v>1.3913043478260869</v>
      </c>
      <c r="T9" s="353">
        <v>975</v>
      </c>
      <c r="U9" s="354">
        <f>Table5[[#This Row],[2025]]/Table5[[#This Row],[2024]]</f>
        <v>1.21875</v>
      </c>
      <c r="V9" s="394">
        <v>1150</v>
      </c>
      <c r="W9" s="395">
        <f>Table5[[#This Row],[2026]]/Table5[[#This Row],[2025]]</f>
        <v>1.1794871794871795</v>
      </c>
    </row>
    <row r="10" spans="2:23" x14ac:dyDescent="0.2">
      <c r="B10" s="6" t="s">
        <v>144</v>
      </c>
      <c r="C10" s="3">
        <v>0</v>
      </c>
      <c r="D10" s="3">
        <f>SUM('[2]Income 2016'!$F$37:$Q$37)</f>
        <v>33900</v>
      </c>
      <c r="E10" s="3">
        <f>SUM('[3]Income 2017'!$F$37:$Q$37)</f>
        <v>84187.25</v>
      </c>
      <c r="F10" s="3">
        <f>SUM('[4]Income 2018'!$F$37:$Q$37)</f>
        <v>0</v>
      </c>
      <c r="G10" s="3">
        <f>SUM('[5]Income 2019'!$F$26:$Q$26)</f>
        <v>5000</v>
      </c>
      <c r="H10" s="3">
        <v>0</v>
      </c>
      <c r="I10" s="3">
        <f>680694+300000</f>
        <v>980694</v>
      </c>
      <c r="J10" s="7">
        <f>1630000*0.4</f>
        <v>652000</v>
      </c>
      <c r="K10" s="7">
        <f>348985*12/10</f>
        <v>418782</v>
      </c>
      <c r="L10" s="7">
        <f>SUM([6]Total!$R$11:$R$12)</f>
        <v>899561.65999999992</v>
      </c>
      <c r="M10" s="420">
        <f>SUM([7]Total!$F$11:$P$12)*12/11</f>
        <v>1442787.4651636363</v>
      </c>
      <c r="N10" s="421">
        <v>2500000</v>
      </c>
      <c r="P10">
        <v>575</v>
      </c>
      <c r="Q10">
        <v>625</v>
      </c>
      <c r="R10">
        <v>800</v>
      </c>
      <c r="S10" s="352">
        <f t="shared" si="0"/>
        <v>1.28</v>
      </c>
      <c r="T10" s="353">
        <v>975</v>
      </c>
      <c r="U10" s="354">
        <f>Table5[[#This Row],[2025]]/Table5[[#This Row],[2024]]</f>
        <v>1.21875</v>
      </c>
      <c r="V10" s="394">
        <v>1150</v>
      </c>
      <c r="W10" s="395">
        <f>Table5[[#This Row],[2026]]/Table5[[#This Row],[2025]]</f>
        <v>1.1794871794871795</v>
      </c>
    </row>
    <row r="11" spans="2:23" x14ac:dyDescent="0.2">
      <c r="B11" s="6" t="s">
        <v>6</v>
      </c>
      <c r="C11" s="3">
        <f>SUM('[1]Income 2015'!$F$29:$Q$29)</f>
        <v>0</v>
      </c>
      <c r="D11" s="3">
        <f>SUM('[2]Income 2016'!$F$29:$Q$29)</f>
        <v>0</v>
      </c>
      <c r="E11" s="3">
        <f>SUM('[3]Income 2017'!$F$29:$Q$29)</f>
        <v>0</v>
      </c>
      <c r="F11" s="3">
        <f>SUM('[4]Income 2018'!$F$29:$Q$29)</f>
        <v>11920</v>
      </c>
      <c r="G11" s="3">
        <f>SUM('[5]Income 2019'!$F$30:$Q$30)</f>
        <v>155639.8668918919</v>
      </c>
      <c r="H11" s="3">
        <v>120000</v>
      </c>
      <c r="I11" s="3">
        <v>160020</v>
      </c>
      <c r="J11" s="7">
        <v>185595</v>
      </c>
      <c r="K11" s="7" t="s">
        <v>262</v>
      </c>
      <c r="L11" s="7">
        <v>0</v>
      </c>
      <c r="M11" s="420">
        <v>0</v>
      </c>
      <c r="N11" s="421">
        <v>0</v>
      </c>
      <c r="P11">
        <f>(P8+P12)/2</f>
        <v>525</v>
      </c>
      <c r="Q11">
        <f>(Q8+Q12)/2</f>
        <v>587.5</v>
      </c>
      <c r="R11">
        <f>(R8+R12)/2</f>
        <v>762.5</v>
      </c>
      <c r="S11" s="352">
        <f t="shared" si="0"/>
        <v>1.2978723404255319</v>
      </c>
      <c r="T11" s="353">
        <v>0</v>
      </c>
      <c r="U11" s="354">
        <f>Table5[[#This Row],[2025]]/Table5[[#This Row],[2024]]</f>
        <v>0</v>
      </c>
      <c r="V11" s="394">
        <v>0</v>
      </c>
      <c r="W11" s="395">
        <v>0</v>
      </c>
    </row>
    <row r="12" spans="2:23" x14ac:dyDescent="0.2">
      <c r="B12" s="6" t="s">
        <v>7</v>
      </c>
      <c r="C12" s="3">
        <f>SUM('[1]Income 2015'!$F$25:$Q$25)</f>
        <v>12750</v>
      </c>
      <c r="D12" s="3">
        <f>SUM('[2]Income 2016'!$F$25:$Q$25)</f>
        <v>61008.1</v>
      </c>
      <c r="E12" s="3">
        <f>SUM('[3]Income 2017'!$F$25:$Q$25)</f>
        <v>189884.75</v>
      </c>
      <c r="F12" s="3">
        <f>SUM('[4]Income 2018'!$F$25:$Q$25)</f>
        <v>278837.53419999999</v>
      </c>
      <c r="G12" s="3">
        <f>SUM('[5]Income 2019'!$F$39:$Q$39)</f>
        <v>438820.47</v>
      </c>
      <c r="H12" s="173">
        <v>505000</v>
      </c>
      <c r="I12" s="173">
        <v>468300</v>
      </c>
      <c r="J12" s="12">
        <v>325000</v>
      </c>
      <c r="K12" s="12">
        <f>372000*12/11</f>
        <v>405818.18181818182</v>
      </c>
      <c r="L12" s="7">
        <f>SUM([6]Total!$R$16:$R$17)</f>
        <v>1066495.9387799997</v>
      </c>
      <c r="M12" s="420">
        <f>SUM([7]Total!$F$16:$P$17)*12/11</f>
        <v>694293.42777818174</v>
      </c>
      <c r="N12" s="421">
        <v>1100000</v>
      </c>
      <c r="P12">
        <v>475</v>
      </c>
      <c r="Q12">
        <v>550</v>
      </c>
      <c r="R12">
        <v>725</v>
      </c>
      <c r="S12" s="352">
        <f t="shared" si="0"/>
        <v>1.3181818181818181</v>
      </c>
      <c r="T12" s="353">
        <v>875</v>
      </c>
      <c r="U12" s="354">
        <f>Table5[[#This Row],[2025]]/Table5[[#This Row],[2024]]</f>
        <v>1.2068965517241379</v>
      </c>
      <c r="V12" s="394">
        <v>1050</v>
      </c>
      <c r="W12" s="395">
        <f>Table5[[#This Row],[2026]]/Table5[[#This Row],[2025]]</f>
        <v>1.2</v>
      </c>
    </row>
    <row r="13" spans="2:23" x14ac:dyDescent="0.2">
      <c r="B13" s="6" t="s">
        <v>161</v>
      </c>
      <c r="C13" s="3"/>
      <c r="D13" s="3"/>
      <c r="E13" s="3"/>
      <c r="F13" s="3"/>
      <c r="G13" s="3"/>
      <c r="H13" s="173"/>
      <c r="I13" s="173"/>
      <c r="J13" s="12">
        <v>23000</v>
      </c>
      <c r="K13" s="12">
        <v>75000</v>
      </c>
      <c r="L13" s="7">
        <f>SUM([6]Total!$R$30:$R$31)</f>
        <v>100918.11</v>
      </c>
      <c r="M13" s="420">
        <f>SUM([7]Total!$F$31:$P$32)*12/11</f>
        <v>314078.47505454539</v>
      </c>
      <c r="N13" s="421">
        <v>400000</v>
      </c>
      <c r="Q13">
        <v>550</v>
      </c>
      <c r="R13">
        <v>725</v>
      </c>
      <c r="S13" s="352">
        <f t="shared" si="0"/>
        <v>1.3181818181818181</v>
      </c>
      <c r="T13" s="353">
        <v>875</v>
      </c>
      <c r="U13" s="354">
        <f>Table5[[#This Row],[2025]]/Table5[[#This Row],[2024]]</f>
        <v>1.2068965517241379</v>
      </c>
      <c r="V13" s="394">
        <v>1050</v>
      </c>
      <c r="W13" s="395">
        <f>Table5[[#This Row],[2026]]/Table5[[#This Row],[2025]]</f>
        <v>1.2</v>
      </c>
    </row>
    <row r="14" spans="2:23" ht="17" thickBot="1" x14ac:dyDescent="0.25">
      <c r="B14" s="8" t="s">
        <v>8</v>
      </c>
      <c r="C14" s="9">
        <v>0</v>
      </c>
      <c r="D14" s="9">
        <v>0</v>
      </c>
      <c r="E14" s="9">
        <v>0</v>
      </c>
      <c r="F14" s="9">
        <v>0</v>
      </c>
      <c r="G14" s="9">
        <f>SUM('[5]Income 2019'!$F$43:$Q$43)</f>
        <v>62052.335199999994</v>
      </c>
      <c r="H14" s="9">
        <v>45000</v>
      </c>
      <c r="I14" s="250">
        <v>80107</v>
      </c>
      <c r="J14" s="10">
        <v>124000</v>
      </c>
      <c r="K14" s="10">
        <v>406043</v>
      </c>
      <c r="L14" s="7">
        <f>SUM([6]Total!$R$36:$R$37)</f>
        <v>373282.55611155997</v>
      </c>
      <c r="M14" s="420">
        <f>SUM([7]Total!$F$36:$P$37)*12/11</f>
        <v>376829.19485301821</v>
      </c>
      <c r="N14" s="423">
        <v>362000</v>
      </c>
      <c r="P14" s="35">
        <f>120*P15*1.05*1.14</f>
        <v>2243.6567999999997</v>
      </c>
      <c r="Q14" s="35">
        <f>120*Q15*1.05*1.14</f>
        <v>3418.6320000000001</v>
      </c>
      <c r="R14" s="35">
        <f>120*R15*1.05*1.14</f>
        <v>4444.2215999999999</v>
      </c>
      <c r="S14" s="352">
        <f t="shared" si="0"/>
        <v>1.3</v>
      </c>
      <c r="T14" s="396">
        <f>150*T15*1.05*1.14</f>
        <v>8797.9499999999989</v>
      </c>
      <c r="U14" s="354">
        <f>Table5[[#This Row],[2025]]/Table5[[#This Row],[2024]]</f>
        <v>1.9796380090497736</v>
      </c>
      <c r="V14" s="396">
        <f>150*V15*1.05*1.14</f>
        <v>8456.8049999999985</v>
      </c>
      <c r="W14" s="395">
        <f>Table5[[#This Row],[2026]]/Table5[[#This Row],[2025]]</f>
        <v>0.96122448979591835</v>
      </c>
    </row>
    <row r="15" spans="2:23" ht="17" thickBot="1" x14ac:dyDescent="0.25">
      <c r="B15" s="13" t="s">
        <v>9</v>
      </c>
      <c r="C15" s="14">
        <f t="shared" ref="C15:K15" si="1">SUM(C7:C14)</f>
        <v>198350</v>
      </c>
      <c r="D15" s="14">
        <f t="shared" si="1"/>
        <v>542164.1</v>
      </c>
      <c r="E15" s="14">
        <f t="shared" si="1"/>
        <v>618666</v>
      </c>
      <c r="F15" s="14">
        <f t="shared" si="1"/>
        <v>1374855.9142</v>
      </c>
      <c r="G15" s="14">
        <f t="shared" si="1"/>
        <v>1500650.8560918919</v>
      </c>
      <c r="H15" s="14">
        <f t="shared" si="1"/>
        <v>1800000</v>
      </c>
      <c r="I15" s="15">
        <f t="shared" si="1"/>
        <v>3240321</v>
      </c>
      <c r="J15" s="15">
        <f t="shared" si="1"/>
        <v>2575095</v>
      </c>
      <c r="K15" s="15">
        <f t="shared" si="1"/>
        <v>3053903.9818181815</v>
      </c>
      <c r="L15" s="15">
        <f>SUM(L7:L14)</f>
        <v>7889277.8453555601</v>
      </c>
      <c r="M15" s="15">
        <f>SUM(M7:M14)</f>
        <v>12161577.770237021</v>
      </c>
      <c r="N15" s="15">
        <f>SUM(N7:N14)</f>
        <v>15462000</v>
      </c>
      <c r="P15">
        <v>15.62</v>
      </c>
      <c r="Q15">
        <v>23.8</v>
      </c>
      <c r="R15">
        <v>30.94</v>
      </c>
      <c r="S15" s="352">
        <f t="shared" si="0"/>
        <v>1.3</v>
      </c>
      <c r="T15" s="353">
        <v>49</v>
      </c>
      <c r="U15" s="354">
        <f>Table5[[#This Row],[2025]]/Table5[[#This Row],[2024]]</f>
        <v>1.5837104072398189</v>
      </c>
      <c r="V15" s="394">
        <v>47.1</v>
      </c>
      <c r="W15" s="395">
        <f>Table5[[#This Row],[2026]]/Table5[[#This Row],[2025]]</f>
        <v>0.96122448979591835</v>
      </c>
    </row>
    <row r="16" spans="2:23" x14ac:dyDescent="0.2">
      <c r="B16" s="2"/>
      <c r="C16" s="11"/>
      <c r="D16" s="11"/>
      <c r="E16" s="11"/>
      <c r="F16" s="11"/>
      <c r="G16" s="77">
        <f t="shared" ref="G16:M16" si="2">G15/F15</f>
        <v>1.091496818388485</v>
      </c>
      <c r="H16" s="77">
        <f t="shared" si="2"/>
        <v>1.1994795409557795</v>
      </c>
      <c r="I16" s="77">
        <f t="shared" si="2"/>
        <v>1.8001783333333334</v>
      </c>
      <c r="J16" s="77">
        <f t="shared" si="2"/>
        <v>0.79470367287685384</v>
      </c>
      <c r="K16" s="77">
        <f t="shared" si="2"/>
        <v>1.1859383757951383</v>
      </c>
      <c r="L16" s="77">
        <f t="shared" si="2"/>
        <v>2.5833418117679572</v>
      </c>
      <c r="M16" s="77">
        <f t="shared" si="2"/>
        <v>1.5415324455072368</v>
      </c>
      <c r="N16" s="77">
        <f>N15/M15</f>
        <v>1.2713810898648437</v>
      </c>
    </row>
  </sheetData>
  <phoneticPr fontId="32" type="noConversion"/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FE5F1-4102-0644-9F4C-E6147254E1CB}">
  <sheetPr>
    <tabColor theme="1"/>
  </sheetPr>
  <dimension ref="B1:Q184"/>
  <sheetViews>
    <sheetView topLeftCell="A5" zoomScale="110" zoomScaleNormal="110" workbookViewId="0">
      <selection activeCell="D23" sqref="D23"/>
    </sheetView>
  </sheetViews>
  <sheetFormatPr baseColWidth="10" defaultColWidth="11" defaultRowHeight="16" x14ac:dyDescent="0.2"/>
  <cols>
    <col min="1" max="1" width="3.5" customWidth="1"/>
    <col min="2" max="2" width="42.5" bestFit="1" customWidth="1"/>
    <col min="3" max="3" width="12.5" bestFit="1" customWidth="1"/>
    <col min="4" max="14" width="12.1640625" bestFit="1" customWidth="1"/>
    <col min="15" max="15" width="13.6640625" bestFit="1" customWidth="1"/>
    <col min="16" max="16" width="12.1640625" bestFit="1" customWidth="1"/>
  </cols>
  <sheetData>
    <row r="1" spans="2:6" s="2" customFormat="1" ht="18" x14ac:dyDescent="0.2">
      <c r="B1" s="1"/>
    </row>
    <row r="2" spans="2:6" s="2" customFormat="1" ht="18" x14ac:dyDescent="0.2">
      <c r="B2" s="1" t="s">
        <v>75</v>
      </c>
    </row>
    <row r="3" spans="2:6" s="2" customFormat="1" x14ac:dyDescent="0.2">
      <c r="B3" s="2" t="s">
        <v>0</v>
      </c>
    </row>
    <row r="4" spans="2:6" s="2" customFormat="1" x14ac:dyDescent="0.2">
      <c r="B4" s="2" t="s">
        <v>61</v>
      </c>
    </row>
    <row r="5" spans="2:6" s="2" customFormat="1" x14ac:dyDescent="0.2"/>
    <row r="6" spans="2:6" s="2" customFormat="1" x14ac:dyDescent="0.2">
      <c r="B6" s="65" t="s">
        <v>10</v>
      </c>
      <c r="C6" s="68">
        <v>0.14000000000000001</v>
      </c>
    </row>
    <row r="7" spans="2:6" s="2" customFormat="1" x14ac:dyDescent="0.2">
      <c r="C7" s="17"/>
    </row>
    <row r="8" spans="2:6" s="2" customFormat="1" ht="17" thickBot="1" x14ac:dyDescent="0.25">
      <c r="B8" s="73" t="s">
        <v>38</v>
      </c>
      <c r="C8" s="17"/>
    </row>
    <row r="9" spans="2:6" x14ac:dyDescent="0.2">
      <c r="B9" s="74" t="s">
        <v>41</v>
      </c>
      <c r="C9" s="29"/>
      <c r="D9" s="29"/>
      <c r="E9" s="29"/>
      <c r="F9" s="2"/>
    </row>
    <row r="10" spans="2:6" x14ac:dyDescent="0.2">
      <c r="B10" s="34" t="s">
        <v>3</v>
      </c>
      <c r="C10" s="75" t="s">
        <v>9</v>
      </c>
      <c r="D10" t="s">
        <v>221</v>
      </c>
      <c r="E10" t="s">
        <v>39</v>
      </c>
    </row>
    <row r="11" spans="2:6" x14ac:dyDescent="0.2">
      <c r="B11" s="28" t="s">
        <v>6</v>
      </c>
      <c r="C11" s="76">
        <f>O61</f>
        <v>362178</v>
      </c>
      <c r="D11" s="251">
        <v>400000</v>
      </c>
      <c r="E11" s="77">
        <f>Table12[[#This Row],[Total]]/Table12[[#This Row],[2023]]-1</f>
        <v>-9.4554999999999945E-2</v>
      </c>
    </row>
    <row r="12" spans="2:6" x14ac:dyDescent="0.2">
      <c r="B12" s="28" t="s">
        <v>4</v>
      </c>
      <c r="C12" s="76">
        <f>O108</f>
        <v>2664180</v>
      </c>
      <c r="D12" s="252">
        <f>Growth!K8</f>
        <v>1748260.8</v>
      </c>
      <c r="E12" s="77">
        <f>Table12[[#This Row],[Total]]/Table12[[#This Row],[2023]]-1</f>
        <v>0.52390306983946555</v>
      </c>
    </row>
    <row r="13" spans="2:6" x14ac:dyDescent="0.2">
      <c r="B13" s="28" t="s">
        <v>5</v>
      </c>
      <c r="C13" s="76">
        <f>O117</f>
        <v>123120.00000000003</v>
      </c>
      <c r="D13" s="251">
        <f>Growth!K7</f>
        <v>0</v>
      </c>
      <c r="E13" s="77" t="e">
        <f>Table12[[#This Row],[Total]]/Table12[[#This Row],[2023]]-1</f>
        <v>#DIV/0!</v>
      </c>
    </row>
    <row r="14" spans="2:6" x14ac:dyDescent="0.2">
      <c r="B14" s="28" t="s">
        <v>7</v>
      </c>
      <c r="C14" s="76">
        <f>O136</f>
        <v>873840</v>
      </c>
      <c r="D14" s="251">
        <f>Growth!K12</f>
        <v>405818.18181818182</v>
      </c>
      <c r="E14" s="77">
        <f>Table12[[#This Row],[Total]]/Table12[[#This Row],[2023]]-1</f>
        <v>1.1532795698924732</v>
      </c>
    </row>
    <row r="15" spans="2:6" x14ac:dyDescent="0.2">
      <c r="B15" s="28" t="s">
        <v>8</v>
      </c>
      <c r="C15" s="76">
        <f>O149</f>
        <v>215070</v>
      </c>
      <c r="D15" s="251">
        <f>Growth!K14</f>
        <v>406043</v>
      </c>
      <c r="E15" s="77">
        <f>Table12[[#This Row],[Total]]/Table12[[#This Row],[2023]]-1</f>
        <v>-0.47032703432887646</v>
      </c>
    </row>
    <row r="16" spans="2:6" x14ac:dyDescent="0.2">
      <c r="B16" s="28" t="s">
        <v>144</v>
      </c>
      <c r="C16" s="76">
        <f>O184</f>
        <v>1207260</v>
      </c>
      <c r="D16" s="251">
        <f>Growth!K10</f>
        <v>418782</v>
      </c>
      <c r="E16" s="77">
        <f>Table12[[#This Row],[Total]]/Table12[[#This Row],[2023]]-1</f>
        <v>1.8827886585383324</v>
      </c>
    </row>
    <row r="17" spans="2:5" x14ac:dyDescent="0.2">
      <c r="B17" s="28" t="s">
        <v>161</v>
      </c>
      <c r="C17" s="76" t="e">
        <f>[8]!Table2[[#Totals],[Total]]</f>
        <v>#REF!</v>
      </c>
      <c r="D17" s="251">
        <f>Growth!K13</f>
        <v>75000</v>
      </c>
      <c r="E17" s="77" t="e">
        <f>Table12[[#This Row],[Total]]/Table12[[#This Row],[2023]]-1</f>
        <v>#REF!</v>
      </c>
    </row>
    <row r="18" spans="2:5" x14ac:dyDescent="0.2">
      <c r="B18" s="28" t="s">
        <v>208</v>
      </c>
      <c r="C18" s="76" t="e">
        <f>[8]!Table2[[#Totals],[Total]]</f>
        <v>#REF!</v>
      </c>
      <c r="D18" s="251">
        <f>Growth!K9</f>
        <v>0</v>
      </c>
      <c r="E18" s="77" t="e">
        <f>Table12[[#This Row],[Total]]/Table12[[#This Row],[2023]]-1</f>
        <v>#REF!</v>
      </c>
    </row>
    <row r="19" spans="2:5" x14ac:dyDescent="0.2">
      <c r="B19" s="28"/>
      <c r="C19" s="78" t="e">
        <f>SUBTOTAL(109,Table12[Total])</f>
        <v>#REF!</v>
      </c>
      <c r="D19" s="78">
        <f>SUBTOTAL(109,Table12[2023])</f>
        <v>3453903.9818181815</v>
      </c>
      <c r="E19" s="82" t="e">
        <f>Table12[[#Totals],[Total]]/Table12[[#Totals],[2023]]</f>
        <v>#REF!</v>
      </c>
    </row>
    <row r="20" spans="2:5" s="2" customFormat="1" x14ac:dyDescent="0.2">
      <c r="C20" s="17"/>
    </row>
    <row r="21" spans="2:5" s="2" customFormat="1" ht="17" thickBot="1" x14ac:dyDescent="0.25">
      <c r="B21" s="59" t="s">
        <v>24</v>
      </c>
      <c r="C21" s="17"/>
    </row>
    <row r="22" spans="2:5" s="2" customFormat="1" x14ac:dyDescent="0.2">
      <c r="B22" s="18" t="s">
        <v>28</v>
      </c>
      <c r="C22" s="19"/>
    </row>
    <row r="23" spans="2:5" s="2" customFormat="1" ht="17" thickBot="1" x14ac:dyDescent="0.25">
      <c r="B23" s="20"/>
      <c r="C23" s="21" t="s">
        <v>14</v>
      </c>
    </row>
    <row r="24" spans="2:5" s="2" customFormat="1" ht="17" thickTop="1" x14ac:dyDescent="0.2">
      <c r="B24" s="22" t="s">
        <v>145</v>
      </c>
      <c r="C24" s="23">
        <f>2.5*3000*1.14</f>
        <v>8550</v>
      </c>
    </row>
    <row r="25" spans="2:5" s="2" customFormat="1" x14ac:dyDescent="0.2">
      <c r="B25" s="24" t="s">
        <v>146</v>
      </c>
      <c r="C25" s="25">
        <f>2.5*3000*1.14</f>
        <v>8550</v>
      </c>
    </row>
    <row r="26" spans="2:5" s="2" customFormat="1" x14ac:dyDescent="0.2">
      <c r="B26" s="24" t="s">
        <v>15</v>
      </c>
      <c r="C26" s="25">
        <f>3500*1.14</f>
        <v>3989.9999999999995</v>
      </c>
    </row>
    <row r="27" spans="2:5" s="2" customFormat="1" x14ac:dyDescent="0.2">
      <c r="B27" s="24" t="s">
        <v>25</v>
      </c>
      <c r="C27" s="25">
        <f>3500*1.14</f>
        <v>3989.9999999999995</v>
      </c>
    </row>
    <row r="28" spans="2:5" s="2" customFormat="1" x14ac:dyDescent="0.2">
      <c r="B28" s="24" t="s">
        <v>147</v>
      </c>
      <c r="C28" s="25">
        <f>2600*1.14</f>
        <v>2963.9999999999995</v>
      </c>
    </row>
    <row r="29" spans="2:5" s="2" customFormat="1" x14ac:dyDescent="0.2">
      <c r="B29" s="24" t="s">
        <v>201</v>
      </c>
      <c r="C29" s="25">
        <f>1500*1.14</f>
        <v>1709.9999999999998</v>
      </c>
    </row>
    <row r="30" spans="2:5" s="2" customFormat="1" x14ac:dyDescent="0.2">
      <c r="B30" s="24" t="s">
        <v>202</v>
      </c>
      <c r="C30" s="25">
        <f>1000*1.14</f>
        <v>1140</v>
      </c>
    </row>
    <row r="31" spans="2:5" s="2" customFormat="1" x14ac:dyDescent="0.2">
      <c r="B31" s="24"/>
      <c r="C31" s="25"/>
    </row>
    <row r="32" spans="2:5" s="2" customFormat="1" x14ac:dyDescent="0.2">
      <c r="B32" s="24"/>
      <c r="C32" s="25"/>
    </row>
    <row r="33" spans="2:15" s="2" customFormat="1" ht="17" thickBot="1" x14ac:dyDescent="0.25">
      <c r="B33" s="26"/>
      <c r="C33" s="27"/>
    </row>
    <row r="34" spans="2:15" s="2" customFormat="1" ht="17" thickBot="1" x14ac:dyDescent="0.25">
      <c r="B34" s="28"/>
      <c r="C34" s="17"/>
    </row>
    <row r="35" spans="2:15" x14ac:dyDescent="0.2">
      <c r="B35" s="18" t="s">
        <v>19</v>
      </c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30"/>
    </row>
    <row r="36" spans="2:15" ht="17" thickBot="1" x14ac:dyDescent="0.25">
      <c r="B36" s="20"/>
      <c r="C36" s="31">
        <v>44927</v>
      </c>
      <c r="D36" s="31">
        <v>44958</v>
      </c>
      <c r="E36" s="31">
        <v>44986</v>
      </c>
      <c r="F36" s="31">
        <v>45017</v>
      </c>
      <c r="G36" s="31">
        <v>45047</v>
      </c>
      <c r="H36" s="31">
        <v>45078</v>
      </c>
      <c r="I36" s="31">
        <v>45108</v>
      </c>
      <c r="J36" s="31">
        <v>45139</v>
      </c>
      <c r="K36" s="31">
        <v>44805</v>
      </c>
      <c r="L36" s="31">
        <v>45200</v>
      </c>
      <c r="M36" s="31">
        <v>45231</v>
      </c>
      <c r="N36" s="31">
        <v>45261</v>
      </c>
      <c r="O36" s="32" t="s">
        <v>9</v>
      </c>
    </row>
    <row r="37" spans="2:15" ht="17" thickTop="1" x14ac:dyDescent="0.2">
      <c r="B37" s="48" t="str">
        <f t="shared" ref="B37:B46" si="0">B24</f>
        <v>iScore SME</v>
      </c>
      <c r="C37" s="49">
        <v>1</v>
      </c>
      <c r="D37" s="49">
        <v>1</v>
      </c>
      <c r="E37" s="49">
        <v>1</v>
      </c>
      <c r="F37" s="49">
        <v>1</v>
      </c>
      <c r="G37" s="49">
        <v>1</v>
      </c>
      <c r="H37" s="49">
        <v>1</v>
      </c>
      <c r="I37" s="49">
        <v>1</v>
      </c>
      <c r="J37" s="49">
        <v>1</v>
      </c>
      <c r="K37" s="49">
        <v>1</v>
      </c>
      <c r="L37" s="49">
        <v>1</v>
      </c>
      <c r="M37" s="49">
        <v>1</v>
      </c>
      <c r="N37" s="49">
        <v>1</v>
      </c>
      <c r="O37" s="51">
        <f>SUM(C37:N37)</f>
        <v>12</v>
      </c>
    </row>
    <row r="38" spans="2:15" x14ac:dyDescent="0.2">
      <c r="B38" t="str">
        <f t="shared" si="0"/>
        <v>iScore ECR</v>
      </c>
      <c r="C38" s="52">
        <v>1</v>
      </c>
      <c r="D38" s="52">
        <v>1</v>
      </c>
      <c r="E38" s="52">
        <v>1</v>
      </c>
      <c r="F38" s="52">
        <v>1</v>
      </c>
      <c r="G38" s="52">
        <v>1</v>
      </c>
      <c r="H38" s="52">
        <v>1</v>
      </c>
      <c r="I38" s="52">
        <v>1</v>
      </c>
      <c r="J38" s="53">
        <v>1</v>
      </c>
      <c r="K38" s="53">
        <v>1</v>
      </c>
      <c r="L38" s="35">
        <v>1</v>
      </c>
      <c r="M38" s="35">
        <v>1</v>
      </c>
      <c r="N38" s="35">
        <v>1</v>
      </c>
      <c r="O38" s="36">
        <f t="shared" ref="O38:O46" si="1">SUM(C38:N38)</f>
        <v>12</v>
      </c>
    </row>
    <row r="39" spans="2:15" x14ac:dyDescent="0.2">
      <c r="B39" t="str">
        <f t="shared" si="0"/>
        <v>Smart Furniture</v>
      </c>
      <c r="C39" s="52">
        <v>1</v>
      </c>
      <c r="D39" s="52">
        <v>1</v>
      </c>
      <c r="E39" s="52">
        <v>1</v>
      </c>
      <c r="F39" s="52">
        <v>1</v>
      </c>
      <c r="G39" s="52">
        <v>1</v>
      </c>
      <c r="H39" s="52">
        <v>1</v>
      </c>
      <c r="I39" s="52">
        <v>1</v>
      </c>
      <c r="J39" s="52">
        <v>1</v>
      </c>
      <c r="K39" s="52">
        <v>1</v>
      </c>
      <c r="L39" s="35">
        <v>1</v>
      </c>
      <c r="M39" s="35">
        <v>1</v>
      </c>
      <c r="N39" s="35">
        <v>1</v>
      </c>
      <c r="O39" s="36">
        <f t="shared" si="1"/>
        <v>12</v>
      </c>
    </row>
    <row r="40" spans="2:15" x14ac:dyDescent="0.2">
      <c r="B40" t="str">
        <f t="shared" si="0"/>
        <v>Cheers</v>
      </c>
      <c r="C40" s="35">
        <v>1</v>
      </c>
      <c r="D40" s="35">
        <v>1</v>
      </c>
      <c r="E40" s="35">
        <v>1</v>
      </c>
      <c r="F40" s="35">
        <v>1</v>
      </c>
      <c r="G40" s="35">
        <v>1</v>
      </c>
      <c r="H40" s="35">
        <v>1</v>
      </c>
      <c r="I40" s="35">
        <v>1</v>
      </c>
      <c r="J40" s="35">
        <v>1</v>
      </c>
      <c r="K40" s="35">
        <v>1</v>
      </c>
      <c r="L40" s="35">
        <v>1</v>
      </c>
      <c r="M40" s="35">
        <v>1</v>
      </c>
      <c r="N40" s="35">
        <v>1</v>
      </c>
      <c r="O40" s="36">
        <f t="shared" si="1"/>
        <v>12</v>
      </c>
    </row>
    <row r="41" spans="2:15" x14ac:dyDescent="0.2">
      <c r="B41" t="str">
        <f t="shared" si="0"/>
        <v>I Make This</v>
      </c>
      <c r="C41" s="53">
        <v>1</v>
      </c>
      <c r="D41" s="53">
        <v>1</v>
      </c>
      <c r="E41" s="53">
        <v>1</v>
      </c>
      <c r="F41" s="53">
        <v>1</v>
      </c>
      <c r="G41" s="53">
        <v>1</v>
      </c>
      <c r="H41" s="53">
        <v>1</v>
      </c>
      <c r="I41" s="53">
        <v>1</v>
      </c>
      <c r="J41" s="53">
        <v>1</v>
      </c>
      <c r="K41" s="53">
        <v>1</v>
      </c>
      <c r="L41" s="53">
        <v>1</v>
      </c>
      <c r="M41" s="53">
        <v>1</v>
      </c>
      <c r="N41" s="53">
        <v>1</v>
      </c>
      <c r="O41" s="36">
        <f t="shared" si="1"/>
        <v>12</v>
      </c>
    </row>
    <row r="42" spans="2:15" x14ac:dyDescent="0.2">
      <c r="B42" t="str">
        <f t="shared" si="0"/>
        <v>EEP Hayah</v>
      </c>
      <c r="C42" s="53">
        <v>1</v>
      </c>
      <c r="D42" s="53">
        <v>1</v>
      </c>
      <c r="E42" s="53">
        <v>1</v>
      </c>
      <c r="F42" s="53">
        <v>0</v>
      </c>
      <c r="G42" s="53">
        <v>0</v>
      </c>
      <c r="H42" s="53">
        <v>0</v>
      </c>
      <c r="I42" s="53">
        <v>0</v>
      </c>
      <c r="J42" s="53">
        <v>1</v>
      </c>
      <c r="K42" s="53">
        <v>1</v>
      </c>
      <c r="L42" s="53">
        <v>1</v>
      </c>
      <c r="M42" s="53">
        <v>1</v>
      </c>
      <c r="N42" s="53">
        <v>0</v>
      </c>
      <c r="O42" s="36">
        <f t="shared" si="1"/>
        <v>7</v>
      </c>
    </row>
    <row r="43" spans="2:15" x14ac:dyDescent="0.2">
      <c r="B43" t="str">
        <f t="shared" si="0"/>
        <v>Spoon</v>
      </c>
      <c r="C43" s="53">
        <v>1</v>
      </c>
      <c r="D43" s="53">
        <v>1</v>
      </c>
      <c r="E43" s="53">
        <v>1</v>
      </c>
      <c r="F43" s="53">
        <v>1</v>
      </c>
      <c r="G43" s="53">
        <v>1</v>
      </c>
      <c r="H43" s="53">
        <v>1</v>
      </c>
      <c r="I43" s="53">
        <v>1</v>
      </c>
      <c r="J43" s="53">
        <v>1</v>
      </c>
      <c r="K43" s="53">
        <v>1</v>
      </c>
      <c r="L43" s="53">
        <v>1</v>
      </c>
      <c r="M43" s="53">
        <v>1</v>
      </c>
      <c r="N43" s="53">
        <v>1</v>
      </c>
      <c r="O43" s="36">
        <f t="shared" si="1"/>
        <v>12</v>
      </c>
    </row>
    <row r="44" spans="2:15" x14ac:dyDescent="0.2">
      <c r="B44">
        <f t="shared" si="0"/>
        <v>0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36">
        <f t="shared" si="1"/>
        <v>0</v>
      </c>
    </row>
    <row r="45" spans="2:15" x14ac:dyDescent="0.2">
      <c r="B45">
        <f t="shared" si="0"/>
        <v>0</v>
      </c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36">
        <f t="shared" si="1"/>
        <v>0</v>
      </c>
    </row>
    <row r="46" spans="2:15" x14ac:dyDescent="0.2">
      <c r="B46" s="44">
        <f t="shared" si="0"/>
        <v>0</v>
      </c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5">
        <f t="shared" si="1"/>
        <v>0</v>
      </c>
    </row>
    <row r="47" spans="2:15" x14ac:dyDescent="0.2">
      <c r="B47" s="41" t="s">
        <v>20</v>
      </c>
      <c r="C47" s="35">
        <f t="shared" ref="C47:O47" si="2">SUM(C37:C46)</f>
        <v>7</v>
      </c>
      <c r="D47" s="35">
        <f t="shared" si="2"/>
        <v>7</v>
      </c>
      <c r="E47" s="35">
        <f t="shared" si="2"/>
        <v>7</v>
      </c>
      <c r="F47" s="35">
        <f t="shared" si="2"/>
        <v>6</v>
      </c>
      <c r="G47" s="35">
        <f t="shared" si="2"/>
        <v>6</v>
      </c>
      <c r="H47" s="35">
        <f t="shared" si="2"/>
        <v>6</v>
      </c>
      <c r="I47" s="35">
        <f t="shared" si="2"/>
        <v>6</v>
      </c>
      <c r="J47" s="35">
        <f t="shared" si="2"/>
        <v>7</v>
      </c>
      <c r="K47" s="35">
        <f t="shared" si="2"/>
        <v>7</v>
      </c>
      <c r="L47" s="35">
        <f t="shared" si="2"/>
        <v>7</v>
      </c>
      <c r="M47" s="35">
        <f t="shared" si="2"/>
        <v>7</v>
      </c>
      <c r="N47" s="35">
        <f t="shared" si="2"/>
        <v>6</v>
      </c>
      <c r="O47" s="36">
        <f t="shared" si="2"/>
        <v>79</v>
      </c>
    </row>
    <row r="48" spans="2:15" ht="17" thickBot="1" x14ac:dyDescent="0.25"/>
    <row r="49" spans="2:15" x14ac:dyDescent="0.2">
      <c r="B49" s="18" t="s">
        <v>13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30"/>
    </row>
    <row r="50" spans="2:15" ht="17" thickBot="1" x14ac:dyDescent="0.25">
      <c r="B50" s="20"/>
      <c r="C50" s="31">
        <v>44927</v>
      </c>
      <c r="D50" s="31">
        <v>44958</v>
      </c>
      <c r="E50" s="31">
        <v>44986</v>
      </c>
      <c r="F50" s="31">
        <v>45017</v>
      </c>
      <c r="G50" s="31">
        <v>45047</v>
      </c>
      <c r="H50" s="31">
        <v>45078</v>
      </c>
      <c r="I50" s="31">
        <v>45108</v>
      </c>
      <c r="J50" s="31">
        <v>45139</v>
      </c>
      <c r="K50" s="31">
        <v>44805</v>
      </c>
      <c r="L50" s="31">
        <v>45200</v>
      </c>
      <c r="M50" s="31">
        <v>45231</v>
      </c>
      <c r="N50" s="31">
        <v>45261</v>
      </c>
      <c r="O50" s="32" t="s">
        <v>9</v>
      </c>
    </row>
    <row r="51" spans="2:15" ht="17" thickTop="1" x14ac:dyDescent="0.2">
      <c r="B51" s="48" t="str">
        <f t="shared" ref="B51:B60" si="3">B37</f>
        <v>iScore SME</v>
      </c>
      <c r="C51" s="49">
        <f t="shared" ref="C51:N51" si="4">C37*$C24</f>
        <v>8550</v>
      </c>
      <c r="D51" s="49">
        <f t="shared" si="4"/>
        <v>8550</v>
      </c>
      <c r="E51" s="49">
        <f t="shared" si="4"/>
        <v>8550</v>
      </c>
      <c r="F51" s="49">
        <f t="shared" si="4"/>
        <v>8550</v>
      </c>
      <c r="G51" s="49">
        <f t="shared" si="4"/>
        <v>8550</v>
      </c>
      <c r="H51" s="49">
        <f t="shared" si="4"/>
        <v>8550</v>
      </c>
      <c r="I51" s="49">
        <f t="shared" si="4"/>
        <v>8550</v>
      </c>
      <c r="J51" s="49">
        <f t="shared" si="4"/>
        <v>8550</v>
      </c>
      <c r="K51" s="49">
        <f t="shared" si="4"/>
        <v>8550</v>
      </c>
      <c r="L51" s="49">
        <f t="shared" si="4"/>
        <v>8550</v>
      </c>
      <c r="M51" s="49">
        <f t="shared" si="4"/>
        <v>8550</v>
      </c>
      <c r="N51" s="50">
        <f t="shared" si="4"/>
        <v>8550</v>
      </c>
      <c r="O51" s="51">
        <f>SUM(C51:N51)</f>
        <v>102600</v>
      </c>
    </row>
    <row r="52" spans="2:15" x14ac:dyDescent="0.2">
      <c r="B52" t="str">
        <f t="shared" si="3"/>
        <v>iScore ECR</v>
      </c>
      <c r="C52" s="56">
        <f t="shared" ref="C52:N52" si="5">C38*$C25</f>
        <v>8550</v>
      </c>
      <c r="D52" s="56">
        <f t="shared" si="5"/>
        <v>8550</v>
      </c>
      <c r="E52" s="56">
        <f t="shared" si="5"/>
        <v>8550</v>
      </c>
      <c r="F52" s="56">
        <f t="shared" si="5"/>
        <v>8550</v>
      </c>
      <c r="G52" s="56">
        <f t="shared" si="5"/>
        <v>8550</v>
      </c>
      <c r="H52" s="56">
        <f t="shared" si="5"/>
        <v>8550</v>
      </c>
      <c r="I52" s="56">
        <f t="shared" si="5"/>
        <v>8550</v>
      </c>
      <c r="J52" s="56">
        <f t="shared" si="5"/>
        <v>8550</v>
      </c>
      <c r="K52" s="56">
        <f t="shared" si="5"/>
        <v>8550</v>
      </c>
      <c r="L52" s="56">
        <f t="shared" si="5"/>
        <v>8550</v>
      </c>
      <c r="M52" s="56">
        <f t="shared" si="5"/>
        <v>8550</v>
      </c>
      <c r="N52" s="35">
        <f t="shared" si="5"/>
        <v>8550</v>
      </c>
      <c r="O52" s="36">
        <f t="shared" ref="O52:O60" si="6">SUM(C52:N52)</f>
        <v>102600</v>
      </c>
    </row>
    <row r="53" spans="2:15" x14ac:dyDescent="0.2">
      <c r="B53" t="str">
        <f t="shared" si="3"/>
        <v>Smart Furniture</v>
      </c>
      <c r="C53" s="35">
        <f t="shared" ref="C53:N53" si="7">C39*$C26</f>
        <v>3989.9999999999995</v>
      </c>
      <c r="D53" s="35">
        <f t="shared" si="7"/>
        <v>3989.9999999999995</v>
      </c>
      <c r="E53" s="35">
        <f t="shared" si="7"/>
        <v>3989.9999999999995</v>
      </c>
      <c r="F53" s="35">
        <f t="shared" si="7"/>
        <v>3989.9999999999995</v>
      </c>
      <c r="G53" s="35">
        <f t="shared" si="7"/>
        <v>3989.9999999999995</v>
      </c>
      <c r="H53" s="35">
        <f t="shared" si="7"/>
        <v>3989.9999999999995</v>
      </c>
      <c r="I53" s="35">
        <f t="shared" si="7"/>
        <v>3989.9999999999995</v>
      </c>
      <c r="J53" s="35">
        <f t="shared" si="7"/>
        <v>3989.9999999999995</v>
      </c>
      <c r="K53" s="35">
        <f t="shared" si="7"/>
        <v>3989.9999999999995</v>
      </c>
      <c r="L53" s="35">
        <f t="shared" si="7"/>
        <v>3989.9999999999995</v>
      </c>
      <c r="M53" s="35">
        <f t="shared" si="7"/>
        <v>3989.9999999999995</v>
      </c>
      <c r="N53" s="35">
        <f t="shared" si="7"/>
        <v>3989.9999999999995</v>
      </c>
      <c r="O53" s="36">
        <f t="shared" si="6"/>
        <v>47879.999999999993</v>
      </c>
    </row>
    <row r="54" spans="2:15" x14ac:dyDescent="0.2">
      <c r="B54" t="str">
        <f t="shared" si="3"/>
        <v>Cheers</v>
      </c>
      <c r="C54" s="35">
        <f t="shared" ref="C54:N54" si="8">C40*$C27</f>
        <v>3989.9999999999995</v>
      </c>
      <c r="D54" s="35">
        <f t="shared" si="8"/>
        <v>3989.9999999999995</v>
      </c>
      <c r="E54" s="35">
        <f t="shared" si="8"/>
        <v>3989.9999999999995</v>
      </c>
      <c r="F54" s="35">
        <f t="shared" si="8"/>
        <v>3989.9999999999995</v>
      </c>
      <c r="G54" s="35">
        <f t="shared" si="8"/>
        <v>3989.9999999999995</v>
      </c>
      <c r="H54" s="35">
        <f t="shared" si="8"/>
        <v>3989.9999999999995</v>
      </c>
      <c r="I54" s="35">
        <f t="shared" si="8"/>
        <v>3989.9999999999995</v>
      </c>
      <c r="J54" s="35">
        <f t="shared" si="8"/>
        <v>3989.9999999999995</v>
      </c>
      <c r="K54" s="35">
        <f t="shared" si="8"/>
        <v>3989.9999999999995</v>
      </c>
      <c r="L54" s="35">
        <f t="shared" si="8"/>
        <v>3989.9999999999995</v>
      </c>
      <c r="M54" s="35">
        <f t="shared" si="8"/>
        <v>3989.9999999999995</v>
      </c>
      <c r="N54" s="35">
        <f t="shared" si="8"/>
        <v>3989.9999999999995</v>
      </c>
      <c r="O54" s="36">
        <f t="shared" si="6"/>
        <v>47879.999999999993</v>
      </c>
    </row>
    <row r="55" spans="2:15" x14ac:dyDescent="0.2">
      <c r="B55" t="str">
        <f t="shared" si="3"/>
        <v>I Make This</v>
      </c>
      <c r="C55" s="53">
        <f t="shared" ref="C55:N55" si="9">C41*$C28</f>
        <v>2963.9999999999995</v>
      </c>
      <c r="D55" s="53">
        <f t="shared" si="9"/>
        <v>2963.9999999999995</v>
      </c>
      <c r="E55" s="53">
        <f t="shared" si="9"/>
        <v>2963.9999999999995</v>
      </c>
      <c r="F55" s="53">
        <f t="shared" si="9"/>
        <v>2963.9999999999995</v>
      </c>
      <c r="G55" s="53">
        <f t="shared" si="9"/>
        <v>2963.9999999999995</v>
      </c>
      <c r="H55" s="53">
        <f t="shared" si="9"/>
        <v>2963.9999999999995</v>
      </c>
      <c r="I55" s="53">
        <f t="shared" si="9"/>
        <v>2963.9999999999995</v>
      </c>
      <c r="J55" s="53">
        <f t="shared" si="9"/>
        <v>2963.9999999999995</v>
      </c>
      <c r="K55" s="53">
        <f t="shared" si="9"/>
        <v>2963.9999999999995</v>
      </c>
      <c r="L55" s="53">
        <f t="shared" si="9"/>
        <v>2963.9999999999995</v>
      </c>
      <c r="M55" s="53">
        <f t="shared" si="9"/>
        <v>2963.9999999999995</v>
      </c>
      <c r="N55" s="53">
        <f t="shared" si="9"/>
        <v>2963.9999999999995</v>
      </c>
      <c r="O55" s="36">
        <f t="shared" si="6"/>
        <v>35567.999999999993</v>
      </c>
    </row>
    <row r="56" spans="2:15" x14ac:dyDescent="0.2">
      <c r="B56" t="str">
        <f t="shared" si="3"/>
        <v>EEP Hayah</v>
      </c>
      <c r="C56" s="53">
        <f t="shared" ref="C56:N56" si="10">C42*$C29</f>
        <v>1709.9999999999998</v>
      </c>
      <c r="D56" s="53">
        <f t="shared" si="10"/>
        <v>1709.9999999999998</v>
      </c>
      <c r="E56" s="53">
        <f t="shared" si="10"/>
        <v>1709.9999999999998</v>
      </c>
      <c r="F56" s="53">
        <f t="shared" si="10"/>
        <v>0</v>
      </c>
      <c r="G56" s="53">
        <f t="shared" si="10"/>
        <v>0</v>
      </c>
      <c r="H56" s="53">
        <f t="shared" si="10"/>
        <v>0</v>
      </c>
      <c r="I56" s="53">
        <f t="shared" si="10"/>
        <v>0</v>
      </c>
      <c r="J56" s="53">
        <f t="shared" si="10"/>
        <v>1709.9999999999998</v>
      </c>
      <c r="K56" s="53">
        <f t="shared" si="10"/>
        <v>1709.9999999999998</v>
      </c>
      <c r="L56" s="53">
        <f t="shared" si="10"/>
        <v>1709.9999999999998</v>
      </c>
      <c r="M56" s="53">
        <f t="shared" si="10"/>
        <v>1709.9999999999998</v>
      </c>
      <c r="N56" s="53">
        <f t="shared" si="10"/>
        <v>0</v>
      </c>
      <c r="O56" s="36">
        <f t="shared" si="6"/>
        <v>11969.999999999998</v>
      </c>
    </row>
    <row r="57" spans="2:15" x14ac:dyDescent="0.2">
      <c r="B57" t="str">
        <f t="shared" si="3"/>
        <v>Spoon</v>
      </c>
      <c r="C57" s="53">
        <f t="shared" ref="C57:N57" si="11">C43*$C30</f>
        <v>1140</v>
      </c>
      <c r="D57" s="53">
        <f t="shared" si="11"/>
        <v>1140</v>
      </c>
      <c r="E57" s="53">
        <f t="shared" si="11"/>
        <v>1140</v>
      </c>
      <c r="F57" s="53">
        <f t="shared" si="11"/>
        <v>1140</v>
      </c>
      <c r="G57" s="53">
        <f t="shared" si="11"/>
        <v>1140</v>
      </c>
      <c r="H57" s="53">
        <f t="shared" si="11"/>
        <v>1140</v>
      </c>
      <c r="I57" s="53">
        <f t="shared" si="11"/>
        <v>1140</v>
      </c>
      <c r="J57" s="53">
        <f t="shared" si="11"/>
        <v>1140</v>
      </c>
      <c r="K57" s="53">
        <f t="shared" si="11"/>
        <v>1140</v>
      </c>
      <c r="L57" s="53">
        <f t="shared" si="11"/>
        <v>1140</v>
      </c>
      <c r="M57" s="53">
        <f t="shared" si="11"/>
        <v>1140</v>
      </c>
      <c r="N57" s="53">
        <f t="shared" si="11"/>
        <v>1140</v>
      </c>
      <c r="O57" s="36">
        <f t="shared" ref="O57:O59" si="12">SUM(C57:N57)</f>
        <v>13680</v>
      </c>
    </row>
    <row r="58" spans="2:15" x14ac:dyDescent="0.2">
      <c r="B58">
        <f t="shared" si="3"/>
        <v>0</v>
      </c>
      <c r="C58" s="53">
        <f t="shared" ref="C58:N58" si="13">C44*$C31</f>
        <v>0</v>
      </c>
      <c r="D58" s="53">
        <f t="shared" si="13"/>
        <v>0</v>
      </c>
      <c r="E58" s="53">
        <f t="shared" si="13"/>
        <v>0</v>
      </c>
      <c r="F58" s="53">
        <f t="shared" si="13"/>
        <v>0</v>
      </c>
      <c r="G58" s="53">
        <f t="shared" si="13"/>
        <v>0</v>
      </c>
      <c r="H58" s="53">
        <f t="shared" si="13"/>
        <v>0</v>
      </c>
      <c r="I58" s="53">
        <f t="shared" si="13"/>
        <v>0</v>
      </c>
      <c r="J58" s="53">
        <f t="shared" si="13"/>
        <v>0</v>
      </c>
      <c r="K58" s="53">
        <f t="shared" si="13"/>
        <v>0</v>
      </c>
      <c r="L58" s="53">
        <f t="shared" si="13"/>
        <v>0</v>
      </c>
      <c r="M58" s="53">
        <f t="shared" si="13"/>
        <v>0</v>
      </c>
      <c r="N58" s="53">
        <f t="shared" si="13"/>
        <v>0</v>
      </c>
      <c r="O58" s="36">
        <f t="shared" si="12"/>
        <v>0</v>
      </c>
    </row>
    <row r="59" spans="2:15" x14ac:dyDescent="0.2">
      <c r="B59">
        <f t="shared" si="3"/>
        <v>0</v>
      </c>
      <c r="C59" s="53">
        <f t="shared" ref="C59:N59" si="14">C45*$C32</f>
        <v>0</v>
      </c>
      <c r="D59" s="53">
        <f t="shared" si="14"/>
        <v>0</v>
      </c>
      <c r="E59" s="53">
        <f t="shared" si="14"/>
        <v>0</v>
      </c>
      <c r="F59" s="53">
        <f t="shared" si="14"/>
        <v>0</v>
      </c>
      <c r="G59" s="53">
        <f t="shared" si="14"/>
        <v>0</v>
      </c>
      <c r="H59" s="53">
        <f t="shared" si="14"/>
        <v>0</v>
      </c>
      <c r="I59" s="53">
        <f t="shared" si="14"/>
        <v>0</v>
      </c>
      <c r="J59" s="53">
        <f t="shared" si="14"/>
        <v>0</v>
      </c>
      <c r="K59" s="53">
        <f t="shared" si="14"/>
        <v>0</v>
      </c>
      <c r="L59" s="53">
        <f t="shared" si="14"/>
        <v>0</v>
      </c>
      <c r="M59" s="53">
        <f t="shared" si="14"/>
        <v>0</v>
      </c>
      <c r="N59" s="53">
        <f t="shared" si="14"/>
        <v>0</v>
      </c>
      <c r="O59" s="36">
        <f t="shared" si="12"/>
        <v>0</v>
      </c>
    </row>
    <row r="60" spans="2:15" x14ac:dyDescent="0.2">
      <c r="B60" s="44">
        <f t="shared" si="3"/>
        <v>0</v>
      </c>
      <c r="C60" s="54">
        <f t="shared" ref="C60:N60" si="15">C46*$C33</f>
        <v>0</v>
      </c>
      <c r="D60" s="54">
        <f t="shared" si="15"/>
        <v>0</v>
      </c>
      <c r="E60" s="54">
        <f t="shared" si="15"/>
        <v>0</v>
      </c>
      <c r="F60" s="54">
        <f t="shared" si="15"/>
        <v>0</v>
      </c>
      <c r="G60" s="54">
        <f t="shared" si="15"/>
        <v>0</v>
      </c>
      <c r="H60" s="54">
        <f t="shared" si="15"/>
        <v>0</v>
      </c>
      <c r="I60" s="54">
        <f t="shared" si="15"/>
        <v>0</v>
      </c>
      <c r="J60" s="54">
        <f t="shared" si="15"/>
        <v>0</v>
      </c>
      <c r="K60" s="54">
        <f t="shared" si="15"/>
        <v>0</v>
      </c>
      <c r="L60" s="54">
        <f t="shared" si="15"/>
        <v>0</v>
      </c>
      <c r="M60" s="54">
        <f t="shared" si="15"/>
        <v>0</v>
      </c>
      <c r="N60" s="54">
        <f t="shared" si="15"/>
        <v>0</v>
      </c>
      <c r="O60" s="55">
        <f t="shared" si="6"/>
        <v>0</v>
      </c>
    </row>
    <row r="61" spans="2:15" x14ac:dyDescent="0.2">
      <c r="B61" s="57" t="s">
        <v>21</v>
      </c>
      <c r="C61" s="38">
        <f t="shared" ref="C61:O61" si="16">SUM(C51:C60)</f>
        <v>30894</v>
      </c>
      <c r="D61" s="38">
        <f t="shared" si="16"/>
        <v>30894</v>
      </c>
      <c r="E61" s="38">
        <f t="shared" si="16"/>
        <v>30894</v>
      </c>
      <c r="F61" s="38">
        <f t="shared" si="16"/>
        <v>29184</v>
      </c>
      <c r="G61" s="38">
        <f t="shared" si="16"/>
        <v>29184</v>
      </c>
      <c r="H61" s="38">
        <f t="shared" si="16"/>
        <v>29184</v>
      </c>
      <c r="I61" s="38">
        <f t="shared" si="16"/>
        <v>29184</v>
      </c>
      <c r="J61" s="38">
        <f t="shared" si="16"/>
        <v>30894</v>
      </c>
      <c r="K61" s="38">
        <f t="shared" si="16"/>
        <v>30894</v>
      </c>
      <c r="L61" s="38">
        <f t="shared" si="16"/>
        <v>30894</v>
      </c>
      <c r="M61" s="38">
        <f t="shared" si="16"/>
        <v>30894</v>
      </c>
      <c r="N61" s="38">
        <f t="shared" si="16"/>
        <v>29184</v>
      </c>
      <c r="O61" s="58">
        <f t="shared" si="16"/>
        <v>362178</v>
      </c>
    </row>
    <row r="62" spans="2:15" s="2" customFormat="1" x14ac:dyDescent="0.2">
      <c r="B62" s="28"/>
      <c r="C62" s="17"/>
    </row>
    <row r="63" spans="2:15" s="2" customFormat="1" x14ac:dyDescent="0.2">
      <c r="B63" s="28" t="s">
        <v>26</v>
      </c>
      <c r="C63" s="17"/>
    </row>
    <row r="64" spans="2:15" s="2" customFormat="1" x14ac:dyDescent="0.2">
      <c r="B64" s="65" t="s">
        <v>11</v>
      </c>
      <c r="C64" s="66">
        <f>600*95*(1+C6)</f>
        <v>64980.000000000007</v>
      </c>
    </row>
    <row r="65" spans="2:15" s="2" customFormat="1" ht="17" thickBot="1" x14ac:dyDescent="0.25">
      <c r="B65" s="28"/>
      <c r="C65" s="17"/>
    </row>
    <row r="66" spans="2:15" s="2" customFormat="1" x14ac:dyDescent="0.2">
      <c r="B66" s="18" t="s">
        <v>29</v>
      </c>
      <c r="C66" s="19"/>
    </row>
    <row r="67" spans="2:15" s="2" customFormat="1" ht="17" thickBot="1" x14ac:dyDescent="0.25">
      <c r="B67" s="20"/>
      <c r="C67" s="21" t="s">
        <v>14</v>
      </c>
    </row>
    <row r="68" spans="2:15" s="2" customFormat="1" ht="17" thickTop="1" x14ac:dyDescent="0.2">
      <c r="B68" s="22" t="s">
        <v>27</v>
      </c>
      <c r="C68" s="23">
        <f>540*100*1.14</f>
        <v>61559.999999999993</v>
      </c>
      <c r="F68" s="143"/>
    </row>
    <row r="69" spans="2:15" s="2" customFormat="1" x14ac:dyDescent="0.2">
      <c r="B69" s="254" t="s">
        <v>203</v>
      </c>
      <c r="C69" s="255">
        <f>5000*30*1.14</f>
        <v>170999.99999999997</v>
      </c>
      <c r="F69" s="128"/>
    </row>
    <row r="70" spans="2:15" s="2" customFormat="1" x14ac:dyDescent="0.2">
      <c r="B70" s="254" t="s">
        <v>149</v>
      </c>
      <c r="C70" s="255">
        <f>3*C64</f>
        <v>194940.00000000003</v>
      </c>
    </row>
    <row r="71" spans="2:15" s="2" customFormat="1" x14ac:dyDescent="0.2">
      <c r="B71" s="254" t="s">
        <v>148</v>
      </c>
      <c r="C71" s="255">
        <f>4*C64</f>
        <v>259920.00000000003</v>
      </c>
    </row>
    <row r="72" spans="2:15" s="2" customFormat="1" x14ac:dyDescent="0.2">
      <c r="B72" s="254" t="s">
        <v>150</v>
      </c>
      <c r="C72" s="255">
        <f>4*C64</f>
        <v>259920.00000000003</v>
      </c>
    </row>
    <row r="73" spans="2:15" s="2" customFormat="1" x14ac:dyDescent="0.2">
      <c r="B73" s="254" t="s">
        <v>192</v>
      </c>
      <c r="C73" s="255">
        <f>5*C64</f>
        <v>324900.00000000006</v>
      </c>
    </row>
    <row r="74" spans="2:15" s="2" customFormat="1" x14ac:dyDescent="0.2">
      <c r="B74" s="254" t="s">
        <v>204</v>
      </c>
      <c r="C74" s="255">
        <f>5*C64</f>
        <v>324900.00000000006</v>
      </c>
    </row>
    <row r="75" spans="2:15" s="2" customFormat="1" x14ac:dyDescent="0.2">
      <c r="B75" s="254" t="s">
        <v>206</v>
      </c>
      <c r="C75" s="255">
        <f>6*C64</f>
        <v>389880.00000000006</v>
      </c>
    </row>
    <row r="76" spans="2:15" s="2" customFormat="1" x14ac:dyDescent="0.2">
      <c r="B76" s="254"/>
      <c r="C76" s="255"/>
    </row>
    <row r="77" spans="2:15" s="2" customFormat="1" x14ac:dyDescent="0.2">
      <c r="B77" s="24"/>
      <c r="C77" s="25"/>
    </row>
    <row r="78" spans="2:15" s="2" customFormat="1" ht="17" thickBot="1" x14ac:dyDescent="0.25">
      <c r="B78" s="26"/>
      <c r="C78" s="27"/>
    </row>
    <row r="79" spans="2:15" s="2" customFormat="1" ht="17" thickBot="1" x14ac:dyDescent="0.25">
      <c r="B79" s="28"/>
      <c r="C79" s="17"/>
    </row>
    <row r="80" spans="2:15" x14ac:dyDescent="0.2">
      <c r="B80" s="18" t="s">
        <v>30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30"/>
    </row>
    <row r="81" spans="2:17" ht="17" thickBot="1" x14ac:dyDescent="0.25">
      <c r="B81" s="20"/>
      <c r="C81" s="31">
        <v>44927</v>
      </c>
      <c r="D81" s="31">
        <v>44958</v>
      </c>
      <c r="E81" s="31">
        <v>44986</v>
      </c>
      <c r="F81" s="31">
        <v>45017</v>
      </c>
      <c r="G81" s="31">
        <v>45047</v>
      </c>
      <c r="H81" s="31">
        <v>45078</v>
      </c>
      <c r="I81" s="31">
        <v>45108</v>
      </c>
      <c r="J81" s="31">
        <v>45139</v>
      </c>
      <c r="K81" s="31">
        <v>45170</v>
      </c>
      <c r="L81" s="31">
        <v>45200</v>
      </c>
      <c r="M81" s="31">
        <v>45231</v>
      </c>
      <c r="N81" s="31">
        <v>45261</v>
      </c>
      <c r="O81" s="32" t="s">
        <v>9</v>
      </c>
    </row>
    <row r="82" spans="2:17" ht="17" thickTop="1" x14ac:dyDescent="0.2">
      <c r="B82" s="48" t="str">
        <f t="shared" ref="B82:B92" si="17">B68</f>
        <v>Alfa Electronics</v>
      </c>
      <c r="C82" s="49">
        <v>1</v>
      </c>
      <c r="D82" s="49">
        <v>1</v>
      </c>
      <c r="E82" s="49">
        <v>1</v>
      </c>
      <c r="F82" s="49">
        <v>1</v>
      </c>
      <c r="G82" s="49">
        <v>1</v>
      </c>
      <c r="H82" s="49">
        <v>1</v>
      </c>
      <c r="I82" s="49">
        <v>1</v>
      </c>
      <c r="J82" s="49">
        <v>1</v>
      </c>
      <c r="K82" s="49">
        <v>1</v>
      </c>
      <c r="L82" s="49">
        <v>1</v>
      </c>
      <c r="M82" s="49">
        <v>1</v>
      </c>
      <c r="N82" s="49">
        <v>1</v>
      </c>
      <c r="O82" s="51">
        <f>SUM(C82:N82)</f>
        <v>12</v>
      </c>
    </row>
    <row r="83" spans="2:17" x14ac:dyDescent="0.2">
      <c r="B83" t="str">
        <f t="shared" si="17"/>
        <v>VIPFirst</v>
      </c>
      <c r="C83" s="120">
        <v>0.1</v>
      </c>
      <c r="D83" s="120">
        <v>0.25</v>
      </c>
      <c r="E83" s="120">
        <v>0.25</v>
      </c>
      <c r="F83" s="120">
        <v>0.25</v>
      </c>
      <c r="G83" s="120">
        <v>0.15</v>
      </c>
      <c r="H83" s="120"/>
      <c r="I83" s="120"/>
      <c r="J83" s="120"/>
      <c r="K83" s="120"/>
      <c r="L83" s="120"/>
      <c r="M83" s="120"/>
      <c r="N83" s="120"/>
      <c r="O83" s="36">
        <f t="shared" ref="O83:O92" si="18">SUM(C83:N83)</f>
        <v>1</v>
      </c>
    </row>
    <row r="84" spans="2:17" x14ac:dyDescent="0.2">
      <c r="B84" t="str">
        <f t="shared" si="17"/>
        <v>Project 1</v>
      </c>
      <c r="E84" s="120">
        <v>0.25</v>
      </c>
      <c r="F84" s="120">
        <v>0.25</v>
      </c>
      <c r="G84" s="120">
        <v>0.25</v>
      </c>
      <c r="H84" s="120">
        <v>0.15</v>
      </c>
      <c r="I84" s="120">
        <v>0.1</v>
      </c>
      <c r="J84" s="120"/>
      <c r="K84" s="120"/>
      <c r="L84" s="120"/>
      <c r="M84" s="120"/>
      <c r="N84" s="120"/>
      <c r="O84" s="36">
        <f>SUM(E84:N84)</f>
        <v>1</v>
      </c>
    </row>
    <row r="85" spans="2:17" x14ac:dyDescent="0.2">
      <c r="B85" t="str">
        <f t="shared" si="17"/>
        <v>Project 2</v>
      </c>
      <c r="G85" s="120">
        <v>0.3</v>
      </c>
      <c r="H85" s="120">
        <v>0.1</v>
      </c>
      <c r="I85" s="120">
        <v>0.25</v>
      </c>
      <c r="J85" s="120">
        <v>0.25</v>
      </c>
      <c r="K85" s="120">
        <v>0.1</v>
      </c>
      <c r="L85" s="120"/>
      <c r="M85" s="120"/>
      <c r="N85" s="120"/>
      <c r="O85" s="36">
        <f>SUM(G85:N85)</f>
        <v>1</v>
      </c>
    </row>
    <row r="86" spans="2:17" x14ac:dyDescent="0.2">
      <c r="B86" t="str">
        <f t="shared" si="17"/>
        <v>Project 3</v>
      </c>
      <c r="F86" s="120">
        <v>0.3</v>
      </c>
      <c r="G86" s="120">
        <v>0.1</v>
      </c>
      <c r="H86" s="120"/>
      <c r="I86" s="120"/>
      <c r="J86" s="120">
        <v>0.25</v>
      </c>
      <c r="K86" s="120"/>
      <c r="L86" s="120">
        <v>0.25</v>
      </c>
      <c r="M86" s="120"/>
      <c r="N86" s="120">
        <v>0.1</v>
      </c>
      <c r="O86" s="36">
        <f>SUM(F86:N86)</f>
        <v>1</v>
      </c>
    </row>
    <row r="87" spans="2:17" x14ac:dyDescent="0.2">
      <c r="B87" t="str">
        <f t="shared" si="17"/>
        <v>Project 4</v>
      </c>
      <c r="C87" s="120"/>
      <c r="D87" s="120"/>
      <c r="E87" s="120"/>
      <c r="F87" s="120"/>
      <c r="I87" s="120">
        <v>0.3</v>
      </c>
      <c r="J87" s="120">
        <v>0.1</v>
      </c>
      <c r="K87" s="120">
        <v>0.25</v>
      </c>
      <c r="L87" s="120">
        <v>0.25</v>
      </c>
      <c r="M87" s="120">
        <v>0.1</v>
      </c>
      <c r="N87" s="120"/>
      <c r="O87" s="36">
        <f t="shared" si="18"/>
        <v>1</v>
      </c>
    </row>
    <row r="88" spans="2:17" x14ac:dyDescent="0.2">
      <c r="B88" t="str">
        <f t="shared" si="17"/>
        <v>Project 5</v>
      </c>
      <c r="C88" s="120"/>
      <c r="D88" s="120"/>
      <c r="E88" s="120"/>
      <c r="F88" s="120"/>
      <c r="G88" s="120"/>
      <c r="H88" s="120">
        <v>0.25</v>
      </c>
      <c r="I88" s="120"/>
      <c r="J88" s="120">
        <v>0.25</v>
      </c>
      <c r="K88" s="120"/>
      <c r="L88" s="120">
        <v>0.25</v>
      </c>
      <c r="M88" s="120"/>
      <c r="N88" s="120">
        <v>0.25</v>
      </c>
      <c r="O88" s="36">
        <f t="shared" si="18"/>
        <v>1</v>
      </c>
    </row>
    <row r="89" spans="2:17" x14ac:dyDescent="0.2">
      <c r="B89" t="str">
        <f t="shared" si="17"/>
        <v>Project 6</v>
      </c>
      <c r="C89" s="120"/>
      <c r="D89" s="120"/>
      <c r="E89" s="120">
        <v>0.15</v>
      </c>
      <c r="F89" s="120">
        <v>0.15</v>
      </c>
      <c r="G89" s="120"/>
      <c r="H89" s="120">
        <v>0.15</v>
      </c>
      <c r="I89" s="120">
        <v>0.15</v>
      </c>
      <c r="J89" s="120"/>
      <c r="K89" s="120">
        <v>0.2</v>
      </c>
      <c r="L89" s="120"/>
      <c r="M89" s="120">
        <v>0.2</v>
      </c>
      <c r="N89" s="120"/>
      <c r="O89" s="36">
        <f t="shared" si="18"/>
        <v>1</v>
      </c>
    </row>
    <row r="90" spans="2:17" x14ac:dyDescent="0.2">
      <c r="B90">
        <f t="shared" si="17"/>
        <v>0</v>
      </c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36">
        <f t="shared" si="18"/>
        <v>0</v>
      </c>
    </row>
    <row r="91" spans="2:17" x14ac:dyDescent="0.2">
      <c r="B91">
        <f t="shared" si="17"/>
        <v>0</v>
      </c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36">
        <f>SUM(C91:N91)</f>
        <v>0</v>
      </c>
    </row>
    <row r="92" spans="2:17" x14ac:dyDescent="0.2">
      <c r="B92" s="44">
        <f t="shared" si="17"/>
        <v>0</v>
      </c>
      <c r="C92" s="240"/>
      <c r="D92" s="240"/>
      <c r="E92" s="240"/>
      <c r="F92" s="240"/>
      <c r="G92" s="240"/>
      <c r="H92" s="240"/>
      <c r="I92" s="240"/>
      <c r="J92" s="240"/>
      <c r="K92" s="240"/>
      <c r="L92" s="240"/>
      <c r="M92" s="240"/>
      <c r="N92" s="240"/>
      <c r="O92" s="55">
        <f t="shared" si="18"/>
        <v>0</v>
      </c>
    </row>
    <row r="93" spans="2:17" x14ac:dyDescent="0.2">
      <c r="B93" s="41" t="s">
        <v>20</v>
      </c>
      <c r="C93" s="35">
        <f>SUM(C82:C92)</f>
        <v>1.1000000000000001</v>
      </c>
      <c r="D93" s="35">
        <f t="shared" ref="D93:O93" si="19">SUM(D82:D92)</f>
        <v>1.25</v>
      </c>
      <c r="E93" s="35">
        <f t="shared" si="19"/>
        <v>1.65</v>
      </c>
      <c r="F93" s="35">
        <f t="shared" si="19"/>
        <v>1.95</v>
      </c>
      <c r="G93" s="35">
        <f t="shared" si="19"/>
        <v>1.8</v>
      </c>
      <c r="H93" s="35">
        <f t="shared" si="19"/>
        <v>1.65</v>
      </c>
      <c r="I93" s="35">
        <f t="shared" si="19"/>
        <v>1.8</v>
      </c>
      <c r="J93" s="35">
        <f t="shared" si="19"/>
        <v>1.85</v>
      </c>
      <c r="K93" s="35">
        <f t="shared" si="19"/>
        <v>1.55</v>
      </c>
      <c r="L93" s="35">
        <f t="shared" si="19"/>
        <v>1.75</v>
      </c>
      <c r="M93" s="35">
        <f t="shared" si="19"/>
        <v>1.3</v>
      </c>
      <c r="N93" s="35">
        <f t="shared" si="19"/>
        <v>1.35</v>
      </c>
      <c r="O93" s="36">
        <f t="shared" si="19"/>
        <v>19</v>
      </c>
      <c r="P93" s="60">
        <f>O93/12</f>
        <v>1.5833333333333333</v>
      </c>
      <c r="Q93" t="s">
        <v>88</v>
      </c>
    </row>
    <row r="94" spans="2:17" ht="17" thickBot="1" x14ac:dyDescent="0.25"/>
    <row r="95" spans="2:17" x14ac:dyDescent="0.2">
      <c r="B95" s="18" t="s">
        <v>16</v>
      </c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30"/>
    </row>
    <row r="96" spans="2:17" ht="17" thickBot="1" x14ac:dyDescent="0.25">
      <c r="B96" s="20"/>
      <c r="C96" s="31">
        <v>44927</v>
      </c>
      <c r="D96" s="31">
        <v>44958</v>
      </c>
      <c r="E96" s="31">
        <v>44986</v>
      </c>
      <c r="F96" s="31">
        <v>45017</v>
      </c>
      <c r="G96" s="31">
        <v>45047</v>
      </c>
      <c r="H96" s="31">
        <v>45078</v>
      </c>
      <c r="I96" s="31">
        <v>45108</v>
      </c>
      <c r="J96" s="31">
        <v>45139</v>
      </c>
      <c r="K96" s="31">
        <v>44805</v>
      </c>
      <c r="L96" s="31">
        <v>45200</v>
      </c>
      <c r="M96" s="31">
        <v>45231</v>
      </c>
      <c r="N96" s="31">
        <v>45261</v>
      </c>
      <c r="O96" s="32" t="s">
        <v>9</v>
      </c>
    </row>
    <row r="97" spans="2:17" ht="17" thickTop="1" x14ac:dyDescent="0.2">
      <c r="B97" s="48" t="str">
        <f t="shared" ref="B97:B103" si="20">B82</f>
        <v>Alfa Electronics</v>
      </c>
      <c r="C97" s="49">
        <f t="shared" ref="C97:N97" si="21">C82*$C68</f>
        <v>61559.999999999993</v>
      </c>
      <c r="D97" s="49">
        <f t="shared" si="21"/>
        <v>61559.999999999993</v>
      </c>
      <c r="E97" s="49">
        <f t="shared" si="21"/>
        <v>61559.999999999993</v>
      </c>
      <c r="F97" s="49">
        <f t="shared" si="21"/>
        <v>61559.999999999993</v>
      </c>
      <c r="G97" s="49">
        <f t="shared" si="21"/>
        <v>61559.999999999993</v>
      </c>
      <c r="H97" s="49">
        <f t="shared" si="21"/>
        <v>61559.999999999993</v>
      </c>
      <c r="I97" s="49">
        <f t="shared" si="21"/>
        <v>61559.999999999993</v>
      </c>
      <c r="J97" s="49">
        <f t="shared" si="21"/>
        <v>61559.999999999993</v>
      </c>
      <c r="K97" s="49">
        <f t="shared" si="21"/>
        <v>61559.999999999993</v>
      </c>
      <c r="L97" s="49">
        <f t="shared" si="21"/>
        <v>61559.999999999993</v>
      </c>
      <c r="M97" s="49">
        <f t="shared" si="21"/>
        <v>61559.999999999993</v>
      </c>
      <c r="N97" s="50">
        <f t="shared" si="21"/>
        <v>61559.999999999993</v>
      </c>
      <c r="O97" s="51">
        <f>SUM(C97:N97)</f>
        <v>738719.99999999988</v>
      </c>
    </row>
    <row r="98" spans="2:17" x14ac:dyDescent="0.2">
      <c r="B98" t="str">
        <f t="shared" si="20"/>
        <v>VIPFirst</v>
      </c>
      <c r="C98" s="56">
        <f t="shared" ref="C98:N98" si="22">C83*$C69</f>
        <v>17099.999999999996</v>
      </c>
      <c r="D98" s="56">
        <f t="shared" si="22"/>
        <v>42749.999999999993</v>
      </c>
      <c r="E98" s="56">
        <f t="shared" si="22"/>
        <v>42749.999999999993</v>
      </c>
      <c r="F98" s="56">
        <f t="shared" si="22"/>
        <v>42749.999999999993</v>
      </c>
      <c r="G98" s="56">
        <f t="shared" si="22"/>
        <v>25649.999999999996</v>
      </c>
      <c r="H98" s="56">
        <f t="shared" si="22"/>
        <v>0</v>
      </c>
      <c r="I98" s="56">
        <f t="shared" si="22"/>
        <v>0</v>
      </c>
      <c r="J98" s="56">
        <f t="shared" si="22"/>
        <v>0</v>
      </c>
      <c r="K98" s="56">
        <f t="shared" si="22"/>
        <v>0</v>
      </c>
      <c r="L98" s="56">
        <f t="shared" si="22"/>
        <v>0</v>
      </c>
      <c r="M98" s="56">
        <f t="shared" si="22"/>
        <v>0</v>
      </c>
      <c r="N98" s="35">
        <f t="shared" si="22"/>
        <v>0</v>
      </c>
      <c r="O98" s="36">
        <f t="shared" ref="O98:O107" si="23">SUM(C98:N98)</f>
        <v>170999.99999999997</v>
      </c>
    </row>
    <row r="99" spans="2:17" x14ac:dyDescent="0.2">
      <c r="B99" t="str">
        <f t="shared" si="20"/>
        <v>Project 1</v>
      </c>
      <c r="C99" s="35">
        <f>C84*$C$70</f>
        <v>0</v>
      </c>
      <c r="D99" s="35">
        <f t="shared" ref="D99:N99" si="24">D84*$C$70</f>
        <v>0</v>
      </c>
      <c r="E99" s="35">
        <f t="shared" si="24"/>
        <v>48735.000000000007</v>
      </c>
      <c r="F99" s="35">
        <f t="shared" si="24"/>
        <v>48735.000000000007</v>
      </c>
      <c r="G99" s="35">
        <f t="shared" si="24"/>
        <v>48735.000000000007</v>
      </c>
      <c r="H99" s="35">
        <f t="shared" si="24"/>
        <v>29241.000000000004</v>
      </c>
      <c r="I99" s="35">
        <f t="shared" si="24"/>
        <v>19494.000000000004</v>
      </c>
      <c r="J99" s="35">
        <f t="shared" si="24"/>
        <v>0</v>
      </c>
      <c r="K99" s="35">
        <f t="shared" si="24"/>
        <v>0</v>
      </c>
      <c r="L99" s="35">
        <f t="shared" si="24"/>
        <v>0</v>
      </c>
      <c r="M99" s="35">
        <f t="shared" si="24"/>
        <v>0</v>
      </c>
      <c r="N99" s="35">
        <f t="shared" si="24"/>
        <v>0</v>
      </c>
      <c r="O99" s="36">
        <f t="shared" si="23"/>
        <v>194940.00000000003</v>
      </c>
    </row>
    <row r="100" spans="2:17" x14ac:dyDescent="0.2">
      <c r="B100" t="str">
        <f t="shared" si="20"/>
        <v>Project 2</v>
      </c>
      <c r="C100" s="35">
        <f>C85*$C$71</f>
        <v>0</v>
      </c>
      <c r="D100" s="35">
        <f t="shared" ref="D100:N100" si="25">D85*$C$71</f>
        <v>0</v>
      </c>
      <c r="E100" s="35">
        <f t="shared" si="25"/>
        <v>0</v>
      </c>
      <c r="F100" s="35">
        <f t="shared" si="25"/>
        <v>0</v>
      </c>
      <c r="G100" s="35">
        <f t="shared" si="25"/>
        <v>77976</v>
      </c>
      <c r="H100" s="35">
        <f t="shared" si="25"/>
        <v>25992.000000000004</v>
      </c>
      <c r="I100" s="35">
        <f t="shared" si="25"/>
        <v>64980.000000000007</v>
      </c>
      <c r="J100" s="35">
        <f t="shared" si="25"/>
        <v>64980.000000000007</v>
      </c>
      <c r="K100" s="35">
        <f t="shared" si="25"/>
        <v>25992.000000000004</v>
      </c>
      <c r="L100" s="35">
        <f t="shared" si="25"/>
        <v>0</v>
      </c>
      <c r="M100" s="35">
        <f t="shared" si="25"/>
        <v>0</v>
      </c>
      <c r="N100" s="35">
        <f t="shared" si="25"/>
        <v>0</v>
      </c>
      <c r="O100" s="36">
        <f t="shared" si="23"/>
        <v>259920</v>
      </c>
    </row>
    <row r="101" spans="2:17" x14ac:dyDescent="0.2">
      <c r="B101" t="str">
        <f t="shared" si="20"/>
        <v>Project 3</v>
      </c>
      <c r="C101" s="35">
        <f>C86*$C$72</f>
        <v>0</v>
      </c>
      <c r="D101" s="35">
        <f t="shared" ref="D101:N101" si="26">D86*$C$72</f>
        <v>0</v>
      </c>
      <c r="E101" s="35">
        <f t="shared" si="26"/>
        <v>0</v>
      </c>
      <c r="F101" s="35">
        <f t="shared" si="26"/>
        <v>77976</v>
      </c>
      <c r="G101" s="35">
        <f t="shared" si="26"/>
        <v>25992.000000000004</v>
      </c>
      <c r="H101" s="35">
        <f t="shared" si="26"/>
        <v>0</v>
      </c>
      <c r="I101" s="35">
        <f t="shared" si="26"/>
        <v>0</v>
      </c>
      <c r="J101" s="35">
        <f t="shared" si="26"/>
        <v>64980.000000000007</v>
      </c>
      <c r="K101" s="35">
        <f t="shared" si="26"/>
        <v>0</v>
      </c>
      <c r="L101" s="35">
        <f t="shared" si="26"/>
        <v>64980.000000000007</v>
      </c>
      <c r="M101" s="35">
        <f t="shared" si="26"/>
        <v>0</v>
      </c>
      <c r="N101" s="35">
        <f t="shared" si="26"/>
        <v>25992.000000000004</v>
      </c>
      <c r="O101" s="36">
        <f t="shared" si="23"/>
        <v>259920</v>
      </c>
    </row>
    <row r="102" spans="2:17" x14ac:dyDescent="0.2">
      <c r="B102" t="str">
        <f t="shared" si="20"/>
        <v>Project 4</v>
      </c>
      <c r="C102" s="53">
        <f t="shared" ref="C102:N102" si="27">C87*$C73</f>
        <v>0</v>
      </c>
      <c r="D102" s="53">
        <f t="shared" si="27"/>
        <v>0</v>
      </c>
      <c r="E102" s="53">
        <f t="shared" si="27"/>
        <v>0</v>
      </c>
      <c r="F102" s="53">
        <f t="shared" si="27"/>
        <v>0</v>
      </c>
      <c r="G102" s="53">
        <f t="shared" si="27"/>
        <v>0</v>
      </c>
      <c r="H102" s="53">
        <f t="shared" si="27"/>
        <v>0</v>
      </c>
      <c r="I102" s="53">
        <f t="shared" si="27"/>
        <v>97470.000000000015</v>
      </c>
      <c r="J102" s="53">
        <f t="shared" si="27"/>
        <v>32490.000000000007</v>
      </c>
      <c r="K102" s="53">
        <f t="shared" si="27"/>
        <v>81225.000000000015</v>
      </c>
      <c r="L102" s="53">
        <f t="shared" si="27"/>
        <v>81225.000000000015</v>
      </c>
      <c r="M102" s="53">
        <f t="shared" si="27"/>
        <v>32490.000000000007</v>
      </c>
      <c r="N102" s="53">
        <f t="shared" si="27"/>
        <v>0</v>
      </c>
      <c r="O102" s="36">
        <f t="shared" si="23"/>
        <v>324900.00000000006</v>
      </c>
    </row>
    <row r="103" spans="2:17" x14ac:dyDescent="0.2">
      <c r="B103" t="str">
        <f t="shared" si="20"/>
        <v>Project 5</v>
      </c>
      <c r="C103" s="53">
        <f t="shared" ref="C103:N103" si="28">C88*$C74</f>
        <v>0</v>
      </c>
      <c r="D103" s="53">
        <f t="shared" si="28"/>
        <v>0</v>
      </c>
      <c r="E103" s="53">
        <f t="shared" si="28"/>
        <v>0</v>
      </c>
      <c r="F103" s="53">
        <f t="shared" si="28"/>
        <v>0</v>
      </c>
      <c r="G103" s="53">
        <f t="shared" si="28"/>
        <v>0</v>
      </c>
      <c r="H103" s="53">
        <f t="shared" si="28"/>
        <v>81225.000000000015</v>
      </c>
      <c r="I103" s="53">
        <f t="shared" si="28"/>
        <v>0</v>
      </c>
      <c r="J103" s="53">
        <f t="shared" si="28"/>
        <v>81225.000000000015</v>
      </c>
      <c r="K103" s="53">
        <f t="shared" si="28"/>
        <v>0</v>
      </c>
      <c r="L103" s="53">
        <f t="shared" si="28"/>
        <v>81225.000000000015</v>
      </c>
      <c r="M103" s="53">
        <f t="shared" si="28"/>
        <v>0</v>
      </c>
      <c r="N103" s="53">
        <f t="shared" si="28"/>
        <v>81225.000000000015</v>
      </c>
      <c r="O103" s="36">
        <f t="shared" si="23"/>
        <v>324900.00000000006</v>
      </c>
    </row>
    <row r="104" spans="2:17" x14ac:dyDescent="0.2">
      <c r="B104" t="str">
        <f t="shared" ref="B104:B107" si="29">B89</f>
        <v>Project 6</v>
      </c>
      <c r="C104" s="53">
        <f t="shared" ref="C104:N104" si="30">C89*$C75</f>
        <v>0</v>
      </c>
      <c r="D104" s="53">
        <f t="shared" si="30"/>
        <v>0</v>
      </c>
      <c r="E104" s="53">
        <f t="shared" si="30"/>
        <v>58482.000000000007</v>
      </c>
      <c r="F104" s="53">
        <f t="shared" si="30"/>
        <v>58482.000000000007</v>
      </c>
      <c r="G104" s="53">
        <f t="shared" si="30"/>
        <v>0</v>
      </c>
      <c r="H104" s="53">
        <f t="shared" si="30"/>
        <v>58482.000000000007</v>
      </c>
      <c r="I104" s="53">
        <f t="shared" si="30"/>
        <v>58482.000000000007</v>
      </c>
      <c r="J104" s="53">
        <f t="shared" si="30"/>
        <v>0</v>
      </c>
      <c r="K104" s="53">
        <f t="shared" si="30"/>
        <v>77976.000000000015</v>
      </c>
      <c r="L104" s="53">
        <f t="shared" si="30"/>
        <v>0</v>
      </c>
      <c r="M104" s="53">
        <f t="shared" si="30"/>
        <v>77976.000000000015</v>
      </c>
      <c r="N104" s="53">
        <f t="shared" si="30"/>
        <v>0</v>
      </c>
      <c r="O104" s="36">
        <f t="shared" si="23"/>
        <v>389880.00000000006</v>
      </c>
    </row>
    <row r="105" spans="2:17" x14ac:dyDescent="0.2">
      <c r="B105">
        <f t="shared" si="29"/>
        <v>0</v>
      </c>
      <c r="C105" s="53">
        <f t="shared" ref="C105:N105" si="31">C90*$C76</f>
        <v>0</v>
      </c>
      <c r="D105" s="53">
        <f t="shared" si="31"/>
        <v>0</v>
      </c>
      <c r="E105" s="53">
        <f t="shared" si="31"/>
        <v>0</v>
      </c>
      <c r="F105" s="53">
        <f t="shared" si="31"/>
        <v>0</v>
      </c>
      <c r="G105" s="53">
        <f t="shared" si="31"/>
        <v>0</v>
      </c>
      <c r="H105" s="53">
        <f t="shared" si="31"/>
        <v>0</v>
      </c>
      <c r="I105" s="53">
        <f t="shared" si="31"/>
        <v>0</v>
      </c>
      <c r="J105" s="53">
        <f t="shared" si="31"/>
        <v>0</v>
      </c>
      <c r="K105" s="53">
        <f t="shared" si="31"/>
        <v>0</v>
      </c>
      <c r="L105" s="53">
        <f t="shared" si="31"/>
        <v>0</v>
      </c>
      <c r="M105" s="53">
        <f t="shared" si="31"/>
        <v>0</v>
      </c>
      <c r="N105" s="53">
        <f t="shared" si="31"/>
        <v>0</v>
      </c>
      <c r="O105" s="36">
        <f t="shared" si="23"/>
        <v>0</v>
      </c>
    </row>
    <row r="106" spans="2:17" x14ac:dyDescent="0.2">
      <c r="B106">
        <f t="shared" si="29"/>
        <v>0</v>
      </c>
      <c r="C106" s="53">
        <f>C91*$C77</f>
        <v>0</v>
      </c>
      <c r="D106" s="53">
        <f t="shared" ref="D106:N106" si="32">D91*$C77</f>
        <v>0</v>
      </c>
      <c r="E106" s="53">
        <f t="shared" si="32"/>
        <v>0</v>
      </c>
      <c r="F106" s="53">
        <f>F91*$C77</f>
        <v>0</v>
      </c>
      <c r="G106" s="53">
        <f t="shared" si="32"/>
        <v>0</v>
      </c>
      <c r="H106" s="53">
        <f t="shared" si="32"/>
        <v>0</v>
      </c>
      <c r="I106" s="53">
        <f t="shared" si="32"/>
        <v>0</v>
      </c>
      <c r="J106" s="53">
        <f t="shared" si="32"/>
        <v>0</v>
      </c>
      <c r="K106" s="53">
        <f t="shared" si="32"/>
        <v>0</v>
      </c>
      <c r="L106" s="53">
        <f t="shared" si="32"/>
        <v>0</v>
      </c>
      <c r="M106" s="53">
        <f t="shared" si="32"/>
        <v>0</v>
      </c>
      <c r="N106" s="53">
        <f t="shared" si="32"/>
        <v>0</v>
      </c>
      <c r="O106" s="36">
        <f t="shared" si="23"/>
        <v>0</v>
      </c>
    </row>
    <row r="107" spans="2:17" x14ac:dyDescent="0.2">
      <c r="B107" s="44">
        <f t="shared" si="29"/>
        <v>0</v>
      </c>
      <c r="C107" s="54">
        <f t="shared" ref="C107:N107" si="33">C92*$C78</f>
        <v>0</v>
      </c>
      <c r="D107" s="54">
        <f t="shared" si="33"/>
        <v>0</v>
      </c>
      <c r="E107" s="54">
        <f t="shared" si="33"/>
        <v>0</v>
      </c>
      <c r="F107" s="54">
        <f t="shared" si="33"/>
        <v>0</v>
      </c>
      <c r="G107" s="54">
        <f t="shared" si="33"/>
        <v>0</v>
      </c>
      <c r="H107" s="54">
        <f t="shared" si="33"/>
        <v>0</v>
      </c>
      <c r="I107" s="54">
        <f t="shared" si="33"/>
        <v>0</v>
      </c>
      <c r="J107" s="54">
        <f t="shared" si="33"/>
        <v>0</v>
      </c>
      <c r="K107" s="54">
        <f t="shared" si="33"/>
        <v>0</v>
      </c>
      <c r="L107" s="54">
        <f t="shared" si="33"/>
        <v>0</v>
      </c>
      <c r="M107" s="54">
        <f t="shared" si="33"/>
        <v>0</v>
      </c>
      <c r="N107" s="54">
        <f t="shared" si="33"/>
        <v>0</v>
      </c>
      <c r="O107" s="55">
        <f t="shared" si="23"/>
        <v>0</v>
      </c>
    </row>
    <row r="108" spans="2:17" x14ac:dyDescent="0.2">
      <c r="B108" s="37" t="s">
        <v>16</v>
      </c>
      <c r="C108" s="38">
        <f t="shared" ref="C108:O108" si="34">SUM(C97:C107)</f>
        <v>78659.999999999985</v>
      </c>
      <c r="D108" s="38">
        <f t="shared" si="34"/>
        <v>104309.99999999999</v>
      </c>
      <c r="E108" s="38">
        <f t="shared" si="34"/>
        <v>211527</v>
      </c>
      <c r="F108" s="38">
        <f t="shared" si="34"/>
        <v>289503</v>
      </c>
      <c r="G108" s="38">
        <f t="shared" si="34"/>
        <v>239913</v>
      </c>
      <c r="H108" s="38">
        <f t="shared" si="34"/>
        <v>256500</v>
      </c>
      <c r="I108" s="38">
        <f t="shared" si="34"/>
        <v>301986</v>
      </c>
      <c r="J108" s="38">
        <f t="shared" si="34"/>
        <v>305235</v>
      </c>
      <c r="K108" s="38">
        <f t="shared" si="34"/>
        <v>246753</v>
      </c>
      <c r="L108" s="38">
        <f t="shared" si="34"/>
        <v>288990</v>
      </c>
      <c r="M108" s="38">
        <f t="shared" si="34"/>
        <v>172026</v>
      </c>
      <c r="N108" s="38">
        <f t="shared" si="34"/>
        <v>168777</v>
      </c>
      <c r="O108" s="58">
        <f t="shared" si="34"/>
        <v>2664180</v>
      </c>
      <c r="P108" s="97">
        <f>O108/O93</f>
        <v>140220</v>
      </c>
      <c r="Q108" s="97">
        <f>O108/C64</f>
        <v>40.999999999999993</v>
      </c>
    </row>
    <row r="109" spans="2:17" x14ac:dyDescent="0.2">
      <c r="B109" s="40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</row>
    <row r="110" spans="2:17" x14ac:dyDescent="0.2">
      <c r="B110" s="41" t="s">
        <v>31</v>
      </c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</row>
    <row r="111" spans="2:17" s="2" customFormat="1" x14ac:dyDescent="0.2">
      <c r="B111" s="65" t="s">
        <v>12</v>
      </c>
      <c r="C111" s="66">
        <f>36000*(1+C6)</f>
        <v>41040.000000000007</v>
      </c>
    </row>
    <row r="112" spans="2:17" ht="17" thickBot="1" x14ac:dyDescent="0.25">
      <c r="B112" s="41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</row>
    <row r="113" spans="2:15" x14ac:dyDescent="0.2">
      <c r="B113" s="18" t="s">
        <v>5</v>
      </c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30"/>
    </row>
    <row r="114" spans="2:15" ht="17" thickBot="1" x14ac:dyDescent="0.25">
      <c r="B114" s="20"/>
      <c r="C114" s="31">
        <v>44927</v>
      </c>
      <c r="D114" s="31">
        <v>44958</v>
      </c>
      <c r="E114" s="31">
        <v>44986</v>
      </c>
      <c r="F114" s="31">
        <v>45017</v>
      </c>
      <c r="G114" s="31">
        <v>45047</v>
      </c>
      <c r="H114" s="31">
        <v>45078</v>
      </c>
      <c r="I114" s="31">
        <v>45108</v>
      </c>
      <c r="J114" s="31">
        <v>45139</v>
      </c>
      <c r="K114" s="31">
        <v>44805</v>
      </c>
      <c r="L114" s="31">
        <v>45200</v>
      </c>
      <c r="M114" s="31">
        <v>45231</v>
      </c>
      <c r="N114" s="31">
        <v>45261</v>
      </c>
      <c r="O114" s="32" t="s">
        <v>9</v>
      </c>
    </row>
    <row r="115" spans="2:15" ht="17" thickTop="1" x14ac:dyDescent="0.2">
      <c r="B115" s="34" t="s">
        <v>17</v>
      </c>
      <c r="C115" s="35"/>
      <c r="D115" s="35"/>
      <c r="E115" s="35"/>
      <c r="F115" s="35">
        <v>1</v>
      </c>
      <c r="G115" s="35"/>
      <c r="H115" s="35"/>
      <c r="I115" s="35"/>
      <c r="J115" s="35">
        <v>1</v>
      </c>
      <c r="K115" s="35"/>
      <c r="L115" s="35"/>
      <c r="M115" s="35"/>
      <c r="N115" s="35">
        <v>1</v>
      </c>
      <c r="O115" s="43">
        <f>SUM(C115:N115)</f>
        <v>3</v>
      </c>
    </row>
    <row r="116" spans="2:15" x14ac:dyDescent="0.2">
      <c r="B116" s="44" t="str">
        <f>B111</f>
        <v>Average Product Price</v>
      </c>
      <c r="C116" s="45">
        <f t="shared" ref="C116:N116" si="35">$C111</f>
        <v>41040.000000000007</v>
      </c>
      <c r="D116" s="45">
        <f t="shared" si="35"/>
        <v>41040.000000000007</v>
      </c>
      <c r="E116" s="45">
        <f t="shared" si="35"/>
        <v>41040.000000000007</v>
      </c>
      <c r="F116" s="45">
        <f t="shared" si="35"/>
        <v>41040.000000000007</v>
      </c>
      <c r="G116" s="45">
        <f t="shared" si="35"/>
        <v>41040.000000000007</v>
      </c>
      <c r="H116" s="45">
        <f t="shared" si="35"/>
        <v>41040.000000000007</v>
      </c>
      <c r="I116" s="45">
        <f t="shared" si="35"/>
        <v>41040.000000000007</v>
      </c>
      <c r="J116" s="45">
        <f t="shared" si="35"/>
        <v>41040.000000000007</v>
      </c>
      <c r="K116" s="45">
        <f t="shared" si="35"/>
        <v>41040.000000000007</v>
      </c>
      <c r="L116" s="45">
        <f t="shared" si="35"/>
        <v>41040.000000000007</v>
      </c>
      <c r="M116" s="45">
        <f t="shared" si="35"/>
        <v>41040.000000000007</v>
      </c>
      <c r="N116" s="45">
        <f t="shared" si="35"/>
        <v>41040.000000000007</v>
      </c>
      <c r="O116" s="46"/>
    </row>
    <row r="117" spans="2:15" x14ac:dyDescent="0.2">
      <c r="B117" s="37" t="s">
        <v>18</v>
      </c>
      <c r="C117" s="38">
        <f t="shared" ref="C117:N117" si="36">C115*C116</f>
        <v>0</v>
      </c>
      <c r="D117" s="38">
        <f t="shared" si="36"/>
        <v>0</v>
      </c>
      <c r="E117" s="38">
        <f t="shared" si="36"/>
        <v>0</v>
      </c>
      <c r="F117" s="38">
        <f t="shared" si="36"/>
        <v>41040.000000000007</v>
      </c>
      <c r="G117" s="38">
        <f t="shared" si="36"/>
        <v>0</v>
      </c>
      <c r="H117" s="38">
        <f t="shared" si="36"/>
        <v>0</v>
      </c>
      <c r="I117" s="38">
        <f t="shared" si="36"/>
        <v>0</v>
      </c>
      <c r="J117" s="38">
        <f t="shared" si="36"/>
        <v>41040.000000000007</v>
      </c>
      <c r="K117" s="38">
        <f t="shared" si="36"/>
        <v>0</v>
      </c>
      <c r="L117" s="38">
        <f t="shared" si="36"/>
        <v>0</v>
      </c>
      <c r="M117" s="38">
        <f t="shared" si="36"/>
        <v>0</v>
      </c>
      <c r="N117" s="38">
        <f t="shared" si="36"/>
        <v>41040.000000000007</v>
      </c>
      <c r="O117" s="39">
        <f>SUM(C117:N117)</f>
        <v>123120.00000000003</v>
      </c>
    </row>
    <row r="118" spans="2:15" x14ac:dyDescent="0.2">
      <c r="B118" s="28"/>
    </row>
    <row r="119" spans="2:15" x14ac:dyDescent="0.2">
      <c r="B119" s="41" t="s">
        <v>32</v>
      </c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</row>
    <row r="120" spans="2:15" x14ac:dyDescent="0.2">
      <c r="B120" s="69" t="s">
        <v>155</v>
      </c>
      <c r="C120" s="175">
        <v>1.5</v>
      </c>
    </row>
    <row r="121" spans="2:15" x14ac:dyDescent="0.2">
      <c r="B121" s="33" t="s">
        <v>156</v>
      </c>
      <c r="C121" s="70">
        <f>30000</f>
        <v>30000</v>
      </c>
    </row>
    <row r="122" spans="2:15" x14ac:dyDescent="0.2">
      <c r="B122" s="33" t="s">
        <v>157</v>
      </c>
      <c r="C122" s="176">
        <f>C120*1.1</f>
        <v>1.6500000000000001</v>
      </c>
    </row>
    <row r="123" spans="2:15" x14ac:dyDescent="0.2">
      <c r="B123" s="33" t="s">
        <v>158</v>
      </c>
      <c r="C123" s="70">
        <f>C121*1.2</f>
        <v>36000</v>
      </c>
    </row>
    <row r="124" spans="2:15" x14ac:dyDescent="0.2">
      <c r="B124" s="71" t="s">
        <v>159</v>
      </c>
      <c r="C124" s="72">
        <f>14000*1.14</f>
        <v>15959.999999999998</v>
      </c>
    </row>
    <row r="125" spans="2:15" ht="17" thickBot="1" x14ac:dyDescent="0.25">
      <c r="C125" s="60"/>
    </row>
    <row r="126" spans="2:15" x14ac:dyDescent="0.2">
      <c r="B126" s="18" t="s">
        <v>33</v>
      </c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30"/>
    </row>
    <row r="127" spans="2:15" ht="17" thickBot="1" x14ac:dyDescent="0.25">
      <c r="B127" s="20"/>
      <c r="C127" s="31">
        <v>44927</v>
      </c>
      <c r="D127" s="31">
        <v>44958</v>
      </c>
      <c r="E127" s="31">
        <v>44986</v>
      </c>
      <c r="F127" s="31">
        <v>45017</v>
      </c>
      <c r="G127" s="31">
        <v>45047</v>
      </c>
      <c r="H127" s="31">
        <v>45078</v>
      </c>
      <c r="I127" s="31">
        <v>45108</v>
      </c>
      <c r="J127" s="31">
        <v>45139</v>
      </c>
      <c r="K127" s="31">
        <v>44805</v>
      </c>
      <c r="L127" s="31">
        <v>45200</v>
      </c>
      <c r="M127" s="31">
        <v>45231</v>
      </c>
      <c r="N127" s="31">
        <v>45261</v>
      </c>
      <c r="O127" s="32" t="s">
        <v>9</v>
      </c>
    </row>
    <row r="128" spans="2:15" ht="17" thickTop="1" x14ac:dyDescent="0.2">
      <c r="B128" t="s">
        <v>34</v>
      </c>
      <c r="C128" s="35">
        <v>2</v>
      </c>
      <c r="D128" s="35">
        <v>2</v>
      </c>
      <c r="E128" s="35">
        <v>2</v>
      </c>
      <c r="F128" s="35">
        <v>2</v>
      </c>
      <c r="G128" s="35">
        <v>2</v>
      </c>
      <c r="H128" s="35">
        <v>2</v>
      </c>
      <c r="I128" s="35">
        <v>2</v>
      </c>
      <c r="J128" s="35">
        <v>1.5</v>
      </c>
      <c r="K128" s="35">
        <v>2</v>
      </c>
      <c r="L128" s="35">
        <v>1.5</v>
      </c>
      <c r="M128" s="35">
        <v>2</v>
      </c>
      <c r="N128" s="35">
        <v>1.5</v>
      </c>
      <c r="O128" s="63">
        <f>SUM(C128:N128)</f>
        <v>22.5</v>
      </c>
    </row>
    <row r="129" spans="2:17" x14ac:dyDescent="0.2">
      <c r="B129" t="s">
        <v>35</v>
      </c>
      <c r="C129" s="62"/>
      <c r="D129" s="62"/>
      <c r="E129" s="62"/>
      <c r="F129" s="62"/>
      <c r="G129" s="62"/>
      <c r="H129" s="62">
        <v>1</v>
      </c>
      <c r="I129" s="62"/>
      <c r="J129" s="62">
        <v>1</v>
      </c>
      <c r="K129" s="62"/>
      <c r="L129" s="62">
        <v>1</v>
      </c>
      <c r="M129" s="62"/>
      <c r="N129" s="62">
        <v>1</v>
      </c>
      <c r="O129" s="63">
        <f>SUM(C129:N129)</f>
        <v>4</v>
      </c>
    </row>
    <row r="130" spans="2:17" x14ac:dyDescent="0.2">
      <c r="B130" s="37" t="s">
        <v>22</v>
      </c>
      <c r="C130" s="38">
        <f>SUM(C128:C129)</f>
        <v>2</v>
      </c>
      <c r="D130" s="38">
        <f t="shared" ref="D130:N130" si="37">SUM(D128:D129)</f>
        <v>2</v>
      </c>
      <c r="E130" s="38">
        <f t="shared" si="37"/>
        <v>2</v>
      </c>
      <c r="F130" s="38">
        <f t="shared" si="37"/>
        <v>2</v>
      </c>
      <c r="G130" s="38">
        <f t="shared" si="37"/>
        <v>2</v>
      </c>
      <c r="H130" s="38">
        <f t="shared" si="37"/>
        <v>3</v>
      </c>
      <c r="I130" s="38">
        <f t="shared" si="37"/>
        <v>2</v>
      </c>
      <c r="J130" s="38">
        <f t="shared" si="37"/>
        <v>2.5</v>
      </c>
      <c r="K130" s="38">
        <f t="shared" si="37"/>
        <v>2</v>
      </c>
      <c r="L130" s="38">
        <f t="shared" si="37"/>
        <v>2.5</v>
      </c>
      <c r="M130" s="38">
        <f t="shared" si="37"/>
        <v>2</v>
      </c>
      <c r="N130" s="38">
        <f t="shared" si="37"/>
        <v>2.5</v>
      </c>
      <c r="O130" s="61">
        <f>SUM(C130:N130)</f>
        <v>26.5</v>
      </c>
      <c r="Q130" s="60">
        <f>O130/12</f>
        <v>2.2083333333333335</v>
      </c>
    </row>
    <row r="131" spans="2:17" ht="17" thickBot="1" x14ac:dyDescent="0.25"/>
    <row r="132" spans="2:17" x14ac:dyDescent="0.2">
      <c r="B132" s="18" t="s">
        <v>22</v>
      </c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30"/>
    </row>
    <row r="133" spans="2:17" ht="17" thickBot="1" x14ac:dyDescent="0.25">
      <c r="B133" s="20"/>
      <c r="C133" s="31">
        <v>44927</v>
      </c>
      <c r="D133" s="31">
        <v>44958</v>
      </c>
      <c r="E133" s="31">
        <v>44986</v>
      </c>
      <c r="F133" s="31">
        <v>45017</v>
      </c>
      <c r="G133" s="31">
        <v>45047</v>
      </c>
      <c r="H133" s="31">
        <v>45078</v>
      </c>
      <c r="I133" s="31">
        <v>45108</v>
      </c>
      <c r="J133" s="31">
        <v>45139</v>
      </c>
      <c r="K133" s="31">
        <v>44805</v>
      </c>
      <c r="L133" s="31">
        <v>45200</v>
      </c>
      <c r="M133" s="31">
        <v>45231</v>
      </c>
      <c r="N133" s="31">
        <v>45261</v>
      </c>
      <c r="O133" s="32" t="s">
        <v>9</v>
      </c>
    </row>
    <row r="134" spans="2:17" ht="17" thickTop="1" x14ac:dyDescent="0.2">
      <c r="B134" s="48" t="str">
        <f>B128</f>
        <v>Custom Websites</v>
      </c>
      <c r="C134" s="49">
        <f>C128*$C$123</f>
        <v>72000</v>
      </c>
      <c r="D134" s="49">
        <f t="shared" ref="D134:N134" si="38">D128*$C$123</f>
        <v>72000</v>
      </c>
      <c r="E134" s="49">
        <f t="shared" si="38"/>
        <v>72000</v>
      </c>
      <c r="F134" s="49">
        <f t="shared" si="38"/>
        <v>72000</v>
      </c>
      <c r="G134" s="49">
        <f t="shared" si="38"/>
        <v>72000</v>
      </c>
      <c r="H134" s="49">
        <f t="shared" si="38"/>
        <v>72000</v>
      </c>
      <c r="I134" s="49">
        <f t="shared" si="38"/>
        <v>72000</v>
      </c>
      <c r="J134" s="49">
        <f t="shared" si="38"/>
        <v>54000</v>
      </c>
      <c r="K134" s="49">
        <f t="shared" si="38"/>
        <v>72000</v>
      </c>
      <c r="L134" s="49">
        <f t="shared" si="38"/>
        <v>54000</v>
      </c>
      <c r="M134" s="49">
        <f t="shared" si="38"/>
        <v>72000</v>
      </c>
      <c r="N134" s="49">
        <f t="shared" si="38"/>
        <v>54000</v>
      </c>
      <c r="O134" s="51">
        <f>SUM(C134:N134)</f>
        <v>810000</v>
      </c>
    </row>
    <row r="135" spans="2:17" x14ac:dyDescent="0.2">
      <c r="B135" s="34" t="str">
        <f>B129</f>
        <v>Readymade Websites</v>
      </c>
      <c r="C135" s="52">
        <f>C129*$C$124</f>
        <v>0</v>
      </c>
      <c r="D135" s="52">
        <f t="shared" ref="D135:N135" si="39">D129*$C$124</f>
        <v>0</v>
      </c>
      <c r="E135" s="52">
        <f t="shared" si="39"/>
        <v>0</v>
      </c>
      <c r="F135" s="52">
        <f t="shared" si="39"/>
        <v>0</v>
      </c>
      <c r="G135" s="52">
        <f t="shared" si="39"/>
        <v>0</v>
      </c>
      <c r="H135" s="52">
        <f t="shared" si="39"/>
        <v>15959.999999999998</v>
      </c>
      <c r="I135" s="52">
        <f t="shared" si="39"/>
        <v>0</v>
      </c>
      <c r="J135" s="52">
        <f t="shared" si="39"/>
        <v>15959.999999999998</v>
      </c>
      <c r="K135" s="52">
        <f t="shared" si="39"/>
        <v>0</v>
      </c>
      <c r="L135" s="52">
        <f t="shared" si="39"/>
        <v>15959.999999999998</v>
      </c>
      <c r="M135" s="52">
        <f t="shared" si="39"/>
        <v>0</v>
      </c>
      <c r="N135" s="52">
        <f t="shared" si="39"/>
        <v>15959.999999999998</v>
      </c>
      <c r="O135" s="64">
        <f>SUM(C135:N135)</f>
        <v>63839.999999999993</v>
      </c>
    </row>
    <row r="136" spans="2:17" x14ac:dyDescent="0.2">
      <c r="B136" s="37" t="s">
        <v>16</v>
      </c>
      <c r="C136" s="38">
        <f>SUM(C134:C135)</f>
        <v>72000</v>
      </c>
      <c r="D136" s="38">
        <f t="shared" ref="D136:N136" si="40">SUM(D134:D135)</f>
        <v>72000</v>
      </c>
      <c r="E136" s="38">
        <f t="shared" si="40"/>
        <v>72000</v>
      </c>
      <c r="F136" s="38">
        <f t="shared" si="40"/>
        <v>72000</v>
      </c>
      <c r="G136" s="38">
        <f t="shared" si="40"/>
        <v>72000</v>
      </c>
      <c r="H136" s="38">
        <f t="shared" si="40"/>
        <v>87960</v>
      </c>
      <c r="I136" s="38">
        <f t="shared" si="40"/>
        <v>72000</v>
      </c>
      <c r="J136" s="38">
        <f t="shared" si="40"/>
        <v>69960</v>
      </c>
      <c r="K136" s="38">
        <f t="shared" si="40"/>
        <v>72000</v>
      </c>
      <c r="L136" s="38">
        <f t="shared" si="40"/>
        <v>69960</v>
      </c>
      <c r="M136" s="38">
        <f t="shared" si="40"/>
        <v>72000</v>
      </c>
      <c r="N136" s="38">
        <f t="shared" si="40"/>
        <v>69960</v>
      </c>
      <c r="O136" s="58">
        <f>SUM(C136:N136)</f>
        <v>873840</v>
      </c>
      <c r="P136" s="97">
        <f>O136/O130</f>
        <v>32975.094339622643</v>
      </c>
    </row>
    <row r="137" spans="2:17" x14ac:dyDescent="0.2">
      <c r="B137" s="41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53"/>
    </row>
    <row r="138" spans="2:17" x14ac:dyDescent="0.2">
      <c r="B138" s="41" t="s">
        <v>36</v>
      </c>
    </row>
    <row r="139" spans="2:17" s="2" customFormat="1" x14ac:dyDescent="0.2">
      <c r="B139" s="65" t="s">
        <v>63</v>
      </c>
      <c r="C139" s="66">
        <f>120*50*(1+C6/2)</f>
        <v>6420</v>
      </c>
    </row>
    <row r="140" spans="2:17" s="2" customFormat="1" ht="17" thickBot="1" x14ac:dyDescent="0.25">
      <c r="B140" s="59"/>
      <c r="C140" s="67"/>
    </row>
    <row r="141" spans="2:17" x14ac:dyDescent="0.2">
      <c r="B141" s="18" t="s">
        <v>37</v>
      </c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30"/>
    </row>
    <row r="142" spans="2:17" ht="17" thickBot="1" x14ac:dyDescent="0.25">
      <c r="B142" s="20"/>
      <c r="C142" s="253">
        <v>44927</v>
      </c>
      <c r="D142" s="253">
        <v>44958</v>
      </c>
      <c r="E142" s="253">
        <v>44986</v>
      </c>
      <c r="F142" s="253">
        <v>45017</v>
      </c>
      <c r="G142" s="253">
        <v>45047</v>
      </c>
      <c r="H142" s="253">
        <v>45078</v>
      </c>
      <c r="I142" s="253">
        <v>45108</v>
      </c>
      <c r="J142" s="253">
        <v>45139</v>
      </c>
      <c r="K142" s="253">
        <v>44805</v>
      </c>
      <c r="L142" s="253">
        <v>45200</v>
      </c>
      <c r="M142" s="253">
        <v>45231</v>
      </c>
      <c r="N142" s="253">
        <v>45261</v>
      </c>
      <c r="O142" s="32" t="s">
        <v>9</v>
      </c>
    </row>
    <row r="143" spans="2:17" ht="17" thickTop="1" x14ac:dyDescent="0.2">
      <c r="B143" t="s">
        <v>37</v>
      </c>
      <c r="C143" s="62">
        <v>2</v>
      </c>
      <c r="D143" s="62">
        <v>3</v>
      </c>
      <c r="E143" s="62">
        <v>2</v>
      </c>
      <c r="F143" s="62">
        <v>3</v>
      </c>
      <c r="G143" s="62">
        <v>2</v>
      </c>
      <c r="H143" s="62">
        <f t="shared" ref="H143:J143" si="41">H130</f>
        <v>3</v>
      </c>
      <c r="I143" s="62">
        <v>2</v>
      </c>
      <c r="J143" s="62">
        <f t="shared" si="41"/>
        <v>2.5</v>
      </c>
      <c r="K143" s="62">
        <v>2</v>
      </c>
      <c r="L143" s="62">
        <v>5</v>
      </c>
      <c r="M143" s="62">
        <v>2</v>
      </c>
      <c r="N143" s="62">
        <v>5</v>
      </c>
      <c r="O143" s="63">
        <f>SUM(C143:N143)</f>
        <v>33.5</v>
      </c>
    </row>
    <row r="144" spans="2:17" x14ac:dyDescent="0.2">
      <c r="B144" s="37"/>
      <c r="C144" s="38">
        <f>SUM(C143)</f>
        <v>2</v>
      </c>
      <c r="D144" s="38">
        <f t="shared" ref="D144" si="42">SUM(D143)</f>
        <v>3</v>
      </c>
      <c r="E144" s="38">
        <f t="shared" ref="E144" si="43">SUM(E143)</f>
        <v>2</v>
      </c>
      <c r="F144" s="38">
        <f t="shared" ref="F144" si="44">SUM(F143)</f>
        <v>3</v>
      </c>
      <c r="G144" s="38">
        <f t="shared" ref="G144" si="45">SUM(G143)</f>
        <v>2</v>
      </c>
      <c r="H144" s="38">
        <f t="shared" ref="H144" si="46">SUM(H143)</f>
        <v>3</v>
      </c>
      <c r="I144" s="38">
        <f t="shared" ref="I144" si="47">SUM(I143)</f>
        <v>2</v>
      </c>
      <c r="J144" s="38">
        <f t="shared" ref="J144" si="48">SUM(J143)</f>
        <v>2.5</v>
      </c>
      <c r="K144" s="38">
        <f t="shared" ref="K144" si="49">SUM(K143)</f>
        <v>2</v>
      </c>
      <c r="L144" s="38">
        <f t="shared" ref="L144" si="50">SUM(L143)</f>
        <v>5</v>
      </c>
      <c r="M144" s="38">
        <f t="shared" ref="M144" si="51">SUM(M143)</f>
        <v>2</v>
      </c>
      <c r="N144" s="38">
        <f t="shared" ref="N144" si="52">SUM(N143)</f>
        <v>5</v>
      </c>
      <c r="O144" s="61">
        <f t="shared" ref="O144" si="53">SUM(O143)</f>
        <v>33.5</v>
      </c>
    </row>
    <row r="145" spans="2:15" ht="17" thickBot="1" x14ac:dyDescent="0.25"/>
    <row r="146" spans="2:15" x14ac:dyDescent="0.2">
      <c r="B146" s="18" t="s">
        <v>23</v>
      </c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30"/>
    </row>
    <row r="147" spans="2:15" ht="17" thickBot="1" x14ac:dyDescent="0.25">
      <c r="B147" s="20"/>
      <c r="C147" s="253">
        <v>44927</v>
      </c>
      <c r="D147" s="253">
        <v>44958</v>
      </c>
      <c r="E147" s="253">
        <v>44986</v>
      </c>
      <c r="F147" s="253">
        <v>45017</v>
      </c>
      <c r="G147" s="253">
        <v>45047</v>
      </c>
      <c r="H147" s="253">
        <v>45078</v>
      </c>
      <c r="I147" s="253">
        <v>45108</v>
      </c>
      <c r="J147" s="253">
        <v>45139</v>
      </c>
      <c r="K147" s="253">
        <v>44805</v>
      </c>
      <c r="L147" s="253">
        <v>45200</v>
      </c>
      <c r="M147" s="253">
        <v>45231</v>
      </c>
      <c r="N147" s="253">
        <v>45261</v>
      </c>
      <c r="O147" s="32" t="s">
        <v>9</v>
      </c>
    </row>
    <row r="148" spans="2:15" ht="17" thickTop="1" x14ac:dyDescent="0.2">
      <c r="B148" s="48" t="str">
        <f>B143</f>
        <v>Hosting Contracts</v>
      </c>
      <c r="C148" s="49">
        <f>C143*$C$139</f>
        <v>12840</v>
      </c>
      <c r="D148" s="49">
        <f t="shared" ref="D148:N148" si="54">D143*$C$139</f>
        <v>19260</v>
      </c>
      <c r="E148" s="49">
        <f t="shared" si="54"/>
        <v>12840</v>
      </c>
      <c r="F148" s="49">
        <f t="shared" si="54"/>
        <v>19260</v>
      </c>
      <c r="G148" s="49">
        <f t="shared" si="54"/>
        <v>12840</v>
      </c>
      <c r="H148" s="49">
        <f t="shared" si="54"/>
        <v>19260</v>
      </c>
      <c r="I148" s="49">
        <f t="shared" si="54"/>
        <v>12840</v>
      </c>
      <c r="J148" s="49">
        <f t="shared" si="54"/>
        <v>16050</v>
      </c>
      <c r="K148" s="49">
        <f t="shared" si="54"/>
        <v>12840</v>
      </c>
      <c r="L148" s="49">
        <f t="shared" si="54"/>
        <v>32100</v>
      </c>
      <c r="M148" s="49">
        <f t="shared" si="54"/>
        <v>12840</v>
      </c>
      <c r="N148" s="49">
        <f t="shared" si="54"/>
        <v>32100</v>
      </c>
      <c r="O148" s="51">
        <f>SUM(C148:N148)</f>
        <v>215070</v>
      </c>
    </row>
    <row r="149" spans="2:15" x14ac:dyDescent="0.2">
      <c r="B149" s="37"/>
      <c r="C149" s="38">
        <f>SUM(C148)</f>
        <v>12840</v>
      </c>
      <c r="D149" s="38">
        <f>SUM(D148)</f>
        <v>19260</v>
      </c>
      <c r="E149" s="38">
        <f t="shared" ref="E149:N149" si="55">SUM(E148)</f>
        <v>12840</v>
      </c>
      <c r="F149" s="38">
        <f t="shared" si="55"/>
        <v>19260</v>
      </c>
      <c r="G149" s="38">
        <f t="shared" si="55"/>
        <v>12840</v>
      </c>
      <c r="H149" s="38">
        <f t="shared" si="55"/>
        <v>19260</v>
      </c>
      <c r="I149" s="38">
        <f t="shared" si="55"/>
        <v>12840</v>
      </c>
      <c r="J149" s="38">
        <f t="shared" si="55"/>
        <v>16050</v>
      </c>
      <c r="K149" s="38">
        <f t="shared" si="55"/>
        <v>12840</v>
      </c>
      <c r="L149" s="38">
        <f t="shared" si="55"/>
        <v>32100</v>
      </c>
      <c r="M149" s="38">
        <f t="shared" si="55"/>
        <v>12840</v>
      </c>
      <c r="N149" s="38">
        <f t="shared" si="55"/>
        <v>32100</v>
      </c>
      <c r="O149" s="58">
        <f>SUM(C149:N149)</f>
        <v>215070</v>
      </c>
    </row>
    <row r="151" spans="2:15" s="2" customFormat="1" x14ac:dyDescent="0.2">
      <c r="B151" s="28" t="s">
        <v>144</v>
      </c>
      <c r="C151" s="17"/>
    </row>
    <row r="152" spans="2:15" s="2" customFormat="1" x14ac:dyDescent="0.2">
      <c r="B152" s="65" t="s">
        <v>11</v>
      </c>
      <c r="C152" s="66">
        <f>600*95*(1+C6)</f>
        <v>64980.000000000007</v>
      </c>
    </row>
    <row r="153" spans="2:15" s="2" customFormat="1" ht="17" thickBot="1" x14ac:dyDescent="0.25">
      <c r="B153" s="28"/>
      <c r="C153" s="17"/>
    </row>
    <row r="154" spans="2:15" s="2" customFormat="1" x14ac:dyDescent="0.2">
      <c r="B154" s="18" t="s">
        <v>151</v>
      </c>
      <c r="C154" s="19"/>
    </row>
    <row r="155" spans="2:15" s="2" customFormat="1" ht="17" thickBot="1" x14ac:dyDescent="0.25">
      <c r="B155" s="20"/>
      <c r="C155" s="21" t="s">
        <v>14</v>
      </c>
    </row>
    <row r="156" spans="2:15" s="2" customFormat="1" ht="17" thickTop="1" x14ac:dyDescent="0.2">
      <c r="B156" s="256" t="s">
        <v>203</v>
      </c>
      <c r="C156" s="257">
        <f>3000*30*1.14</f>
        <v>102599.99999999999</v>
      </c>
      <c r="F156" s="143"/>
    </row>
    <row r="157" spans="2:15" s="2" customFormat="1" x14ac:dyDescent="0.2">
      <c r="B157" s="254" t="s">
        <v>149</v>
      </c>
      <c r="C157" s="255">
        <f>C152*3</f>
        <v>194940.00000000003</v>
      </c>
    </row>
    <row r="158" spans="2:15" s="2" customFormat="1" x14ac:dyDescent="0.2">
      <c r="B158" s="254" t="s">
        <v>148</v>
      </c>
      <c r="C158" s="255">
        <f>C152*4</f>
        <v>259920.00000000003</v>
      </c>
    </row>
    <row r="159" spans="2:15" s="2" customFormat="1" x14ac:dyDescent="0.2">
      <c r="B159" s="254" t="s">
        <v>150</v>
      </c>
      <c r="C159" s="255">
        <f>C152*3</f>
        <v>194940.00000000003</v>
      </c>
    </row>
    <row r="160" spans="2:15" s="2" customFormat="1" x14ac:dyDescent="0.2">
      <c r="B160" s="254" t="s">
        <v>192</v>
      </c>
      <c r="C160" s="255">
        <f>C152*4</f>
        <v>259920.00000000003</v>
      </c>
    </row>
    <row r="161" spans="2:17" s="2" customFormat="1" x14ac:dyDescent="0.2">
      <c r="B161" s="24" t="s">
        <v>204</v>
      </c>
      <c r="C161" s="25">
        <f>3*C152</f>
        <v>194940.00000000003</v>
      </c>
    </row>
    <row r="162" spans="2:17" s="2" customFormat="1" ht="17" thickBot="1" x14ac:dyDescent="0.25">
      <c r="B162" s="26"/>
      <c r="C162" s="27"/>
    </row>
    <row r="163" spans="2:17" s="2" customFormat="1" ht="17" thickBot="1" x14ac:dyDescent="0.25">
      <c r="B163" s="28"/>
      <c r="C163" s="17"/>
    </row>
    <row r="164" spans="2:17" x14ac:dyDescent="0.2">
      <c r="B164" s="18" t="s">
        <v>152</v>
      </c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30"/>
    </row>
    <row r="165" spans="2:17" ht="17" thickBot="1" x14ac:dyDescent="0.25">
      <c r="B165" s="20"/>
      <c r="C165" s="253">
        <v>44927</v>
      </c>
      <c r="D165" s="253">
        <v>44958</v>
      </c>
      <c r="E165" s="253">
        <v>44986</v>
      </c>
      <c r="F165" s="253">
        <v>45017</v>
      </c>
      <c r="G165" s="253">
        <v>45047</v>
      </c>
      <c r="H165" s="253">
        <v>45078</v>
      </c>
      <c r="I165" s="253">
        <v>45108</v>
      </c>
      <c r="J165" s="253">
        <v>45139</v>
      </c>
      <c r="K165" s="253">
        <v>44805</v>
      </c>
      <c r="L165" s="253">
        <v>45200</v>
      </c>
      <c r="M165" s="253">
        <v>45231</v>
      </c>
      <c r="N165" s="253">
        <v>45261</v>
      </c>
      <c r="O165" s="32" t="s">
        <v>9</v>
      </c>
    </row>
    <row r="166" spans="2:17" ht="17" thickTop="1" x14ac:dyDescent="0.2">
      <c r="B166" s="48" t="str">
        <f t="shared" ref="B166:B172" si="56">B156</f>
        <v>VIPFirst</v>
      </c>
      <c r="C166" s="49">
        <v>0.35</v>
      </c>
      <c r="D166" s="49">
        <v>0.25</v>
      </c>
      <c r="E166" s="49">
        <v>0.3</v>
      </c>
      <c r="F166" s="49">
        <v>0.1</v>
      </c>
      <c r="G166" s="49"/>
      <c r="H166" s="49"/>
      <c r="I166" s="49"/>
      <c r="J166" s="49"/>
      <c r="K166" s="49"/>
      <c r="L166" s="49"/>
      <c r="M166" s="49"/>
      <c r="N166" s="49"/>
      <c r="O166" s="51">
        <f>SUM(C166:N166)</f>
        <v>0.99999999999999989</v>
      </c>
    </row>
    <row r="167" spans="2:17" x14ac:dyDescent="0.2">
      <c r="B167" t="str">
        <f t="shared" si="56"/>
        <v>Project 1</v>
      </c>
      <c r="C167" s="53"/>
      <c r="D167" s="53">
        <v>0.3</v>
      </c>
      <c r="E167" s="53"/>
      <c r="F167" s="53">
        <v>0.25</v>
      </c>
      <c r="G167" s="53"/>
      <c r="H167" s="52">
        <v>0.25</v>
      </c>
      <c r="I167" s="52"/>
      <c r="J167" s="52">
        <v>0.2</v>
      </c>
      <c r="K167" s="52"/>
      <c r="L167" s="53"/>
      <c r="M167" s="53"/>
      <c r="N167" s="53"/>
      <c r="O167" s="36">
        <f t="shared" ref="O167:O170" si="57">SUM(C167:N167)</f>
        <v>1</v>
      </c>
    </row>
    <row r="168" spans="2:17" x14ac:dyDescent="0.2">
      <c r="B168" t="str">
        <f t="shared" si="56"/>
        <v>Project 2</v>
      </c>
      <c r="C168" s="53"/>
      <c r="D168" s="53"/>
      <c r="E168" s="53">
        <v>0.3</v>
      </c>
      <c r="F168" s="53"/>
      <c r="G168" s="53">
        <v>0.25</v>
      </c>
      <c r="H168" s="53"/>
      <c r="I168" s="52">
        <v>0.25</v>
      </c>
      <c r="J168" s="52"/>
      <c r="K168" s="52">
        <v>0.2</v>
      </c>
      <c r="L168" s="52"/>
      <c r="M168" s="52"/>
      <c r="N168" s="52"/>
      <c r="O168" s="36">
        <f t="shared" si="57"/>
        <v>1</v>
      </c>
    </row>
    <row r="169" spans="2:17" x14ac:dyDescent="0.2">
      <c r="B169" t="str">
        <f t="shared" si="56"/>
        <v>Project 3</v>
      </c>
      <c r="C169" s="53"/>
      <c r="D169" s="53"/>
      <c r="E169" s="53"/>
      <c r="F169" s="53">
        <v>0.3</v>
      </c>
      <c r="G169" s="53"/>
      <c r="H169" s="53">
        <v>0.25</v>
      </c>
      <c r="I169" s="53"/>
      <c r="J169" s="53">
        <v>0.25</v>
      </c>
      <c r="K169" s="52"/>
      <c r="L169" s="52">
        <v>0.2</v>
      </c>
      <c r="M169" s="52"/>
      <c r="N169" s="52"/>
      <c r="O169" s="36">
        <f t="shared" si="57"/>
        <v>1</v>
      </c>
    </row>
    <row r="170" spans="2:17" x14ac:dyDescent="0.2">
      <c r="B170" t="str">
        <f t="shared" si="56"/>
        <v>Project 4</v>
      </c>
      <c r="C170" s="53"/>
      <c r="D170" s="53"/>
      <c r="E170" s="53"/>
      <c r="F170" s="53"/>
      <c r="G170" s="53"/>
      <c r="H170" s="53"/>
      <c r="I170" s="53">
        <v>0.3</v>
      </c>
      <c r="J170" s="53"/>
      <c r="K170" s="53">
        <v>0.25</v>
      </c>
      <c r="L170" s="53"/>
      <c r="M170" s="53">
        <v>0.25</v>
      </c>
      <c r="N170" s="53">
        <v>0.2</v>
      </c>
      <c r="O170" s="36">
        <f t="shared" si="57"/>
        <v>1</v>
      </c>
    </row>
    <row r="171" spans="2:17" x14ac:dyDescent="0.2">
      <c r="B171" t="str">
        <f t="shared" si="56"/>
        <v>Project 5</v>
      </c>
      <c r="C171" s="53"/>
      <c r="D171" s="53">
        <v>0.3</v>
      </c>
      <c r="E171" s="53"/>
      <c r="F171" s="53"/>
      <c r="G171" s="53">
        <v>0.3</v>
      </c>
      <c r="H171" s="53"/>
      <c r="I171" s="53"/>
      <c r="J171" s="53">
        <v>0.4</v>
      </c>
      <c r="K171" s="53"/>
      <c r="L171" s="53"/>
      <c r="M171" s="53"/>
      <c r="N171" s="53"/>
      <c r="O171" s="36">
        <f>SUM(C171:N171)</f>
        <v>1</v>
      </c>
    </row>
    <row r="172" spans="2:17" x14ac:dyDescent="0.2">
      <c r="B172" s="44">
        <f t="shared" si="56"/>
        <v>0</v>
      </c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5">
        <f t="shared" ref="O172" si="58">SUM(C172:N172)</f>
        <v>0</v>
      </c>
    </row>
    <row r="173" spans="2:17" x14ac:dyDescent="0.2">
      <c r="B173" s="41" t="s">
        <v>20</v>
      </c>
      <c r="C173" s="35">
        <f t="shared" ref="C173:O173" si="59">SUM(C166:C172)</f>
        <v>0.35</v>
      </c>
      <c r="D173" s="35">
        <f t="shared" si="59"/>
        <v>0.85000000000000009</v>
      </c>
      <c r="E173" s="35">
        <f t="shared" si="59"/>
        <v>0.6</v>
      </c>
      <c r="F173" s="35">
        <f t="shared" si="59"/>
        <v>0.64999999999999991</v>
      </c>
      <c r="G173" s="35">
        <f t="shared" si="59"/>
        <v>0.55000000000000004</v>
      </c>
      <c r="H173" s="35">
        <f t="shared" si="59"/>
        <v>0.5</v>
      </c>
      <c r="I173" s="35">
        <f t="shared" si="59"/>
        <v>0.55000000000000004</v>
      </c>
      <c r="J173" s="35">
        <f t="shared" si="59"/>
        <v>0.85000000000000009</v>
      </c>
      <c r="K173" s="35">
        <f t="shared" si="59"/>
        <v>0.45</v>
      </c>
      <c r="L173" s="35">
        <f t="shared" si="59"/>
        <v>0.2</v>
      </c>
      <c r="M173" s="35">
        <f t="shared" si="59"/>
        <v>0.25</v>
      </c>
      <c r="N173" s="35">
        <f t="shared" si="59"/>
        <v>0.2</v>
      </c>
      <c r="O173" s="36">
        <f t="shared" si="59"/>
        <v>6</v>
      </c>
      <c r="P173" s="60">
        <f>O173/12</f>
        <v>0.5</v>
      </c>
      <c r="Q173" t="s">
        <v>88</v>
      </c>
    </row>
    <row r="174" spans="2:17" ht="17" thickBot="1" x14ac:dyDescent="0.25"/>
    <row r="175" spans="2:17" x14ac:dyDescent="0.2">
      <c r="B175" s="18" t="s">
        <v>153</v>
      </c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30"/>
    </row>
    <row r="176" spans="2:17" ht="17" thickBot="1" x14ac:dyDescent="0.25">
      <c r="B176" s="20"/>
      <c r="C176" s="253">
        <v>44927</v>
      </c>
      <c r="D176" s="253">
        <v>44958</v>
      </c>
      <c r="E176" s="253">
        <v>44986</v>
      </c>
      <c r="F176" s="253">
        <v>45017</v>
      </c>
      <c r="G176" s="253">
        <v>45047</v>
      </c>
      <c r="H176" s="253">
        <v>45078</v>
      </c>
      <c r="I176" s="253">
        <v>45108</v>
      </c>
      <c r="J176" s="253">
        <v>45139</v>
      </c>
      <c r="K176" s="253">
        <v>44805</v>
      </c>
      <c r="L176" s="253">
        <v>45200</v>
      </c>
      <c r="M176" s="253">
        <v>45231</v>
      </c>
      <c r="N176" s="253">
        <v>45261</v>
      </c>
      <c r="O176" s="32" t="s">
        <v>9</v>
      </c>
    </row>
    <row r="177" spans="2:17" ht="17" thickTop="1" x14ac:dyDescent="0.2">
      <c r="B177" s="48" t="str">
        <f t="shared" ref="B177:B183" si="60">B166</f>
        <v>VIPFirst</v>
      </c>
      <c r="C177" s="49">
        <f t="shared" ref="C177:N177" si="61">C166*$C156</f>
        <v>35909.999999999993</v>
      </c>
      <c r="D177" s="49">
        <f t="shared" si="61"/>
        <v>25649.999999999996</v>
      </c>
      <c r="E177" s="49">
        <f t="shared" si="61"/>
        <v>30779.999999999993</v>
      </c>
      <c r="F177" s="49">
        <f t="shared" si="61"/>
        <v>10260</v>
      </c>
      <c r="G177" s="49">
        <f t="shared" si="61"/>
        <v>0</v>
      </c>
      <c r="H177" s="49">
        <f t="shared" si="61"/>
        <v>0</v>
      </c>
      <c r="I177" s="49">
        <f t="shared" si="61"/>
        <v>0</v>
      </c>
      <c r="J177" s="49">
        <f t="shared" si="61"/>
        <v>0</v>
      </c>
      <c r="K177" s="49">
        <f t="shared" si="61"/>
        <v>0</v>
      </c>
      <c r="L177" s="49">
        <f t="shared" si="61"/>
        <v>0</v>
      </c>
      <c r="M177" s="49">
        <f t="shared" si="61"/>
        <v>0</v>
      </c>
      <c r="N177" s="50">
        <f t="shared" si="61"/>
        <v>0</v>
      </c>
      <c r="O177" s="51">
        <f>SUM(C177:N177)</f>
        <v>102599.99999999997</v>
      </c>
    </row>
    <row r="178" spans="2:17" x14ac:dyDescent="0.2">
      <c r="B178" t="str">
        <f t="shared" si="60"/>
        <v>Project 1</v>
      </c>
      <c r="C178" s="53">
        <f t="shared" ref="C178:N178" si="62">C167*$C157</f>
        <v>0</v>
      </c>
      <c r="D178" s="53">
        <f t="shared" si="62"/>
        <v>58482.000000000007</v>
      </c>
      <c r="E178" s="53">
        <f t="shared" si="62"/>
        <v>0</v>
      </c>
      <c r="F178" s="53">
        <f t="shared" si="62"/>
        <v>48735.000000000007</v>
      </c>
      <c r="G178" s="53">
        <f t="shared" si="62"/>
        <v>0</v>
      </c>
      <c r="H178" s="53">
        <f t="shared" si="62"/>
        <v>48735.000000000007</v>
      </c>
      <c r="I178" s="53">
        <f t="shared" si="62"/>
        <v>0</v>
      </c>
      <c r="J178" s="53">
        <f t="shared" si="62"/>
        <v>38988.000000000007</v>
      </c>
      <c r="K178" s="53">
        <f t="shared" si="62"/>
        <v>0</v>
      </c>
      <c r="L178" s="53">
        <f t="shared" si="62"/>
        <v>0</v>
      </c>
      <c r="M178" s="53">
        <f t="shared" si="62"/>
        <v>0</v>
      </c>
      <c r="N178" s="53">
        <f t="shared" si="62"/>
        <v>0</v>
      </c>
      <c r="O178" s="36">
        <f t="shared" ref="O178:O183" si="63">SUM(C178:N178)</f>
        <v>194940.00000000003</v>
      </c>
    </row>
    <row r="179" spans="2:17" x14ac:dyDescent="0.2">
      <c r="B179" t="str">
        <f t="shared" si="60"/>
        <v>Project 2</v>
      </c>
      <c r="C179" s="53">
        <f t="shared" ref="C179:N179" si="64">C168*$C158</f>
        <v>0</v>
      </c>
      <c r="D179" s="53">
        <f t="shared" si="64"/>
        <v>0</v>
      </c>
      <c r="E179" s="53">
        <f t="shared" si="64"/>
        <v>77976</v>
      </c>
      <c r="F179" s="53">
        <f t="shared" si="64"/>
        <v>0</v>
      </c>
      <c r="G179" s="53">
        <f t="shared" si="64"/>
        <v>64980.000000000007</v>
      </c>
      <c r="H179" s="53">
        <f t="shared" si="64"/>
        <v>0</v>
      </c>
      <c r="I179" s="53">
        <f t="shared" si="64"/>
        <v>64980.000000000007</v>
      </c>
      <c r="J179" s="53">
        <f t="shared" si="64"/>
        <v>0</v>
      </c>
      <c r="K179" s="53">
        <f t="shared" si="64"/>
        <v>51984.000000000007</v>
      </c>
      <c r="L179" s="53">
        <f t="shared" si="64"/>
        <v>0</v>
      </c>
      <c r="M179" s="53">
        <f t="shared" si="64"/>
        <v>0</v>
      </c>
      <c r="N179" s="53">
        <f t="shared" si="64"/>
        <v>0</v>
      </c>
      <c r="O179" s="36">
        <f t="shared" si="63"/>
        <v>259920</v>
      </c>
    </row>
    <row r="180" spans="2:17" x14ac:dyDescent="0.2">
      <c r="B180" t="str">
        <f t="shared" si="60"/>
        <v>Project 3</v>
      </c>
      <c r="C180" s="53">
        <f t="shared" ref="C180:N180" si="65">C169*$C159</f>
        <v>0</v>
      </c>
      <c r="D180" s="53">
        <f t="shared" si="65"/>
        <v>0</v>
      </c>
      <c r="E180" s="53">
        <f t="shared" si="65"/>
        <v>0</v>
      </c>
      <c r="F180" s="53">
        <f t="shared" si="65"/>
        <v>58482.000000000007</v>
      </c>
      <c r="G180" s="53">
        <f t="shared" si="65"/>
        <v>0</v>
      </c>
      <c r="H180" s="53">
        <f t="shared" si="65"/>
        <v>48735.000000000007</v>
      </c>
      <c r="I180" s="53">
        <f t="shared" si="65"/>
        <v>0</v>
      </c>
      <c r="J180" s="53">
        <f t="shared" si="65"/>
        <v>48735.000000000007</v>
      </c>
      <c r="K180" s="53">
        <f t="shared" si="65"/>
        <v>0</v>
      </c>
      <c r="L180" s="53">
        <f t="shared" si="65"/>
        <v>38988.000000000007</v>
      </c>
      <c r="M180" s="53">
        <f t="shared" si="65"/>
        <v>0</v>
      </c>
      <c r="N180" s="53">
        <f t="shared" si="65"/>
        <v>0</v>
      </c>
      <c r="O180" s="36">
        <f t="shared" si="63"/>
        <v>194940.00000000003</v>
      </c>
    </row>
    <row r="181" spans="2:17" x14ac:dyDescent="0.2">
      <c r="B181" t="str">
        <f t="shared" si="60"/>
        <v>Project 4</v>
      </c>
      <c r="C181" s="53">
        <f t="shared" ref="C181:N181" si="66">C170*$C160</f>
        <v>0</v>
      </c>
      <c r="D181" s="53">
        <f t="shared" si="66"/>
        <v>0</v>
      </c>
      <c r="E181" s="53">
        <f t="shared" si="66"/>
        <v>0</v>
      </c>
      <c r="F181" s="53">
        <f t="shared" si="66"/>
        <v>0</v>
      </c>
      <c r="G181" s="53">
        <f t="shared" si="66"/>
        <v>0</v>
      </c>
      <c r="H181" s="53">
        <f t="shared" si="66"/>
        <v>0</v>
      </c>
      <c r="I181" s="53">
        <f t="shared" si="66"/>
        <v>77976</v>
      </c>
      <c r="J181" s="53">
        <f t="shared" si="66"/>
        <v>0</v>
      </c>
      <c r="K181" s="53">
        <f t="shared" si="66"/>
        <v>64980.000000000007</v>
      </c>
      <c r="L181" s="53">
        <f t="shared" si="66"/>
        <v>0</v>
      </c>
      <c r="M181" s="53">
        <f t="shared" si="66"/>
        <v>64980.000000000007</v>
      </c>
      <c r="N181" s="53">
        <f t="shared" si="66"/>
        <v>51984.000000000007</v>
      </c>
      <c r="O181" s="36">
        <f t="shared" si="63"/>
        <v>259920</v>
      </c>
    </row>
    <row r="182" spans="2:17" x14ac:dyDescent="0.2">
      <c r="B182" t="str">
        <f t="shared" si="60"/>
        <v>Project 5</v>
      </c>
      <c r="C182" s="53">
        <f t="shared" ref="C182:N182" si="67">C171*$C161</f>
        <v>0</v>
      </c>
      <c r="D182" s="53">
        <f t="shared" si="67"/>
        <v>58482.000000000007</v>
      </c>
      <c r="E182" s="53">
        <f t="shared" si="67"/>
        <v>0</v>
      </c>
      <c r="F182" s="53">
        <f t="shared" si="67"/>
        <v>0</v>
      </c>
      <c r="G182" s="53">
        <f t="shared" si="67"/>
        <v>58482.000000000007</v>
      </c>
      <c r="H182" s="53">
        <f t="shared" si="67"/>
        <v>0</v>
      </c>
      <c r="I182" s="53">
        <f t="shared" si="67"/>
        <v>0</v>
      </c>
      <c r="J182" s="53">
        <f t="shared" si="67"/>
        <v>77976.000000000015</v>
      </c>
      <c r="K182" s="53">
        <f t="shared" si="67"/>
        <v>0</v>
      </c>
      <c r="L182" s="53">
        <f t="shared" si="67"/>
        <v>0</v>
      </c>
      <c r="M182" s="53">
        <f t="shared" si="67"/>
        <v>0</v>
      </c>
      <c r="N182" s="53">
        <f t="shared" si="67"/>
        <v>0</v>
      </c>
      <c r="O182" s="36">
        <f t="shared" si="63"/>
        <v>194940.00000000003</v>
      </c>
    </row>
    <row r="183" spans="2:17" x14ac:dyDescent="0.2">
      <c r="B183" s="44">
        <f t="shared" si="60"/>
        <v>0</v>
      </c>
      <c r="C183" s="54">
        <f t="shared" ref="C183:N183" si="68">C172*$C162</f>
        <v>0</v>
      </c>
      <c r="D183" s="54">
        <f t="shared" si="68"/>
        <v>0</v>
      </c>
      <c r="E183" s="54">
        <f t="shared" si="68"/>
        <v>0</v>
      </c>
      <c r="F183" s="54">
        <f t="shared" si="68"/>
        <v>0</v>
      </c>
      <c r="G183" s="54">
        <f t="shared" si="68"/>
        <v>0</v>
      </c>
      <c r="H183" s="54">
        <f t="shared" si="68"/>
        <v>0</v>
      </c>
      <c r="I183" s="54">
        <f t="shared" si="68"/>
        <v>0</v>
      </c>
      <c r="J183" s="54">
        <f t="shared" si="68"/>
        <v>0</v>
      </c>
      <c r="K183" s="54">
        <f t="shared" si="68"/>
        <v>0</v>
      </c>
      <c r="L183" s="54">
        <f t="shared" si="68"/>
        <v>0</v>
      </c>
      <c r="M183" s="54">
        <f t="shared" si="68"/>
        <v>0</v>
      </c>
      <c r="N183" s="54">
        <f t="shared" si="68"/>
        <v>0</v>
      </c>
      <c r="O183" s="55">
        <f t="shared" si="63"/>
        <v>0</v>
      </c>
    </row>
    <row r="184" spans="2:17" x14ac:dyDescent="0.2">
      <c r="B184" s="37" t="s">
        <v>16</v>
      </c>
      <c r="C184" s="38">
        <f t="shared" ref="C184:O184" si="69">SUM(C177:C183)</f>
        <v>35909.999999999993</v>
      </c>
      <c r="D184" s="38">
        <f t="shared" si="69"/>
        <v>142614</v>
      </c>
      <c r="E184" s="38">
        <f t="shared" si="69"/>
        <v>108756</v>
      </c>
      <c r="F184" s="38">
        <f t="shared" si="69"/>
        <v>117477.00000000001</v>
      </c>
      <c r="G184" s="38">
        <f t="shared" si="69"/>
        <v>123462.00000000001</v>
      </c>
      <c r="H184" s="38">
        <f t="shared" si="69"/>
        <v>97470.000000000015</v>
      </c>
      <c r="I184" s="38">
        <f t="shared" si="69"/>
        <v>142956</v>
      </c>
      <c r="J184" s="38">
        <f t="shared" si="69"/>
        <v>165699.00000000003</v>
      </c>
      <c r="K184" s="38">
        <f t="shared" si="69"/>
        <v>116964.00000000001</v>
      </c>
      <c r="L184" s="38">
        <f t="shared" si="69"/>
        <v>38988.000000000007</v>
      </c>
      <c r="M184" s="38">
        <f t="shared" si="69"/>
        <v>64980.000000000007</v>
      </c>
      <c r="N184" s="38">
        <f t="shared" si="69"/>
        <v>51984.000000000007</v>
      </c>
      <c r="O184" s="58">
        <f t="shared" si="69"/>
        <v>1207260</v>
      </c>
      <c r="P184" s="97">
        <f>O184/O173</f>
        <v>201210</v>
      </c>
      <c r="Q184" s="97">
        <f>O184/C152</f>
        <v>18.578947368421051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8A3EA-CA1C-8F4B-A4C7-87C5FE470659}">
  <dimension ref="B1:G57"/>
  <sheetViews>
    <sheetView zoomScale="118" workbookViewId="0">
      <selection sqref="A1:XFD5"/>
    </sheetView>
  </sheetViews>
  <sheetFormatPr baseColWidth="10" defaultColWidth="11" defaultRowHeight="16" x14ac:dyDescent="0.2"/>
  <cols>
    <col min="1" max="1" width="3.5" customWidth="1"/>
    <col min="2" max="2" width="33" bestFit="1" customWidth="1"/>
    <col min="3" max="3" width="13.33203125" bestFit="1" customWidth="1"/>
  </cols>
  <sheetData>
    <row r="1" spans="2:7" s="2" customFormat="1" ht="18" x14ac:dyDescent="0.2">
      <c r="B1" s="1"/>
    </row>
    <row r="2" spans="2:7" s="2" customFormat="1" ht="18" x14ac:dyDescent="0.2">
      <c r="B2" s="1" t="s">
        <v>75</v>
      </c>
    </row>
    <row r="3" spans="2:7" s="2" customFormat="1" x14ac:dyDescent="0.2">
      <c r="B3" s="2" t="s">
        <v>2</v>
      </c>
    </row>
    <row r="4" spans="2:7" s="2" customFormat="1" x14ac:dyDescent="0.2">
      <c r="B4" s="2" t="s">
        <v>61</v>
      </c>
    </row>
    <row r="5" spans="2:7" s="2" customFormat="1" x14ac:dyDescent="0.2"/>
    <row r="6" spans="2:7" s="2" customFormat="1" x14ac:dyDescent="0.2">
      <c r="B6" s="59" t="s">
        <v>4</v>
      </c>
    </row>
    <row r="7" spans="2:7" ht="17" thickBot="1" x14ac:dyDescent="0.25">
      <c r="B7" s="79"/>
      <c r="C7" s="80">
        <v>2021</v>
      </c>
      <c r="D7" s="80" t="s">
        <v>42</v>
      </c>
      <c r="F7" s="80" t="s">
        <v>43</v>
      </c>
      <c r="G7" s="80"/>
    </row>
    <row r="8" spans="2:7" ht="17" thickTop="1" x14ac:dyDescent="0.2">
      <c r="B8" s="81" t="s">
        <v>44</v>
      </c>
      <c r="C8" s="62">
        <v>7.5</v>
      </c>
      <c r="F8" t="s">
        <v>45</v>
      </c>
      <c r="G8" s="82">
        <v>0.05</v>
      </c>
    </row>
    <row r="9" spans="2:7" x14ac:dyDescent="0.2">
      <c r="B9" s="59" t="s">
        <v>46</v>
      </c>
      <c r="C9" s="174">
        <f>Growth!I8</f>
        <v>1517000</v>
      </c>
      <c r="D9" s="83"/>
      <c r="F9" t="s">
        <v>47</v>
      </c>
      <c r="G9" s="84" t="e">
        <f>C21/C10-1</f>
        <v>#DIV/0!</v>
      </c>
    </row>
    <row r="10" spans="2:7" x14ac:dyDescent="0.2">
      <c r="B10" s="85" t="s">
        <v>160</v>
      </c>
      <c r="C10" s="86"/>
      <c r="D10" s="86"/>
      <c r="F10" t="s">
        <v>49</v>
      </c>
      <c r="G10" s="82">
        <v>0.03</v>
      </c>
    </row>
    <row r="11" spans="2:7" x14ac:dyDescent="0.2">
      <c r="B11" s="81" t="s">
        <v>50</v>
      </c>
      <c r="C11" s="62"/>
      <c r="D11" s="77">
        <f>C11/C9</f>
        <v>0</v>
      </c>
      <c r="F11" s="44" t="s">
        <v>51</v>
      </c>
      <c r="G11" s="87">
        <v>0.03</v>
      </c>
    </row>
    <row r="12" spans="2:7" x14ac:dyDescent="0.2">
      <c r="B12" s="81" t="s">
        <v>52</v>
      </c>
      <c r="C12" s="62"/>
      <c r="D12" s="77">
        <f>C12/C9</f>
        <v>0</v>
      </c>
      <c r="F12" s="41" t="s">
        <v>9</v>
      </c>
      <c r="G12" s="88" t="e">
        <f>SUM(G8:G11)</f>
        <v>#DIV/0!</v>
      </c>
    </row>
    <row r="13" spans="2:7" x14ac:dyDescent="0.2">
      <c r="B13" s="81" t="s">
        <v>53</v>
      </c>
      <c r="C13" s="62"/>
      <c r="D13" s="77">
        <f>C13/C9</f>
        <v>0</v>
      </c>
    </row>
    <row r="14" spans="2:7" x14ac:dyDescent="0.2">
      <c r="B14" s="85" t="s">
        <v>54</v>
      </c>
      <c r="C14" s="86"/>
      <c r="D14" s="89">
        <f>C14/C9</f>
        <v>0</v>
      </c>
    </row>
    <row r="15" spans="2:7" x14ac:dyDescent="0.2">
      <c r="B15" s="90" t="s">
        <v>55</v>
      </c>
      <c r="C15" s="91">
        <f>[9]Software!$O$34</f>
        <v>207907.4200816667</v>
      </c>
      <c r="D15" s="92">
        <f>C15/C9</f>
        <v>0.1370516941869919</v>
      </c>
    </row>
    <row r="16" spans="2:7" x14ac:dyDescent="0.2">
      <c r="B16" s="81" t="s">
        <v>56</v>
      </c>
      <c r="C16" s="62">
        <f>C9/C8</f>
        <v>202266.66666666666</v>
      </c>
      <c r="D16" s="77"/>
      <c r="E16" s="11"/>
    </row>
    <row r="17" spans="2:4" x14ac:dyDescent="0.2">
      <c r="B17" s="85" t="s">
        <v>57</v>
      </c>
      <c r="C17" s="86">
        <f>C15/C8</f>
        <v>27720.989344222227</v>
      </c>
      <c r="D17" s="89"/>
    </row>
    <row r="19" spans="2:4" ht="17" thickBot="1" x14ac:dyDescent="0.25">
      <c r="B19" s="79"/>
      <c r="C19" s="80">
        <v>2022</v>
      </c>
      <c r="D19" s="79"/>
    </row>
    <row r="20" spans="2:4" ht="17" thickTop="1" x14ac:dyDescent="0.2">
      <c r="B20" s="81" t="s">
        <v>44</v>
      </c>
      <c r="C20" s="62">
        <v>12</v>
      </c>
    </row>
    <row r="21" spans="2:4" x14ac:dyDescent="0.2">
      <c r="B21" s="85" t="str">
        <f>B10</f>
        <v>Monthly Price</v>
      </c>
      <c r="C21" s="86">
        <f>Activity!C64</f>
        <v>64980.000000000007</v>
      </c>
      <c r="D21" s="86"/>
    </row>
    <row r="22" spans="2:4" x14ac:dyDescent="0.2">
      <c r="B22" s="81" t="s">
        <v>58</v>
      </c>
      <c r="C22" s="82" t="e">
        <f>G12</f>
        <v>#DIV/0!</v>
      </c>
    </row>
    <row r="23" spans="2:4" x14ac:dyDescent="0.2">
      <c r="B23" s="85" t="s">
        <v>59</v>
      </c>
      <c r="C23" s="93" t="e">
        <f>C16*(1+C22)</f>
        <v>#DIV/0!</v>
      </c>
      <c r="D23" s="44"/>
    </row>
    <row r="24" spans="2:4" x14ac:dyDescent="0.2">
      <c r="B24" s="90" t="s">
        <v>46</v>
      </c>
      <c r="C24" s="91" t="e">
        <f>C20*C23</f>
        <v>#DIV/0!</v>
      </c>
      <c r="D24" s="94"/>
    </row>
    <row r="25" spans="2:4" x14ac:dyDescent="0.2">
      <c r="B25" s="81" t="s">
        <v>50</v>
      </c>
      <c r="C25" s="62" t="e">
        <f>D11*C24</f>
        <v>#DIV/0!</v>
      </c>
    </row>
    <row r="26" spans="2:4" x14ac:dyDescent="0.2">
      <c r="B26" s="81" t="s">
        <v>52</v>
      </c>
      <c r="C26" s="3"/>
    </row>
    <row r="27" spans="2:4" x14ac:dyDescent="0.2">
      <c r="B27" s="81" t="s">
        <v>53</v>
      </c>
      <c r="C27" s="3" t="e">
        <f>D13*C24</f>
        <v>#DIV/0!</v>
      </c>
    </row>
    <row r="28" spans="2:4" x14ac:dyDescent="0.2">
      <c r="B28" s="85" t="s">
        <v>54</v>
      </c>
      <c r="C28" s="86" t="e">
        <f>D14*C24</f>
        <v>#DIV/0!</v>
      </c>
      <c r="D28" s="44"/>
    </row>
    <row r="29" spans="2:4" x14ac:dyDescent="0.2">
      <c r="B29" s="59" t="s">
        <v>55</v>
      </c>
      <c r="C29" s="95" t="e">
        <f>C24-SUM(C25:C28)</f>
        <v>#DIV/0!</v>
      </c>
      <c r="D29" s="96" t="e">
        <f>C29/C24</f>
        <v>#DIV/0!</v>
      </c>
    </row>
    <row r="30" spans="2:4" x14ac:dyDescent="0.2">
      <c r="B30" s="85" t="s">
        <v>57</v>
      </c>
      <c r="C30" s="86" t="e">
        <f>C29/C20</f>
        <v>#DIV/0!</v>
      </c>
    </row>
    <row r="33" spans="2:7" x14ac:dyDescent="0.2">
      <c r="B33" s="41" t="s">
        <v>7</v>
      </c>
    </row>
    <row r="34" spans="2:7" ht="17" thickBot="1" x14ac:dyDescent="0.25">
      <c r="B34" s="79"/>
      <c r="C34" s="80">
        <v>2021</v>
      </c>
      <c r="D34" s="80" t="s">
        <v>42</v>
      </c>
      <c r="F34" s="80" t="s">
        <v>43</v>
      </c>
      <c r="G34" s="80"/>
    </row>
    <row r="35" spans="2:7" ht="17" thickTop="1" x14ac:dyDescent="0.2">
      <c r="B35" s="81" t="s">
        <v>44</v>
      </c>
      <c r="C35" s="62">
        <v>3</v>
      </c>
      <c r="F35" t="s">
        <v>45</v>
      </c>
      <c r="G35" s="82">
        <v>0.05</v>
      </c>
    </row>
    <row r="36" spans="2:7" x14ac:dyDescent="0.2">
      <c r="B36" s="59" t="s">
        <v>46</v>
      </c>
      <c r="C36" s="83">
        <f>[9]Websites!$O$11</f>
        <v>502514.99360000005</v>
      </c>
      <c r="D36" s="83"/>
      <c r="F36" t="s">
        <v>47</v>
      </c>
      <c r="G36" s="84">
        <f>C48/C37-1</f>
        <v>0.47730404750198674</v>
      </c>
    </row>
    <row r="37" spans="2:7" x14ac:dyDescent="0.2">
      <c r="B37" s="85" t="s">
        <v>48</v>
      </c>
      <c r="C37" s="86">
        <f>[9]Websites!$O$47</f>
        <v>22321.129083333333</v>
      </c>
      <c r="D37" s="86"/>
      <c r="F37" t="s">
        <v>49</v>
      </c>
      <c r="G37" s="82">
        <v>0.1</v>
      </c>
    </row>
    <row r="38" spans="2:7" x14ac:dyDescent="0.2">
      <c r="B38" s="81" t="s">
        <v>50</v>
      </c>
      <c r="C38" s="62">
        <f>[9]Websites!$O$14</f>
        <v>64953.426373000002</v>
      </c>
      <c r="D38" s="77">
        <f>C38/C36</f>
        <v>0.12925669323352104</v>
      </c>
      <c r="F38" s="44" t="s">
        <v>51</v>
      </c>
      <c r="G38" s="87">
        <v>0.03</v>
      </c>
    </row>
    <row r="39" spans="2:7" x14ac:dyDescent="0.2">
      <c r="B39" s="81" t="s">
        <v>52</v>
      </c>
      <c r="C39" s="62">
        <f>[9]Websites!$O$20</f>
        <v>298750.88690476189</v>
      </c>
      <c r="D39" s="77">
        <f>C39/C36</f>
        <v>0.59451138913193591</v>
      </c>
      <c r="F39" s="41" t="s">
        <v>9</v>
      </c>
      <c r="G39" s="88">
        <f>SUM(G35:G38)</f>
        <v>0.65730404750198679</v>
      </c>
    </row>
    <row r="40" spans="2:7" x14ac:dyDescent="0.2">
      <c r="B40" s="81" t="s">
        <v>53</v>
      </c>
      <c r="C40" s="62">
        <f>[9]Websites!$O$25</f>
        <v>2058.0499999999997</v>
      </c>
      <c r="D40" s="77">
        <f>C40/C36</f>
        <v>4.0954996889867919E-3</v>
      </c>
    </row>
    <row r="41" spans="2:7" x14ac:dyDescent="0.2">
      <c r="B41" s="85" t="s">
        <v>54</v>
      </c>
      <c r="C41" s="86">
        <f>[9]Websites!$O$30</f>
        <v>44645.244999999995</v>
      </c>
      <c r="D41" s="89">
        <f>C41/C36</f>
        <v>8.8843607790014392E-2</v>
      </c>
    </row>
    <row r="42" spans="2:7" x14ac:dyDescent="0.2">
      <c r="B42" s="90" t="s">
        <v>55</v>
      </c>
      <c r="C42" s="91">
        <f>[9]Websites!$O$32</f>
        <v>92107.385322238086</v>
      </c>
      <c r="D42" s="92">
        <f>C42/C36</f>
        <v>0.18329281015554175</v>
      </c>
    </row>
    <row r="43" spans="2:7" x14ac:dyDescent="0.2">
      <c r="B43" s="81" t="s">
        <v>56</v>
      </c>
      <c r="C43" s="62"/>
      <c r="D43" s="77"/>
    </row>
    <row r="44" spans="2:7" x14ac:dyDescent="0.2">
      <c r="B44" s="85" t="s">
        <v>57</v>
      </c>
      <c r="C44" s="86">
        <f>[9]Websites!$O$38*12</f>
        <v>277847.17745643953</v>
      </c>
      <c r="D44" s="89"/>
    </row>
    <row r="46" spans="2:7" ht="17" thickBot="1" x14ac:dyDescent="0.25">
      <c r="B46" s="79"/>
      <c r="C46" s="80">
        <v>2022</v>
      </c>
      <c r="D46" s="79"/>
    </row>
    <row r="47" spans="2:7" ht="17" thickTop="1" x14ac:dyDescent="0.2">
      <c r="B47" s="81" t="s">
        <v>44</v>
      </c>
      <c r="C47" s="62">
        <v>6</v>
      </c>
    </row>
    <row r="48" spans="2:7" x14ac:dyDescent="0.2">
      <c r="B48" s="85" t="s">
        <v>48</v>
      </c>
      <c r="C48" s="86">
        <f>Activity!P136</f>
        <v>32975.094339622643</v>
      </c>
      <c r="D48" s="86"/>
    </row>
    <row r="49" spans="2:4" x14ac:dyDescent="0.2">
      <c r="B49" s="81" t="s">
        <v>58</v>
      </c>
      <c r="C49" s="82">
        <f>G39</f>
        <v>0.65730404750198679</v>
      </c>
    </row>
    <row r="50" spans="2:4" x14ac:dyDescent="0.2">
      <c r="B50" s="85" t="s">
        <v>59</v>
      </c>
      <c r="C50" s="93">
        <f>C43*(1+C49)</f>
        <v>0</v>
      </c>
      <c r="D50" s="44"/>
    </row>
    <row r="51" spans="2:4" x14ac:dyDescent="0.2">
      <c r="B51" s="90" t="s">
        <v>46</v>
      </c>
      <c r="C51" s="91">
        <f>C47*C50</f>
        <v>0</v>
      </c>
      <c r="D51" s="94"/>
    </row>
    <row r="52" spans="2:4" x14ac:dyDescent="0.2">
      <c r="B52" s="81" t="s">
        <v>50</v>
      </c>
      <c r="C52" s="62">
        <f>D38*(C51*0.75)</f>
        <v>0</v>
      </c>
    </row>
    <row r="53" spans="2:4" x14ac:dyDescent="0.2">
      <c r="B53" s="81" t="s">
        <v>52</v>
      </c>
      <c r="C53" s="3">
        <f>C39/C35*C47*1.15</f>
        <v>687127.03988095233</v>
      </c>
    </row>
    <row r="54" spans="2:4" x14ac:dyDescent="0.2">
      <c r="B54" s="81" t="s">
        <v>53</v>
      </c>
      <c r="C54" s="3">
        <f>D40*C51</f>
        <v>0</v>
      </c>
    </row>
    <row r="55" spans="2:4" x14ac:dyDescent="0.2">
      <c r="B55" s="85" t="s">
        <v>54</v>
      </c>
      <c r="C55" s="86">
        <f>D41*C51</f>
        <v>0</v>
      </c>
      <c r="D55" s="44"/>
    </row>
    <row r="56" spans="2:4" x14ac:dyDescent="0.2">
      <c r="B56" s="59" t="s">
        <v>55</v>
      </c>
      <c r="C56" s="95">
        <f>C51-SUM(C52:C55)</f>
        <v>-687127.03988095233</v>
      </c>
      <c r="D56" s="96" t="e">
        <f>C56/C51</f>
        <v>#DIV/0!</v>
      </c>
    </row>
    <row r="57" spans="2:4" x14ac:dyDescent="0.2">
      <c r="B57" s="85" t="s">
        <v>57</v>
      </c>
      <c r="C57" s="62">
        <f>C56/C47</f>
        <v>-114521.17331349205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B5D7D-0BFB-B74C-AEDD-EE5DC7570AA5}">
  <sheetPr>
    <tabColor theme="6" tint="0.39997558519241921"/>
  </sheetPr>
  <dimension ref="B1:N27"/>
  <sheetViews>
    <sheetView zoomScale="116" zoomScaleNormal="140" workbookViewId="0">
      <selection activeCell="G12" sqref="G12"/>
    </sheetView>
  </sheetViews>
  <sheetFormatPr baseColWidth="10" defaultColWidth="11" defaultRowHeight="16" x14ac:dyDescent="0.2"/>
  <cols>
    <col min="1" max="1" width="3" customWidth="1"/>
    <col min="2" max="2" width="28.5" customWidth="1"/>
    <col min="3" max="3" width="13.5" style="410" customWidth="1"/>
    <col min="4" max="4" width="14.83203125" customWidth="1"/>
    <col min="5" max="5" width="13.5" customWidth="1"/>
    <col min="6" max="6" width="13.5" bestFit="1" customWidth="1"/>
    <col min="7" max="7" width="13.5" customWidth="1"/>
    <col min="8" max="8" width="13.5" bestFit="1" customWidth="1"/>
    <col min="9" max="9" width="11.83203125" bestFit="1" customWidth="1"/>
    <col min="10" max="10" width="14.5" bestFit="1" customWidth="1"/>
    <col min="11" max="13" width="13.33203125" bestFit="1" customWidth="1"/>
  </cols>
  <sheetData>
    <row r="1" spans="2:14" s="2" customFormat="1" ht="18" x14ac:dyDescent="0.2">
      <c r="B1" s="1"/>
      <c r="C1" s="413"/>
    </row>
    <row r="2" spans="2:14" s="2" customFormat="1" ht="18" x14ac:dyDescent="0.2">
      <c r="B2" s="1" t="s">
        <v>75</v>
      </c>
      <c r="C2" s="413"/>
    </row>
    <row r="3" spans="2:14" s="2" customFormat="1" x14ac:dyDescent="0.2">
      <c r="B3" s="2" t="s">
        <v>164</v>
      </c>
      <c r="C3" s="414"/>
    </row>
    <row r="4" spans="2:14" s="2" customFormat="1" x14ac:dyDescent="0.2">
      <c r="B4" s="2" t="s">
        <v>61</v>
      </c>
      <c r="C4" s="414"/>
    </row>
    <row r="5" spans="2:14" s="2" customFormat="1" ht="17" thickBot="1" x14ac:dyDescent="0.25">
      <c r="C5" s="414"/>
    </row>
    <row r="6" spans="2:14" ht="17" thickBot="1" x14ac:dyDescent="0.25">
      <c r="B6" s="314">
        <v>2026</v>
      </c>
      <c r="C6" s="405" t="s">
        <v>263</v>
      </c>
      <c r="D6" s="315" t="s">
        <v>233</v>
      </c>
      <c r="E6" s="315" t="s">
        <v>209</v>
      </c>
      <c r="F6" s="315" t="s">
        <v>77</v>
      </c>
      <c r="G6" s="315"/>
      <c r="H6" s="315" t="s">
        <v>7</v>
      </c>
      <c r="I6" s="316" t="s">
        <v>161</v>
      </c>
    </row>
    <row r="7" spans="2:14" x14ac:dyDescent="0.2">
      <c r="B7" s="317" t="s">
        <v>165</v>
      </c>
      <c r="C7" s="415">
        <v>1</v>
      </c>
      <c r="D7" s="53">
        <v>3</v>
      </c>
      <c r="E7" s="53">
        <v>3</v>
      </c>
      <c r="F7" s="53">
        <v>1</v>
      </c>
      <c r="G7" s="53"/>
      <c r="H7" s="53">
        <v>1</v>
      </c>
      <c r="I7" s="25">
        <v>1</v>
      </c>
      <c r="J7" s="60">
        <f>SUM(D7:I7)</f>
        <v>9</v>
      </c>
      <c r="L7" s="62"/>
      <c r="M7" s="11"/>
    </row>
    <row r="8" spans="2:14" x14ac:dyDescent="0.2">
      <c r="B8" s="317" t="s">
        <v>227</v>
      </c>
      <c r="C8" s="406">
        <v>160</v>
      </c>
      <c r="D8" s="53">
        <v>120</v>
      </c>
      <c r="E8" s="53">
        <v>120</v>
      </c>
      <c r="F8" s="53">
        <v>120</v>
      </c>
      <c r="G8" s="53"/>
      <c r="H8" s="53">
        <v>120</v>
      </c>
      <c r="I8" s="25">
        <v>60</v>
      </c>
      <c r="L8" s="35"/>
      <c r="M8" s="35"/>
    </row>
    <row r="9" spans="2:14" x14ac:dyDescent="0.2">
      <c r="B9" s="317"/>
      <c r="C9" s="412">
        <v>0.9</v>
      </c>
      <c r="D9" s="111">
        <v>0.85</v>
      </c>
      <c r="E9" s="111">
        <v>0.85</v>
      </c>
      <c r="F9" s="111">
        <v>0.9</v>
      </c>
      <c r="G9" s="111"/>
      <c r="H9" s="111">
        <v>0.8</v>
      </c>
      <c r="I9" s="318">
        <v>0.55000000000000004</v>
      </c>
      <c r="L9" s="11"/>
      <c r="M9" s="62"/>
      <c r="N9" s="77"/>
    </row>
    <row r="10" spans="2:14" ht="17" thickBot="1" x14ac:dyDescent="0.25">
      <c r="B10" s="319" t="s">
        <v>162</v>
      </c>
      <c r="C10" s="407">
        <f>Growth!V7</f>
        <v>1250</v>
      </c>
      <c r="D10" s="407">
        <f>Growth!V8</f>
        <v>1150</v>
      </c>
      <c r="E10" s="407">
        <f>Growth!V9</f>
        <v>1150</v>
      </c>
      <c r="F10" s="407">
        <f>Growth!V10</f>
        <v>1150</v>
      </c>
      <c r="G10" s="407"/>
      <c r="H10" s="407">
        <f>Growth!V12</f>
        <v>1050</v>
      </c>
      <c r="I10" s="411">
        <f>Growth!V13</f>
        <v>1050</v>
      </c>
    </row>
    <row r="11" spans="2:14" x14ac:dyDescent="0.2">
      <c r="B11" s="317" t="s">
        <v>9</v>
      </c>
      <c r="C11" s="408">
        <f>C7*C8*C10*12*C9*1.14</f>
        <v>2462400</v>
      </c>
      <c r="D11" s="320">
        <f>D7*D8*D10*12*D9*1.14</f>
        <v>4813992</v>
      </c>
      <c r="E11" s="320">
        <f>E7*E8*E10*12*E9*1.14</f>
        <v>4813992</v>
      </c>
      <c r="F11" s="320">
        <f>F7*F8*F10*12*F9*1.14</f>
        <v>1699055.9999999998</v>
      </c>
      <c r="G11" s="320"/>
      <c r="H11" s="320">
        <f>H7*H8*H10*12*H9*1.14</f>
        <v>1378943.9999999998</v>
      </c>
      <c r="I11" s="321">
        <f>I7*I8*I10*12*I9*1.14</f>
        <v>474012</v>
      </c>
      <c r="J11" s="60">
        <f>SUM(D11:I11)</f>
        <v>13179996</v>
      </c>
      <c r="K11" s="35">
        <f>J11/J7</f>
        <v>1464444</v>
      </c>
    </row>
    <row r="12" spans="2:14" x14ac:dyDescent="0.2">
      <c r="B12" s="312"/>
      <c r="C12" s="399">
        <f>C8*C9</f>
        <v>144</v>
      </c>
      <c r="D12" s="60">
        <f>D8*D9</f>
        <v>102</v>
      </c>
      <c r="E12" s="60">
        <f t="shared" ref="E12:I12" si="0">E8*E9</f>
        <v>102</v>
      </c>
      <c r="F12" s="60">
        <f>F8*F9</f>
        <v>108</v>
      </c>
      <c r="G12" s="60"/>
      <c r="H12" s="60">
        <f t="shared" si="0"/>
        <v>96</v>
      </c>
      <c r="I12" s="322">
        <f t="shared" si="0"/>
        <v>33</v>
      </c>
      <c r="L12" s="62"/>
      <c r="M12" s="11"/>
    </row>
    <row r="13" spans="2:14" ht="17" thickBot="1" x14ac:dyDescent="0.25">
      <c r="B13" s="319" t="s">
        <v>142</v>
      </c>
      <c r="C13" s="409">
        <f>C12*C10</f>
        <v>180000</v>
      </c>
      <c r="D13" s="323">
        <f>D12*D10</f>
        <v>117300</v>
      </c>
      <c r="E13" s="323">
        <f>E12*E10</f>
        <v>117300</v>
      </c>
      <c r="F13" s="323">
        <f t="shared" ref="F13:I13" si="1">F12*F10</f>
        <v>124200</v>
      </c>
      <c r="G13" s="323"/>
      <c r="H13" s="323">
        <f t="shared" si="1"/>
        <v>100800</v>
      </c>
      <c r="I13" s="324">
        <f t="shared" si="1"/>
        <v>34650</v>
      </c>
      <c r="L13" s="35"/>
      <c r="M13" s="35"/>
    </row>
    <row r="14" spans="2:14" x14ac:dyDescent="0.2">
      <c r="L14" s="11"/>
      <c r="M14" s="62"/>
      <c r="N14" s="77"/>
    </row>
    <row r="15" spans="2:14" ht="17" thickBot="1" x14ac:dyDescent="0.25"/>
    <row r="16" spans="2:14" ht="17" thickBot="1" x14ac:dyDescent="0.25">
      <c r="B16" s="314">
        <v>2025</v>
      </c>
      <c r="C16" s="405" t="s">
        <v>263</v>
      </c>
      <c r="D16" s="315" t="s">
        <v>233</v>
      </c>
      <c r="E16" s="315" t="s">
        <v>208</v>
      </c>
      <c r="F16" s="315" t="s">
        <v>77</v>
      </c>
      <c r="G16" s="315"/>
      <c r="H16" s="315" t="s">
        <v>7</v>
      </c>
      <c r="I16" s="316" t="s">
        <v>161</v>
      </c>
    </row>
    <row r="17" spans="2:14" x14ac:dyDescent="0.2">
      <c r="B17" s="317" t="s">
        <v>165</v>
      </c>
      <c r="C17" s="415">
        <v>1</v>
      </c>
      <c r="D17" s="53">
        <v>3</v>
      </c>
      <c r="E17" s="53">
        <v>3</v>
      </c>
      <c r="F17" s="53">
        <v>1</v>
      </c>
      <c r="G17" s="53"/>
      <c r="H17" s="53">
        <v>1.5</v>
      </c>
      <c r="I17" s="25">
        <v>1</v>
      </c>
      <c r="J17" s="60">
        <f>SUM(D17:I17)</f>
        <v>9.5</v>
      </c>
    </row>
    <row r="18" spans="2:14" x14ac:dyDescent="0.2">
      <c r="B18" s="317" t="s">
        <v>227</v>
      </c>
      <c r="C18" s="415">
        <v>160</v>
      </c>
      <c r="D18" s="53">
        <f>D8</f>
        <v>120</v>
      </c>
      <c r="E18" s="53">
        <v>120</v>
      </c>
      <c r="F18" s="53">
        <f>F8</f>
        <v>120</v>
      </c>
      <c r="G18" s="53"/>
      <c r="H18" s="53">
        <f>H8</f>
        <v>120</v>
      </c>
      <c r="I18" s="25">
        <f>I8</f>
        <v>60</v>
      </c>
    </row>
    <row r="19" spans="2:14" x14ac:dyDescent="0.2">
      <c r="B19" s="317"/>
      <c r="C19" s="416">
        <f>C21/1.14/C20/12/C17/C18</f>
        <v>0.88894419108851674</v>
      </c>
      <c r="D19" s="111">
        <f>D21/1.14/D20/12/D17/D18</f>
        <v>0.76613259433561909</v>
      </c>
      <c r="E19" s="111">
        <f>E21/1.14/E20/12/E17/E18</f>
        <v>0.73194642329730042</v>
      </c>
      <c r="F19" s="111">
        <f>F21/1.14/F20/12/F17/F18</f>
        <v>0.90142666639403468</v>
      </c>
      <c r="G19" s="111"/>
      <c r="H19" s="111">
        <f t="shared" ref="H19:I19" si="2">H21/1.14/H20/12/H17/H18</f>
        <v>0.32223773683197898</v>
      </c>
      <c r="I19" s="318">
        <f t="shared" si="2"/>
        <v>0.43731338771170342</v>
      </c>
    </row>
    <row r="20" spans="2:14" ht="17" thickBot="1" x14ac:dyDescent="0.25">
      <c r="B20" s="319" t="s">
        <v>162</v>
      </c>
      <c r="C20" s="407">
        <f>Growth!T7</f>
        <v>1100</v>
      </c>
      <c r="D20" s="313">
        <f>Growth!T8</f>
        <v>975</v>
      </c>
      <c r="E20" s="313">
        <f>Growth!T9</f>
        <v>975</v>
      </c>
      <c r="F20" s="313">
        <f>Growth!T10</f>
        <v>975</v>
      </c>
      <c r="G20" s="313"/>
      <c r="H20" s="313">
        <f>Growth!T12</f>
        <v>875</v>
      </c>
      <c r="I20" s="27">
        <f>Growth!T13</f>
        <v>875</v>
      </c>
      <c r="L20" s="62"/>
      <c r="M20" s="11"/>
    </row>
    <row r="21" spans="2:14" x14ac:dyDescent="0.2">
      <c r="B21" s="317" t="s">
        <v>9</v>
      </c>
      <c r="C21" s="408">
        <f>Growth!M7</f>
        <v>2140293.15</v>
      </c>
      <c r="D21" s="320">
        <f>Growth!M8</f>
        <v>3678723.555569455</v>
      </c>
      <c r="E21" s="320">
        <f>Growth!M9</f>
        <v>3514572.5018181815</v>
      </c>
      <c r="F21" s="320">
        <f>Growth!M10</f>
        <v>1442787.4651636363</v>
      </c>
      <c r="G21" s="320"/>
      <c r="H21" s="320">
        <f>Growth!M12</f>
        <v>694293.42777818174</v>
      </c>
      <c r="I21" s="321">
        <f>Growth!M13</f>
        <v>314078.47505454539</v>
      </c>
      <c r="J21" s="60">
        <f>SUM(D21:I21)</f>
        <v>9644455.4253840018</v>
      </c>
      <c r="K21" s="35">
        <f>J21/J17</f>
        <v>1015205.8342509476</v>
      </c>
      <c r="L21" s="35"/>
      <c r="M21" s="35"/>
    </row>
    <row r="22" spans="2:14" x14ac:dyDescent="0.2">
      <c r="B22" s="317" t="s">
        <v>228</v>
      </c>
      <c r="C22" s="399">
        <f>C19*C18</f>
        <v>142.23107057416269</v>
      </c>
      <c r="D22" s="60">
        <f>D19*D18</f>
        <v>91.935911320274286</v>
      </c>
      <c r="E22" s="60">
        <f>E19*E18</f>
        <v>87.833570795676053</v>
      </c>
      <c r="F22" s="60">
        <f t="shared" ref="F22:I22" si="3">F19*F18</f>
        <v>108.17119996728417</v>
      </c>
      <c r="G22" s="60"/>
      <c r="H22" s="60">
        <f t="shared" si="3"/>
        <v>38.668528419837479</v>
      </c>
      <c r="I22" s="322">
        <f t="shared" si="3"/>
        <v>26.238803262702206</v>
      </c>
      <c r="L22" s="11"/>
      <c r="M22" s="62"/>
      <c r="N22" s="77"/>
    </row>
    <row r="23" spans="2:14" x14ac:dyDescent="0.2">
      <c r="B23" s="317" t="s">
        <v>229</v>
      </c>
      <c r="C23" s="399">
        <v>100</v>
      </c>
      <c r="D23" s="60">
        <v>100</v>
      </c>
      <c r="E23" s="60">
        <v>100</v>
      </c>
      <c r="F23" s="60">
        <v>100</v>
      </c>
      <c r="H23">
        <v>100</v>
      </c>
      <c r="I23" s="322">
        <f>436.47/11</f>
        <v>39.67909090909091</v>
      </c>
    </row>
    <row r="24" spans="2:14" x14ac:dyDescent="0.2">
      <c r="B24" s="317" t="s">
        <v>230</v>
      </c>
      <c r="C24" s="416">
        <f>C22/C23</f>
        <v>1.4223107057416269</v>
      </c>
      <c r="D24" s="111">
        <f>D22/D23</f>
        <v>0.91935911320274288</v>
      </c>
      <c r="E24" s="111">
        <f>E22/E23</f>
        <v>0.87833570795676053</v>
      </c>
      <c r="F24" s="111">
        <f t="shared" ref="F24:I24" si="4">F22/F23</f>
        <v>1.0817119996728417</v>
      </c>
      <c r="G24" s="111"/>
      <c r="H24" s="111">
        <f>H22/H23</f>
        <v>0.38668528419837478</v>
      </c>
      <c r="I24" s="111">
        <f t="shared" si="4"/>
        <v>0.66127531305639398</v>
      </c>
      <c r="J24" s="312"/>
    </row>
    <row r="25" spans="2:14" ht="17" thickBot="1" x14ac:dyDescent="0.25">
      <c r="B25" s="325" t="s">
        <v>231</v>
      </c>
      <c r="C25" s="417">
        <f>C9/C19</f>
        <v>1.0124370112570795</v>
      </c>
      <c r="D25" s="326">
        <f>D9/D19</f>
        <v>1.109468525793645</v>
      </c>
      <c r="E25" s="326">
        <f>E9/E19</f>
        <v>1.1612871829756162</v>
      </c>
      <c r="F25" s="326">
        <f>F9/F19</f>
        <v>0.99841732395188421</v>
      </c>
      <c r="G25" s="326"/>
      <c r="H25" s="326">
        <f>H9/H19</f>
        <v>2.4826390846244539</v>
      </c>
      <c r="I25" s="327">
        <f>I9/I19</f>
        <v>1.2576793106608131</v>
      </c>
      <c r="L25" s="62"/>
      <c r="M25" s="11"/>
    </row>
    <row r="26" spans="2:14" x14ac:dyDescent="0.2">
      <c r="L26" s="35"/>
      <c r="M26" s="35"/>
    </row>
    <row r="27" spans="2:14" x14ac:dyDescent="0.2">
      <c r="D27" s="60">
        <f>(110-D22)*D17*12*D20</f>
        <v>634049.51265837264</v>
      </c>
      <c r="E27" s="60">
        <f>(110-E22)*E17*12*E20</f>
        <v>778041.66507177055</v>
      </c>
      <c r="H27" s="60">
        <f>(110-H22)*H17*12*H20</f>
        <v>1123470.6773875596</v>
      </c>
      <c r="L27" s="11"/>
      <c r="M27" s="62"/>
      <c r="N27" s="77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BCF78-3240-C34A-BDBC-C7E98862CFDB}">
  <sheetPr>
    <tabColor theme="6" tint="0.59999389629810485"/>
  </sheetPr>
  <dimension ref="A1:Q135"/>
  <sheetViews>
    <sheetView topLeftCell="A46" zoomScale="116" zoomScaleNormal="100" workbookViewId="0">
      <selection activeCell="B66" sqref="B66"/>
    </sheetView>
  </sheetViews>
  <sheetFormatPr baseColWidth="10" defaultColWidth="11" defaultRowHeight="16" x14ac:dyDescent="0.2"/>
  <cols>
    <col min="1" max="1" width="42.5" bestFit="1" customWidth="1"/>
    <col min="2" max="2" width="20.1640625" customWidth="1"/>
    <col min="3" max="3" width="16.83203125" customWidth="1"/>
    <col min="4" max="4" width="13.6640625" bestFit="1" customWidth="1"/>
    <col min="6" max="17" width="9" customWidth="1"/>
  </cols>
  <sheetData>
    <row r="1" spans="1:5" ht="18" x14ac:dyDescent="0.2">
      <c r="A1" s="1" t="s">
        <v>75</v>
      </c>
      <c r="B1" s="2"/>
      <c r="C1" s="2"/>
      <c r="D1" s="2"/>
      <c r="E1" s="2"/>
    </row>
    <row r="2" spans="1:5" x14ac:dyDescent="0.2">
      <c r="A2" s="2" t="s">
        <v>0</v>
      </c>
      <c r="B2" s="2"/>
      <c r="C2" s="2"/>
      <c r="D2" s="2"/>
      <c r="E2" s="2"/>
    </row>
    <row r="3" spans="1:5" x14ac:dyDescent="0.2">
      <c r="A3" s="2" t="s">
        <v>61</v>
      </c>
      <c r="B3" s="2"/>
      <c r="C3" s="2"/>
      <c r="D3" s="2"/>
      <c r="E3" s="2"/>
    </row>
    <row r="4" spans="1:5" x14ac:dyDescent="0.2">
      <c r="A4" s="2"/>
      <c r="B4" s="2"/>
      <c r="C4" s="2"/>
      <c r="D4" s="2"/>
      <c r="E4" s="2"/>
    </row>
    <row r="5" spans="1:5" x14ac:dyDescent="0.2">
      <c r="A5" s="65" t="s">
        <v>10</v>
      </c>
      <c r="B5" s="68">
        <v>0.14000000000000001</v>
      </c>
      <c r="C5" s="2"/>
      <c r="D5" s="2"/>
      <c r="E5" s="2"/>
    </row>
    <row r="6" spans="1:5" x14ac:dyDescent="0.2">
      <c r="A6" s="2"/>
      <c r="B6" s="17"/>
      <c r="C6" s="2"/>
      <c r="D6" s="2"/>
      <c r="E6" s="2"/>
    </row>
    <row r="7" spans="1:5" ht="17" thickBot="1" x14ac:dyDescent="0.25">
      <c r="A7" s="73" t="s">
        <v>38</v>
      </c>
      <c r="B7" s="17"/>
      <c r="C7" s="2"/>
      <c r="D7" s="2"/>
      <c r="E7" s="2"/>
    </row>
    <row r="8" spans="1:5" x14ac:dyDescent="0.2">
      <c r="A8" s="74" t="s">
        <v>79</v>
      </c>
      <c r="B8" s="29"/>
      <c r="C8" s="29"/>
      <c r="D8" s="29"/>
      <c r="E8" s="2"/>
    </row>
    <row r="9" spans="1:5" x14ac:dyDescent="0.2">
      <c r="A9" s="34" t="s">
        <v>3</v>
      </c>
      <c r="B9" s="75" t="s">
        <v>9</v>
      </c>
      <c r="C9" t="s">
        <v>234</v>
      </c>
      <c r="D9" t="s">
        <v>87</v>
      </c>
    </row>
    <row r="10" spans="1:5" x14ac:dyDescent="0.2">
      <c r="A10" s="28" t="s">
        <v>6</v>
      </c>
      <c r="B10" s="76">
        <v>0</v>
      </c>
      <c r="C10" s="62">
        <v>0</v>
      </c>
      <c r="D10" s="77"/>
    </row>
    <row r="11" spans="1:5" x14ac:dyDescent="0.2">
      <c r="A11" s="28" t="s">
        <v>233</v>
      </c>
      <c r="B11" s="76">
        <f>B45</f>
        <v>5074263.764929588</v>
      </c>
      <c r="C11" s="104">
        <f>Growth!M8</f>
        <v>3678723.555569455</v>
      </c>
      <c r="D11" s="77">
        <f>Table124[[#This Row],[Total]]/Table124[[#This Row],[2025]]-100%</f>
        <v>0.37935446583022947</v>
      </c>
    </row>
    <row r="12" spans="1:5" x14ac:dyDescent="0.2">
      <c r="A12" s="28" t="s">
        <v>5</v>
      </c>
      <c r="B12" s="76">
        <f>B71</f>
        <v>3014068.0110497237</v>
      </c>
      <c r="C12" s="104">
        <f>Growth!M7</f>
        <v>2140293.15</v>
      </c>
      <c r="D12" s="77">
        <f>Table124[[#This Row],[Total]]/Table124[[#This Row],[2025]]-100%</f>
        <v>0.40825008529776574</v>
      </c>
    </row>
    <row r="13" spans="1:5" x14ac:dyDescent="0.2">
      <c r="A13" s="28" t="s">
        <v>7</v>
      </c>
      <c r="B13" s="76">
        <f>B110</f>
        <v>1027761.990424764</v>
      </c>
      <c r="C13" s="62">
        <f>Growth!M12</f>
        <v>694293.42777818174</v>
      </c>
      <c r="D13" s="77">
        <f>Table124[[#This Row],[Total]]/Table124[[#This Row],[2025]]-100%</f>
        <v>0.48029917799124178</v>
      </c>
    </row>
    <row r="14" spans="1:5" x14ac:dyDescent="0.2">
      <c r="A14" s="28" t="s">
        <v>8</v>
      </c>
      <c r="B14" s="76">
        <f>B84</f>
        <v>945997.35846117232</v>
      </c>
      <c r="C14" s="62">
        <f>Growth!M14</f>
        <v>376829.19485301821</v>
      </c>
      <c r="D14" s="77">
        <f>Table124[[#This Row],[Total]]/Table124[[#This Row],[2025]]-100%</f>
        <v>1.5104141913159288</v>
      </c>
    </row>
    <row r="15" spans="1:5" x14ac:dyDescent="0.2">
      <c r="A15" s="28" t="s">
        <v>154</v>
      </c>
      <c r="B15" s="76">
        <f>B122</f>
        <v>3004332.9418908134</v>
      </c>
      <c r="C15" s="62">
        <f>Growth!M10</f>
        <v>1442787.4651636363</v>
      </c>
      <c r="D15" s="77">
        <f>Table124[[#This Row],[Total]]/Table124[[#This Row],[2025]]-100%</f>
        <v>1.0823115077105774</v>
      </c>
    </row>
    <row r="16" spans="1:5" x14ac:dyDescent="0.2">
      <c r="A16" s="28" t="s">
        <v>161</v>
      </c>
      <c r="B16" s="76">
        <f>B134</f>
        <v>411106.03093111876</v>
      </c>
      <c r="C16" s="62">
        <f>Growth!M13</f>
        <v>314078.47505454539</v>
      </c>
      <c r="D16" s="77">
        <f>Table124[[#This Row],[Total]]/Table124[[#This Row],[2025]]-100%</f>
        <v>0.30892774762652175</v>
      </c>
    </row>
    <row r="17" spans="1:11" x14ac:dyDescent="0.2">
      <c r="A17" s="28" t="s">
        <v>208</v>
      </c>
      <c r="B17" s="76">
        <f>B58</f>
        <v>2584367.034654649</v>
      </c>
      <c r="C17" s="62">
        <f>Growth!M9</f>
        <v>3514572.5018181815</v>
      </c>
      <c r="D17" s="77">
        <f>Table124[[#This Row],[Total]]/Table124[[#This Row],[2025]]-100%</f>
        <v>-0.26467101380959213</v>
      </c>
    </row>
    <row r="18" spans="1:11" x14ac:dyDescent="0.2">
      <c r="A18" s="28"/>
      <c r="B18" s="78">
        <f>SUBTOTAL(109,Table124[Total])</f>
        <v>16061897.13234183</v>
      </c>
      <c r="C18" s="78">
        <f>SUBTOTAL(109,Table124[2025])</f>
        <v>12161577.770237019</v>
      </c>
      <c r="D18" s="82">
        <f>(Table124[[#Totals],[Total]]/Table124[[#Totals],[2025]])-100%</f>
        <v>0.32070833536500887</v>
      </c>
    </row>
    <row r="21" spans="1:11" ht="17" thickBot="1" x14ac:dyDescent="0.25"/>
    <row r="22" spans="1:11" x14ac:dyDescent="0.2">
      <c r="A22" s="74">
        <v>2025</v>
      </c>
      <c r="B22" s="29"/>
      <c r="C22" s="29"/>
    </row>
    <row r="23" spans="1:11" x14ac:dyDescent="0.2">
      <c r="A23" s="28" t="s">
        <v>3</v>
      </c>
      <c r="B23" s="75" t="s">
        <v>80</v>
      </c>
      <c r="C23" s="75" t="s">
        <v>81</v>
      </c>
      <c r="D23" t="s">
        <v>63</v>
      </c>
      <c r="K23" s="77"/>
    </row>
    <row r="24" spans="1:11" x14ac:dyDescent="0.2">
      <c r="A24" s="28" t="s">
        <v>6</v>
      </c>
      <c r="B24" s="76">
        <v>0</v>
      </c>
      <c r="C24" s="62">
        <v>0</v>
      </c>
      <c r="D24" s="60"/>
      <c r="E24" s="82"/>
      <c r="K24" s="77"/>
    </row>
    <row r="25" spans="1:11" x14ac:dyDescent="0.2">
      <c r="A25" s="28" t="s">
        <v>233</v>
      </c>
      <c r="B25" s="397">
        <f>[10]Total!$E$3</f>
        <v>330066.51688000001</v>
      </c>
      <c r="C25" s="397">
        <f>[10]Total!$R$3</f>
        <v>852855.96189999976</v>
      </c>
      <c r="D25" s="60">
        <f>(B25+C25)/2</f>
        <v>591461.23938999989</v>
      </c>
      <c r="E25" s="82"/>
      <c r="G25" s="82"/>
      <c r="I25" s="82"/>
      <c r="K25" s="77"/>
    </row>
    <row r="26" spans="1:11" x14ac:dyDescent="0.2">
      <c r="A26" s="28" t="s">
        <v>5</v>
      </c>
      <c r="B26" s="397">
        <f>[10]Total!$E$18</f>
        <v>0</v>
      </c>
      <c r="C26" s="397">
        <f>[10]Total!$R$18</f>
        <v>909243.85</v>
      </c>
      <c r="D26" s="60">
        <f t="shared" ref="D26:D31" si="0">(B26+C26)/2</f>
        <v>454621.92499999999</v>
      </c>
      <c r="E26" s="82"/>
      <c r="K26" s="77"/>
    </row>
    <row r="27" spans="1:11" x14ac:dyDescent="0.2">
      <c r="A27" s="28" t="s">
        <v>7</v>
      </c>
      <c r="B27" s="397">
        <f>[10]Total!$E$13</f>
        <v>245176.90684000001</v>
      </c>
      <c r="C27" s="397">
        <f>[10]Total!$R$13</f>
        <v>352236.75859999994</v>
      </c>
      <c r="D27" s="60">
        <f t="shared" si="0"/>
        <v>298706.83271999995</v>
      </c>
      <c r="E27" s="82"/>
      <c r="F27" s="82"/>
      <c r="G27" s="82"/>
      <c r="K27" s="77"/>
    </row>
    <row r="28" spans="1:11" x14ac:dyDescent="0.2">
      <c r="A28" s="28" t="s">
        <v>8</v>
      </c>
      <c r="B28" s="397">
        <f>[10]Total!$E$33</f>
        <v>152020.95739</v>
      </c>
      <c r="C28" s="397">
        <f>[10]Total!$R$33</f>
        <v>351300.13791580003</v>
      </c>
      <c r="D28" s="60">
        <f t="shared" si="0"/>
        <v>251660.54765290002</v>
      </c>
      <c r="E28" s="82"/>
      <c r="K28" s="77"/>
    </row>
    <row r="29" spans="1:11" x14ac:dyDescent="0.2">
      <c r="A29" s="24" t="s">
        <v>154</v>
      </c>
      <c r="B29" s="397">
        <f>[10]Total!$E$8</f>
        <v>451215</v>
      </c>
      <c r="C29" s="397">
        <f>[10]Total!$R$8</f>
        <v>1405820.7206000001</v>
      </c>
      <c r="D29" s="60">
        <f t="shared" si="0"/>
        <v>928517.86030000006</v>
      </c>
      <c r="E29" s="82"/>
      <c r="K29" s="77"/>
    </row>
    <row r="30" spans="1:11" x14ac:dyDescent="0.2">
      <c r="A30" s="28" t="str">
        <f>A16</f>
        <v>Design</v>
      </c>
      <c r="B30" s="397">
        <f>[10]Total!$E$28</f>
        <v>78240.2</v>
      </c>
      <c r="C30" s="397">
        <f>[10]Total!$R$28</f>
        <v>135950.70640000002</v>
      </c>
      <c r="D30" s="60">
        <f t="shared" si="0"/>
        <v>107095.45320000002</v>
      </c>
      <c r="E30" s="82"/>
      <c r="K30" s="77"/>
    </row>
    <row r="31" spans="1:11" x14ac:dyDescent="0.2">
      <c r="A31" s="28" t="str">
        <f>A17</f>
        <v>.NET</v>
      </c>
      <c r="B31" s="397">
        <f>[10]Total!$E$23</f>
        <v>220381</v>
      </c>
      <c r="C31" s="397">
        <f>[10]Total!$R$23</f>
        <v>235120.93399999966</v>
      </c>
      <c r="D31" s="60">
        <f t="shared" si="0"/>
        <v>227750.96699999983</v>
      </c>
      <c r="E31" s="82"/>
      <c r="K31" s="77"/>
    </row>
    <row r="32" spans="1:11" x14ac:dyDescent="0.2">
      <c r="A32" s="28" t="s">
        <v>9</v>
      </c>
      <c r="B32" s="105">
        <f>SUM(B24:B31)</f>
        <v>1477100.5811099999</v>
      </c>
      <c r="C32" s="105">
        <f>SUM(C24:C31)</f>
        <v>4242529.0694157993</v>
      </c>
      <c r="D32" s="60">
        <f>(B32+C32)/2</f>
        <v>2859814.8252628995</v>
      </c>
      <c r="K32" s="77"/>
    </row>
    <row r="36" spans="1:17" x14ac:dyDescent="0.2">
      <c r="A36" s="106" t="s">
        <v>233</v>
      </c>
      <c r="B36" s="398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8"/>
    </row>
    <row r="37" spans="1:17" x14ac:dyDescent="0.2">
      <c r="A37" s="119" t="s">
        <v>86</v>
      </c>
      <c r="B37" s="399">
        <f>SUM([10]Total!$R$4:$R$5)/12</f>
        <v>347717.46702433337</v>
      </c>
      <c r="Q37" s="109"/>
    </row>
    <row r="38" spans="1:17" x14ac:dyDescent="0.2">
      <c r="A38" s="33" t="s">
        <v>82</v>
      </c>
      <c r="B38" s="399">
        <f>SUM([10]Total!$R$6:$R$7)/12</f>
        <v>353365.26327266666</v>
      </c>
      <c r="Q38" s="109"/>
    </row>
    <row r="39" spans="1:17" x14ac:dyDescent="0.2">
      <c r="A39" s="33" t="s">
        <v>83</v>
      </c>
      <c r="B39" s="110">
        <f>D25/B38</f>
        <v>1.6737956467826653</v>
      </c>
      <c r="Q39" s="109"/>
    </row>
    <row r="40" spans="1:17" x14ac:dyDescent="0.2">
      <c r="A40" s="33"/>
      <c r="Q40" s="109"/>
    </row>
    <row r="41" spans="1:17" x14ac:dyDescent="0.2">
      <c r="A41" s="114" t="str">
        <f>A36</f>
        <v>PHP</v>
      </c>
      <c r="F41">
        <v>1</v>
      </c>
      <c r="G41">
        <v>2</v>
      </c>
      <c r="H41">
        <v>3</v>
      </c>
      <c r="I41">
        <v>4</v>
      </c>
      <c r="J41">
        <v>5</v>
      </c>
      <c r="K41">
        <v>6</v>
      </c>
      <c r="L41">
        <v>7</v>
      </c>
      <c r="M41">
        <v>8</v>
      </c>
      <c r="N41">
        <v>9</v>
      </c>
      <c r="O41">
        <v>10</v>
      </c>
      <c r="P41">
        <v>11</v>
      </c>
      <c r="Q41" s="109">
        <v>12</v>
      </c>
    </row>
    <row r="42" spans="1:17" x14ac:dyDescent="0.2">
      <c r="A42" s="33" t="s">
        <v>244</v>
      </c>
      <c r="B42" s="11">
        <f>C25</f>
        <v>852855.96189999976</v>
      </c>
      <c r="D42" s="82">
        <v>0.2</v>
      </c>
      <c r="F42" s="111">
        <v>0.6</v>
      </c>
      <c r="G42" s="111">
        <v>0.4</v>
      </c>
      <c r="H42" s="111"/>
      <c r="I42" s="111"/>
      <c r="J42" s="111"/>
      <c r="K42" s="111"/>
      <c r="L42" s="111"/>
      <c r="Q42" s="109"/>
    </row>
    <row r="43" spans="1:17" x14ac:dyDescent="0.2">
      <c r="A43" s="33" t="s">
        <v>245</v>
      </c>
      <c r="B43" s="53">
        <f>(F46+B39)/2</f>
        <v>2.0168978233913331</v>
      </c>
      <c r="D43" s="111">
        <v>0.4</v>
      </c>
      <c r="F43" s="111">
        <v>0.3</v>
      </c>
      <c r="G43" s="111">
        <v>0.3</v>
      </c>
      <c r="H43" s="111">
        <v>0.3</v>
      </c>
      <c r="I43" s="111">
        <v>0.1</v>
      </c>
      <c r="J43" s="111"/>
      <c r="K43" s="111"/>
      <c r="L43" s="111"/>
      <c r="Q43" s="109"/>
    </row>
    <row r="44" spans="1:17" x14ac:dyDescent="0.2">
      <c r="A44" s="33" t="s">
        <v>85</v>
      </c>
      <c r="B44" s="53">
        <f>B42/B43</f>
        <v>422855.31374413235</v>
      </c>
      <c r="D44" s="111">
        <v>0.4</v>
      </c>
      <c r="F44" s="111">
        <v>0.2</v>
      </c>
      <c r="G44" s="111">
        <v>0.2</v>
      </c>
      <c r="H44" s="111">
        <v>0.2</v>
      </c>
      <c r="I44" s="111">
        <v>0.2</v>
      </c>
      <c r="J44" s="111">
        <v>0.2</v>
      </c>
      <c r="K44" s="111"/>
      <c r="L44" s="111"/>
      <c r="Q44" s="109"/>
    </row>
    <row r="45" spans="1:17" x14ac:dyDescent="0.2">
      <c r="A45" s="33" t="s">
        <v>9</v>
      </c>
      <c r="B45" s="60">
        <f>B44*12</f>
        <v>5074263.764929588</v>
      </c>
      <c r="D45" t="s">
        <v>84</v>
      </c>
      <c r="F45" s="112">
        <f>($D$42*F42)+($D$43*F43)+($D$44*F44)</f>
        <v>0.32</v>
      </c>
      <c r="G45" s="112">
        <f>($D$42*G42)+($D$43*G43)+($D$44*G44)</f>
        <v>0.28000000000000003</v>
      </c>
      <c r="H45" s="112">
        <f>($D$42*H42)+($D$43*H43)+($D$44*H44)</f>
        <v>0.2</v>
      </c>
      <c r="I45" s="112">
        <f t="shared" ref="I45:L45" si="1">($D$42*I42)+($D$43*I43)+($D$44*I44)</f>
        <v>0.12000000000000002</v>
      </c>
      <c r="J45" s="112">
        <f t="shared" si="1"/>
        <v>8.0000000000000016E-2</v>
      </c>
      <c r="K45" s="112">
        <f t="shared" si="1"/>
        <v>0</v>
      </c>
      <c r="L45" s="112">
        <f t="shared" si="1"/>
        <v>0</v>
      </c>
      <c r="M45" s="112">
        <f t="shared" ref="M45" si="2">($D$42*M42)+($D$43*M43)+($D$44*M44)</f>
        <v>0</v>
      </c>
      <c r="N45" s="112">
        <f t="shared" ref="N45" si="3">($D$42*N42)+($D$43*N43)+($D$44*N44)</f>
        <v>0</v>
      </c>
      <c r="O45" s="112">
        <f t="shared" ref="O45" si="4">($D$42*O42)+($D$43*O43)+($D$44*O44)</f>
        <v>0</v>
      </c>
      <c r="P45" s="112">
        <f t="shared" ref="P45" si="5">($D$42*P42)+($D$43*P43)+($D$44*P44)</f>
        <v>0</v>
      </c>
      <c r="Q45" s="127">
        <f t="shared" ref="Q45" si="6">($D$42*Q42)+($D$43*Q43)+($D$44*Q44)</f>
        <v>0</v>
      </c>
    </row>
    <row r="46" spans="1:17" x14ac:dyDescent="0.2">
      <c r="A46" s="71"/>
      <c r="B46" s="44"/>
      <c r="C46" s="44"/>
      <c r="D46" s="44"/>
      <c r="E46" s="44"/>
      <c r="F46" s="44">
        <f>SUMPRODUCT(F45:Q45,F41:Q41)</f>
        <v>2.3600000000000003</v>
      </c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113"/>
    </row>
    <row r="49" spans="1:17" x14ac:dyDescent="0.2">
      <c r="A49" s="106" t="s">
        <v>209</v>
      </c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8"/>
    </row>
    <row r="50" spans="1:17" x14ac:dyDescent="0.2">
      <c r="A50" s="119" t="s">
        <v>86</v>
      </c>
      <c r="B50" s="399">
        <f>SUM([10]Total!$R$24:$R$25)/12</f>
        <v>299536.43449999997</v>
      </c>
      <c r="Q50" s="109"/>
    </row>
    <row r="51" spans="1:17" x14ac:dyDescent="0.2">
      <c r="A51" s="33" t="s">
        <v>82</v>
      </c>
      <c r="B51" s="399">
        <f>SUM([10]Total!$R$26:$R$27)/12</f>
        <v>298308.10666666663</v>
      </c>
      <c r="Q51" s="109"/>
    </row>
    <row r="52" spans="1:17" x14ac:dyDescent="0.2">
      <c r="A52" s="33" t="s">
        <v>83</v>
      </c>
      <c r="B52" s="110">
        <f>D31/B51</f>
        <v>0.76347562104469302</v>
      </c>
      <c r="Q52" s="109"/>
    </row>
    <row r="53" spans="1:17" x14ac:dyDescent="0.2">
      <c r="A53" s="33"/>
      <c r="Q53" s="109"/>
    </row>
    <row r="54" spans="1:17" x14ac:dyDescent="0.2">
      <c r="A54" s="114" t="str">
        <f>A49</f>
        <v>.Net</v>
      </c>
      <c r="F54">
        <v>1</v>
      </c>
      <c r="G54">
        <v>2</v>
      </c>
      <c r="H54">
        <v>3</v>
      </c>
      <c r="I54">
        <v>4</v>
      </c>
      <c r="J54">
        <v>5</v>
      </c>
      <c r="K54">
        <v>6</v>
      </c>
      <c r="L54">
        <v>7</v>
      </c>
      <c r="M54">
        <v>8</v>
      </c>
      <c r="N54">
        <v>9</v>
      </c>
      <c r="O54">
        <v>10</v>
      </c>
      <c r="P54">
        <v>11</v>
      </c>
      <c r="Q54" s="109">
        <v>12</v>
      </c>
    </row>
    <row r="55" spans="1:17" x14ac:dyDescent="0.2">
      <c r="A55" s="33" t="s">
        <v>244</v>
      </c>
      <c r="B55" s="11">
        <f>C31</f>
        <v>235120.93399999966</v>
      </c>
      <c r="D55" s="82">
        <v>0.1</v>
      </c>
      <c r="F55" s="111">
        <v>1</v>
      </c>
      <c r="G55" s="111">
        <v>0</v>
      </c>
      <c r="H55" s="111"/>
      <c r="I55" s="111"/>
      <c r="J55" s="111"/>
      <c r="K55" s="111"/>
      <c r="L55" s="111"/>
      <c r="Q55" s="109"/>
    </row>
    <row r="56" spans="1:17" x14ac:dyDescent="0.2">
      <c r="A56" s="33" t="s">
        <v>245</v>
      </c>
      <c r="B56" s="53">
        <f>(F59+B52)/2</f>
        <v>1.0917378105223465</v>
      </c>
      <c r="D56" s="111">
        <v>0.4</v>
      </c>
      <c r="F56" s="111">
        <v>0.6</v>
      </c>
      <c r="G56" s="111">
        <v>0.4</v>
      </c>
      <c r="H56" s="111">
        <v>0</v>
      </c>
      <c r="I56" s="111"/>
      <c r="J56" s="111"/>
      <c r="K56" s="111"/>
      <c r="L56" s="111"/>
      <c r="Q56" s="109"/>
    </row>
    <row r="57" spans="1:17" x14ac:dyDescent="0.2">
      <c r="A57" s="33" t="s">
        <v>85</v>
      </c>
      <c r="B57" s="53">
        <f>B55/B56</f>
        <v>215363.9195545541</v>
      </c>
      <c r="D57" s="111">
        <v>0.5</v>
      </c>
      <c r="F57" s="111">
        <v>0.4</v>
      </c>
      <c r="G57" s="111">
        <v>0.4</v>
      </c>
      <c r="H57" s="111">
        <v>0.2</v>
      </c>
      <c r="I57" s="111">
        <v>0</v>
      </c>
      <c r="J57" s="111"/>
      <c r="K57" s="111"/>
      <c r="L57" s="111"/>
      <c r="Q57" s="109"/>
    </row>
    <row r="58" spans="1:17" x14ac:dyDescent="0.2">
      <c r="A58" s="33" t="s">
        <v>9</v>
      </c>
      <c r="B58" s="60">
        <f>B57*12</f>
        <v>2584367.034654649</v>
      </c>
      <c r="D58" t="s">
        <v>84</v>
      </c>
      <c r="F58" s="112">
        <f>($D$55*F55)+($D56*F56)+($D57*F57)</f>
        <v>0.54</v>
      </c>
      <c r="G58" s="112">
        <f>($D$42*G55)+($D$43*G56)+($D$44*G57)</f>
        <v>0.32000000000000006</v>
      </c>
      <c r="H58" s="112">
        <f>($D$42*H55)+($D$43*H56)+($D$44*H57)</f>
        <v>8.0000000000000016E-2</v>
      </c>
      <c r="I58" s="112">
        <f t="shared" ref="I58:Q58" si="7">($D$42*I55)+($D$43*I56)+($D$44*I57)</f>
        <v>0</v>
      </c>
      <c r="J58" s="112">
        <f t="shared" si="7"/>
        <v>0</v>
      </c>
      <c r="K58" s="112">
        <f t="shared" si="7"/>
        <v>0</v>
      </c>
      <c r="L58" s="112">
        <f t="shared" si="7"/>
        <v>0</v>
      </c>
      <c r="M58" s="112">
        <f t="shared" si="7"/>
        <v>0</v>
      </c>
      <c r="N58" s="112">
        <f t="shared" si="7"/>
        <v>0</v>
      </c>
      <c r="O58" s="112">
        <f t="shared" si="7"/>
        <v>0</v>
      </c>
      <c r="P58" s="112">
        <f t="shared" si="7"/>
        <v>0</v>
      </c>
      <c r="Q58" s="127">
        <f t="shared" si="7"/>
        <v>0</v>
      </c>
    </row>
    <row r="59" spans="1:17" x14ac:dyDescent="0.2">
      <c r="A59" s="71"/>
      <c r="B59" s="44"/>
      <c r="C59" s="44"/>
      <c r="D59" s="44"/>
      <c r="E59" s="44"/>
      <c r="F59" s="44">
        <f>SUMPRODUCT(F58:Q58,F54:Q54)</f>
        <v>1.4200000000000002</v>
      </c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113"/>
    </row>
    <row r="62" spans="1:17" x14ac:dyDescent="0.2">
      <c r="A62" s="106" t="s">
        <v>246</v>
      </c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8"/>
    </row>
    <row r="63" spans="1:17" x14ac:dyDescent="0.2">
      <c r="A63" s="119" t="s">
        <v>86</v>
      </c>
      <c r="B63" s="399">
        <f>SUM([10]Total!$R$19:$R$20)/12</f>
        <v>166575.375</v>
      </c>
      <c r="Q63" s="109"/>
    </row>
    <row r="64" spans="1:17" x14ac:dyDescent="0.2">
      <c r="A64" s="33" t="s">
        <v>82</v>
      </c>
      <c r="B64" s="399">
        <f>SUM([10]Total!$R$21:$R$22)/12</f>
        <v>156125.375</v>
      </c>
      <c r="Q64" s="109"/>
    </row>
    <row r="65" spans="1:17" x14ac:dyDescent="0.2">
      <c r="A65" s="33" t="s">
        <v>83</v>
      </c>
      <c r="B65" s="110">
        <v>3</v>
      </c>
      <c r="Q65" s="109"/>
    </row>
    <row r="66" spans="1:17" x14ac:dyDescent="0.2">
      <c r="A66" s="33"/>
      <c r="Q66" s="109"/>
    </row>
    <row r="67" spans="1:17" x14ac:dyDescent="0.2">
      <c r="A67" s="114" t="s">
        <v>247</v>
      </c>
      <c r="F67">
        <v>1</v>
      </c>
      <c r="G67">
        <v>2</v>
      </c>
      <c r="H67">
        <v>3</v>
      </c>
      <c r="I67">
        <v>4</v>
      </c>
      <c r="J67">
        <v>5</v>
      </c>
      <c r="K67">
        <v>6</v>
      </c>
      <c r="L67">
        <v>7</v>
      </c>
      <c r="M67">
        <v>8</v>
      </c>
      <c r="N67">
        <v>9</v>
      </c>
      <c r="O67">
        <v>10</v>
      </c>
      <c r="P67">
        <v>11</v>
      </c>
      <c r="Q67" s="109">
        <v>12</v>
      </c>
    </row>
    <row r="68" spans="1:17" x14ac:dyDescent="0.2">
      <c r="A68" s="33" t="s">
        <v>244</v>
      </c>
      <c r="B68" s="11">
        <f>C26</f>
        <v>909243.85</v>
      </c>
      <c r="D68" s="82">
        <v>0.3</v>
      </c>
      <c r="F68" s="111">
        <v>0</v>
      </c>
      <c r="G68" s="111">
        <v>0.1</v>
      </c>
      <c r="H68" s="111">
        <v>0.3</v>
      </c>
      <c r="I68" s="111">
        <v>0.3</v>
      </c>
      <c r="J68" s="111">
        <v>0.3</v>
      </c>
      <c r="K68" s="111"/>
      <c r="L68" s="111"/>
      <c r="Q68" s="109"/>
    </row>
    <row r="69" spans="1:17" x14ac:dyDescent="0.2">
      <c r="A69" s="33" t="s">
        <v>245</v>
      </c>
      <c r="B69" s="53">
        <f>(F72+B65)/2</f>
        <v>3.62</v>
      </c>
      <c r="D69" s="111">
        <v>0.1</v>
      </c>
      <c r="F69" s="111">
        <v>0.2</v>
      </c>
      <c r="G69" s="111">
        <v>0.2</v>
      </c>
      <c r="H69" s="111">
        <v>0.2</v>
      </c>
      <c r="I69" s="111">
        <v>0.2</v>
      </c>
      <c r="J69" s="111">
        <v>0.2</v>
      </c>
      <c r="K69" s="111"/>
      <c r="L69" s="111"/>
      <c r="Q69" s="109"/>
    </row>
    <row r="70" spans="1:17" x14ac:dyDescent="0.2">
      <c r="A70" s="33" t="s">
        <v>85</v>
      </c>
      <c r="B70" s="53">
        <f>B68/B69</f>
        <v>251172.33425414364</v>
      </c>
      <c r="D70" s="111">
        <v>0.6</v>
      </c>
      <c r="F70" s="111">
        <v>0.4</v>
      </c>
      <c r="G70" s="111">
        <v>0.1</v>
      </c>
      <c r="H70" s="111">
        <v>0.1</v>
      </c>
      <c r="I70" s="111">
        <v>0.1</v>
      </c>
      <c r="J70" s="111">
        <v>0.1</v>
      </c>
      <c r="K70" s="111">
        <v>0.1</v>
      </c>
      <c r="L70" s="111">
        <v>0.1</v>
      </c>
      <c r="M70" s="352">
        <v>0.1</v>
      </c>
      <c r="N70" s="352">
        <v>0.1</v>
      </c>
      <c r="O70" s="352">
        <v>0.1</v>
      </c>
      <c r="Q70" s="109"/>
    </row>
    <row r="71" spans="1:17" x14ac:dyDescent="0.2">
      <c r="A71" s="33" t="s">
        <v>9</v>
      </c>
      <c r="B71" s="60">
        <f>B70*12</f>
        <v>3014068.0110497237</v>
      </c>
      <c r="D71" t="s">
        <v>84</v>
      </c>
      <c r="F71" s="112">
        <f>($D$68*F68)+($D$69*F69)+($D$70*F70)</f>
        <v>0.26</v>
      </c>
      <c r="G71" s="112">
        <f t="shared" ref="G71:K71" si="8">($D$68*G68)+($D$69*G69)+($D$70*G70)</f>
        <v>0.11</v>
      </c>
      <c r="H71" s="112">
        <f t="shared" si="8"/>
        <v>0.16999999999999998</v>
      </c>
      <c r="I71" s="112">
        <f t="shared" si="8"/>
        <v>0.16999999999999998</v>
      </c>
      <c r="J71" s="112">
        <f t="shared" si="8"/>
        <v>0.16999999999999998</v>
      </c>
      <c r="K71" s="112">
        <f t="shared" si="8"/>
        <v>0.06</v>
      </c>
      <c r="L71" s="112">
        <f t="shared" ref="L71" si="9">($D$42*L68)+($D$43*L69)+($D$44*L70)</f>
        <v>4.0000000000000008E-2</v>
      </c>
      <c r="M71" s="112">
        <f t="shared" ref="M71" si="10">($D$42*M68)+($D$43*M69)+($D$44*M70)</f>
        <v>4.0000000000000008E-2</v>
      </c>
      <c r="N71" s="112">
        <f t="shared" ref="N71" si="11">($D$42*N68)+($D$43*N69)+($D$44*N70)</f>
        <v>4.0000000000000008E-2</v>
      </c>
      <c r="O71" s="112">
        <f t="shared" ref="O71" si="12">($D$42*O68)+($D$43*O69)+($D$44*O70)</f>
        <v>4.0000000000000008E-2</v>
      </c>
      <c r="P71" s="112">
        <f t="shared" ref="P71" si="13">($D$42*P68)+($D$43*P69)+($D$44*P70)</f>
        <v>0</v>
      </c>
      <c r="Q71" s="127">
        <f t="shared" ref="Q71" si="14">($D$42*Q68)+($D$43*Q69)+($D$44*Q70)</f>
        <v>0</v>
      </c>
    </row>
    <row r="72" spans="1:17" x14ac:dyDescent="0.2">
      <c r="A72" s="71"/>
      <c r="B72" s="44"/>
      <c r="C72" s="44"/>
      <c r="D72" s="44"/>
      <c r="E72" s="44"/>
      <c r="F72" s="44">
        <f>SUMPRODUCT(F71:Q71,F67:Q67)</f>
        <v>4.24</v>
      </c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113"/>
    </row>
    <row r="75" spans="1:17" x14ac:dyDescent="0.2">
      <c r="A75" s="106" t="s">
        <v>248</v>
      </c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8"/>
    </row>
    <row r="76" spans="1:17" x14ac:dyDescent="0.2">
      <c r="A76" s="119" t="s">
        <v>86</v>
      </c>
      <c r="B76" s="399">
        <f>SUM([10]Total!$R$34:$R$35)/12</f>
        <v>44388.087819533343</v>
      </c>
      <c r="Q76" s="109"/>
    </row>
    <row r="77" spans="1:17" x14ac:dyDescent="0.2">
      <c r="A77" s="33" t="s">
        <v>82</v>
      </c>
      <c r="B77" s="399">
        <f>SUM([10]Total!$R$36:$R$37)/12</f>
        <v>37491.318320716666</v>
      </c>
      <c r="Q77" s="109"/>
    </row>
    <row r="78" spans="1:17" x14ac:dyDescent="0.2">
      <c r="A78" s="33" t="s">
        <v>83</v>
      </c>
      <c r="B78" s="110">
        <f>D28/B77</f>
        <v>6.712501958455789</v>
      </c>
      <c r="Q78" s="109"/>
    </row>
    <row r="79" spans="1:17" x14ac:dyDescent="0.2">
      <c r="A79" s="33"/>
      <c r="Q79" s="109"/>
    </row>
    <row r="80" spans="1:17" x14ac:dyDescent="0.2">
      <c r="A80" s="114" t="s">
        <v>249</v>
      </c>
      <c r="F80">
        <v>1</v>
      </c>
      <c r="G80">
        <v>2</v>
      </c>
      <c r="H80">
        <v>3</v>
      </c>
      <c r="I80">
        <v>4</v>
      </c>
      <c r="J80">
        <v>5</v>
      </c>
      <c r="K80">
        <v>6</v>
      </c>
      <c r="L80">
        <v>7</v>
      </c>
      <c r="M80">
        <v>8</v>
      </c>
      <c r="N80">
        <v>9</v>
      </c>
      <c r="O80">
        <v>10</v>
      </c>
      <c r="P80">
        <v>11</v>
      </c>
      <c r="Q80" s="109">
        <v>12</v>
      </c>
    </row>
    <row r="81" spans="1:17" x14ac:dyDescent="0.2">
      <c r="A81" s="33" t="s">
        <v>244</v>
      </c>
      <c r="B81" s="11">
        <f>C28</f>
        <v>351300.13791580003</v>
      </c>
      <c r="D81" s="82">
        <v>0.9</v>
      </c>
      <c r="F81" s="111"/>
      <c r="G81" s="111">
        <v>1</v>
      </c>
      <c r="H81" s="111"/>
      <c r="I81" s="111"/>
      <c r="J81" s="111"/>
      <c r="K81" s="111"/>
      <c r="L81" s="111"/>
      <c r="Q81" s="109"/>
    </row>
    <row r="82" spans="1:17" x14ac:dyDescent="0.2">
      <c r="A82" s="33" t="s">
        <v>245</v>
      </c>
      <c r="B82" s="53">
        <f>(F85+B78)/2</f>
        <v>4.4562509792278941</v>
      </c>
      <c r="D82" s="111">
        <v>0.1</v>
      </c>
      <c r="F82" s="111"/>
      <c r="G82" s="111"/>
      <c r="H82" s="111"/>
      <c r="I82" s="111">
        <v>1</v>
      </c>
      <c r="J82" s="111"/>
      <c r="K82" s="111"/>
      <c r="L82" s="111"/>
      <c r="Q82" s="109"/>
    </row>
    <row r="83" spans="1:17" x14ac:dyDescent="0.2">
      <c r="A83" s="33" t="s">
        <v>85</v>
      </c>
      <c r="B83" s="53">
        <f>B81/B82</f>
        <v>78833.113205097688</v>
      </c>
      <c r="D83" s="111"/>
      <c r="F83" s="111"/>
      <c r="G83" s="111"/>
      <c r="H83" s="111"/>
      <c r="I83" s="111"/>
      <c r="J83" s="111"/>
      <c r="K83" s="111"/>
      <c r="L83" s="111"/>
      <c r="Q83" s="109"/>
    </row>
    <row r="84" spans="1:17" x14ac:dyDescent="0.2">
      <c r="A84" s="33" t="s">
        <v>9</v>
      </c>
      <c r="B84" s="60">
        <f>B83*12</f>
        <v>945997.35846117232</v>
      </c>
      <c r="D84" t="s">
        <v>84</v>
      </c>
      <c r="F84" s="112">
        <f>($D$81*F81)+($D$82*F82)+($D$83*F83)</f>
        <v>0</v>
      </c>
      <c r="G84" s="112">
        <f>($D$81*G81)+($D$82*G82)+($D$83*G83)</f>
        <v>0.9</v>
      </c>
      <c r="H84" s="112">
        <f t="shared" ref="H84:K84" si="15">($D$81*H81)+($D$82*H82)+($D$83*H83)</f>
        <v>0</v>
      </c>
      <c r="I84" s="112">
        <f t="shared" si="15"/>
        <v>0.1</v>
      </c>
      <c r="J84" s="112">
        <f t="shared" si="15"/>
        <v>0</v>
      </c>
      <c r="K84" s="112">
        <f t="shared" si="15"/>
        <v>0</v>
      </c>
      <c r="L84" s="112">
        <f t="shared" ref="L84" si="16">($D$42*L81)+($D$43*L82)+($D$44*L83)</f>
        <v>0</v>
      </c>
      <c r="M84" s="112">
        <f t="shared" ref="M84" si="17">($D$42*M81)+($D$43*M82)+($D$44*M83)</f>
        <v>0</v>
      </c>
      <c r="N84" s="112">
        <f t="shared" ref="N84" si="18">($D$42*N81)+($D$43*N82)+($D$44*N83)</f>
        <v>0</v>
      </c>
      <c r="O84" s="112">
        <f t="shared" ref="O84" si="19">($D$42*O81)+($D$43*O82)+($D$44*O83)</f>
        <v>0</v>
      </c>
      <c r="P84" s="112">
        <f t="shared" ref="P84" si="20">($D$42*P81)+($D$43*P82)+($D$44*P83)</f>
        <v>0</v>
      </c>
      <c r="Q84" s="127">
        <f t="shared" ref="Q84" si="21">($D$42*Q81)+($D$43*Q82)+($D$44*Q83)</f>
        <v>0</v>
      </c>
    </row>
    <row r="85" spans="1:17" x14ac:dyDescent="0.2">
      <c r="A85" s="71"/>
      <c r="B85" s="44"/>
      <c r="C85" s="44"/>
      <c r="D85" s="44"/>
      <c r="E85" s="44"/>
      <c r="F85" s="44">
        <f>SUMPRODUCT(F84:Q84,F80:Q80)</f>
        <v>2.2000000000000002</v>
      </c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113"/>
    </row>
    <row r="88" spans="1:17" hidden="1" x14ac:dyDescent="0.2">
      <c r="A88" s="106" t="s">
        <v>217</v>
      </c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8"/>
    </row>
    <row r="89" spans="1:17" hidden="1" x14ac:dyDescent="0.2">
      <c r="A89" s="119" t="s">
        <v>86</v>
      </c>
      <c r="B89" s="60">
        <v>0</v>
      </c>
      <c r="Q89" s="109"/>
    </row>
    <row r="90" spans="1:17" hidden="1" x14ac:dyDescent="0.2">
      <c r="A90" s="33" t="s">
        <v>82</v>
      </c>
      <c r="B90" s="60">
        <v>0</v>
      </c>
      <c r="Q90" s="109"/>
    </row>
    <row r="91" spans="1:17" hidden="1" x14ac:dyDescent="0.2">
      <c r="A91" s="33" t="s">
        <v>83</v>
      </c>
      <c r="B91" s="110" t="e">
        <f>D24/B90</f>
        <v>#DIV/0!</v>
      </c>
      <c r="Q91" s="109"/>
    </row>
    <row r="92" spans="1:17" hidden="1" x14ac:dyDescent="0.2">
      <c r="A92" s="33"/>
      <c r="Q92" s="109"/>
    </row>
    <row r="93" spans="1:17" hidden="1" x14ac:dyDescent="0.2">
      <c r="A93" s="114" t="s">
        <v>220</v>
      </c>
      <c r="F93">
        <v>1</v>
      </c>
      <c r="G93">
        <v>2</v>
      </c>
      <c r="H93">
        <v>3</v>
      </c>
      <c r="I93">
        <v>4</v>
      </c>
      <c r="J93">
        <v>5</v>
      </c>
      <c r="K93">
        <v>6</v>
      </c>
      <c r="L93">
        <v>7</v>
      </c>
      <c r="M93">
        <v>8</v>
      </c>
      <c r="N93">
        <v>9</v>
      </c>
      <c r="O93">
        <v>10</v>
      </c>
      <c r="P93">
        <v>11</v>
      </c>
      <c r="Q93" s="109">
        <v>12</v>
      </c>
    </row>
    <row r="94" spans="1:17" hidden="1" x14ac:dyDescent="0.2">
      <c r="A94" s="33" t="s">
        <v>218</v>
      </c>
      <c r="B94" s="11">
        <f>C24</f>
        <v>0</v>
      </c>
      <c r="D94" s="82">
        <v>0.9</v>
      </c>
      <c r="F94" s="111">
        <v>1</v>
      </c>
      <c r="G94" s="111"/>
      <c r="H94" s="111"/>
      <c r="I94" s="111"/>
      <c r="J94" s="111"/>
      <c r="K94" s="111"/>
      <c r="L94" s="111"/>
      <c r="Q94" s="109"/>
    </row>
    <row r="95" spans="1:17" hidden="1" x14ac:dyDescent="0.2">
      <c r="A95" s="33" t="s">
        <v>219</v>
      </c>
      <c r="B95" s="53" t="e">
        <f>(F98+B91)/2</f>
        <v>#DIV/0!</v>
      </c>
      <c r="D95" s="111">
        <v>0.1</v>
      </c>
      <c r="F95" s="111"/>
      <c r="G95" s="111">
        <v>1</v>
      </c>
      <c r="H95" s="111"/>
      <c r="I95" s="111"/>
      <c r="J95" s="111"/>
      <c r="K95" s="111"/>
      <c r="L95" s="111"/>
      <c r="Q95" s="109"/>
    </row>
    <row r="96" spans="1:17" hidden="1" x14ac:dyDescent="0.2">
      <c r="A96" s="33" t="s">
        <v>85</v>
      </c>
      <c r="B96" s="53" t="e">
        <f>B94/B95</f>
        <v>#DIV/0!</v>
      </c>
      <c r="D96" s="111">
        <v>0</v>
      </c>
      <c r="F96" s="111">
        <v>0</v>
      </c>
      <c r="G96" s="111">
        <v>0</v>
      </c>
      <c r="H96" s="111">
        <v>0</v>
      </c>
      <c r="I96" s="111"/>
      <c r="J96" s="111"/>
      <c r="K96" s="111"/>
      <c r="L96" s="111"/>
      <c r="Q96" s="109"/>
    </row>
    <row r="97" spans="1:17" hidden="1" x14ac:dyDescent="0.2">
      <c r="A97" s="33" t="s">
        <v>9</v>
      </c>
      <c r="B97" s="60" t="e">
        <f>B96*12</f>
        <v>#DIV/0!</v>
      </c>
      <c r="D97" t="s">
        <v>84</v>
      </c>
      <c r="F97" s="112">
        <f>($D$94*F94)+($D$95*F95)+($D$96*F96)</f>
        <v>0.9</v>
      </c>
      <c r="G97" s="112">
        <f t="shared" ref="G97:K97" si="22">($D$94*G94)+($D$95*G95)+($D$96*G96)</f>
        <v>0.1</v>
      </c>
      <c r="H97" s="112">
        <f t="shared" si="22"/>
        <v>0</v>
      </c>
      <c r="I97" s="112">
        <f t="shared" si="22"/>
        <v>0</v>
      </c>
      <c r="J97" s="112">
        <f t="shared" si="22"/>
        <v>0</v>
      </c>
      <c r="K97" s="112">
        <f t="shared" si="22"/>
        <v>0</v>
      </c>
      <c r="L97" s="112">
        <f t="shared" ref="L97" si="23">($D$42*L94)+($D$43*L95)+($D$44*L96)</f>
        <v>0</v>
      </c>
      <c r="M97" s="112">
        <f t="shared" ref="M97" si="24">($D$42*M94)+($D$43*M95)+($D$44*M96)</f>
        <v>0</v>
      </c>
      <c r="N97" s="112">
        <f t="shared" ref="N97" si="25">($D$42*N94)+($D$43*N95)+($D$44*N96)</f>
        <v>0</v>
      </c>
      <c r="O97" s="112">
        <f t="shared" ref="O97" si="26">($D$42*O94)+($D$43*O95)+($D$44*O96)</f>
        <v>0</v>
      </c>
      <c r="P97" s="112">
        <f t="shared" ref="P97" si="27">($D$42*P94)+($D$43*P95)+($D$44*P96)</f>
        <v>0</v>
      </c>
      <c r="Q97" s="127">
        <f t="shared" ref="Q97" si="28">($D$42*Q94)+($D$43*Q95)+($D$44*Q96)</f>
        <v>0</v>
      </c>
    </row>
    <row r="98" spans="1:17" hidden="1" x14ac:dyDescent="0.2">
      <c r="A98" s="71"/>
      <c r="B98" s="44"/>
      <c r="C98" s="44"/>
      <c r="D98" s="44"/>
      <c r="E98" s="44"/>
      <c r="F98" s="44">
        <f>SUMPRODUCT(F97:Q97,F93:Q93)</f>
        <v>1.1000000000000001</v>
      </c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113"/>
    </row>
    <row r="101" spans="1:17" x14ac:dyDescent="0.2">
      <c r="A101" s="115" t="s">
        <v>250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8"/>
    </row>
    <row r="102" spans="1:17" x14ac:dyDescent="0.2">
      <c r="A102" s="119" t="s">
        <v>86</v>
      </c>
      <c r="B102" s="399">
        <f>SUM([10]Total!$R$14:$R$15)/12</f>
        <v>62825.612800000003</v>
      </c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21"/>
    </row>
    <row r="103" spans="1:17" x14ac:dyDescent="0.2">
      <c r="A103" s="119" t="s">
        <v>82</v>
      </c>
      <c r="B103" s="399">
        <f>SUM([10]Total!$R$16:$R$17)/12</f>
        <v>67044.817953333331</v>
      </c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21"/>
    </row>
    <row r="104" spans="1:17" x14ac:dyDescent="0.2">
      <c r="A104" s="119" t="s">
        <v>83</v>
      </c>
      <c r="B104" s="122">
        <f>D27/B103</f>
        <v>4.4553306555014496</v>
      </c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21"/>
    </row>
    <row r="105" spans="1:17" x14ac:dyDescent="0.2">
      <c r="A105" s="119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21"/>
    </row>
    <row r="106" spans="1:17" x14ac:dyDescent="0.2">
      <c r="A106" s="123" t="s">
        <v>251</v>
      </c>
      <c r="B106" s="116"/>
      <c r="C106" s="116"/>
      <c r="D106" s="116"/>
      <c r="E106" s="116"/>
      <c r="F106">
        <v>1</v>
      </c>
      <c r="G106">
        <v>2</v>
      </c>
      <c r="H106">
        <v>3</v>
      </c>
      <c r="I106">
        <v>4</v>
      </c>
      <c r="J106">
        <v>5</v>
      </c>
      <c r="K106">
        <v>6</v>
      </c>
      <c r="L106">
        <v>7</v>
      </c>
      <c r="M106">
        <v>8</v>
      </c>
      <c r="N106">
        <v>9</v>
      </c>
      <c r="O106">
        <v>10</v>
      </c>
      <c r="P106">
        <v>11</v>
      </c>
      <c r="Q106" s="109">
        <v>12</v>
      </c>
    </row>
    <row r="107" spans="1:17" x14ac:dyDescent="0.2">
      <c r="A107" s="33" t="s">
        <v>244</v>
      </c>
      <c r="B107" s="124">
        <f>C27</f>
        <v>352236.75859999994</v>
      </c>
      <c r="C107" s="116"/>
      <c r="D107" s="82">
        <v>0.35</v>
      </c>
      <c r="F107" s="111"/>
      <c r="G107" s="111">
        <v>0.4</v>
      </c>
      <c r="H107" s="111"/>
      <c r="I107" s="111">
        <v>0.4</v>
      </c>
      <c r="J107" s="111"/>
      <c r="K107" s="111">
        <v>0.2</v>
      </c>
      <c r="L107" s="111"/>
      <c r="Q107" s="109"/>
    </row>
    <row r="108" spans="1:17" x14ac:dyDescent="0.2">
      <c r="A108" s="33" t="s">
        <v>245</v>
      </c>
      <c r="B108" s="53">
        <f>(F111+B104)/2</f>
        <v>4.112665327750725</v>
      </c>
      <c r="C108" s="116"/>
      <c r="D108" s="111">
        <v>0.35</v>
      </c>
      <c r="F108" s="111"/>
      <c r="G108" s="111">
        <v>0.3</v>
      </c>
      <c r="H108" s="111"/>
      <c r="I108" s="111">
        <v>0.2</v>
      </c>
      <c r="J108" s="111"/>
      <c r="K108" s="111">
        <v>0.5</v>
      </c>
      <c r="L108" s="111"/>
      <c r="Q108" s="109"/>
    </row>
    <row r="109" spans="1:17" x14ac:dyDescent="0.2">
      <c r="A109" s="119" t="s">
        <v>85</v>
      </c>
      <c r="B109" s="53">
        <f>B107/B108</f>
        <v>85646.832535396999</v>
      </c>
      <c r="C109" s="116"/>
      <c r="D109" s="111">
        <v>0.3</v>
      </c>
      <c r="F109" s="111">
        <v>0.3</v>
      </c>
      <c r="G109" s="111">
        <v>0.3</v>
      </c>
      <c r="H109" s="111">
        <v>0.3</v>
      </c>
      <c r="I109" s="111">
        <v>0.1</v>
      </c>
      <c r="J109" s="111"/>
      <c r="K109" s="111"/>
      <c r="L109" s="111"/>
      <c r="Q109" s="109"/>
    </row>
    <row r="110" spans="1:17" x14ac:dyDescent="0.2">
      <c r="A110" s="119" t="s">
        <v>9</v>
      </c>
      <c r="B110" s="60">
        <f>B109*12</f>
        <v>1027761.990424764</v>
      </c>
      <c r="C110" s="116"/>
      <c r="D110" t="s">
        <v>84</v>
      </c>
      <c r="F110" s="112">
        <f>($D107*F107)+($D108*F108)+($D109*F109)</f>
        <v>0.09</v>
      </c>
      <c r="G110" s="112">
        <f>($D$81*G107)+($D$82*G108)+($D$83*G109)</f>
        <v>0.39</v>
      </c>
      <c r="H110" s="112">
        <f t="shared" ref="H110:K110" si="29">($D$81*H107)+($D$82*H108)+($D$83*H109)</f>
        <v>0</v>
      </c>
      <c r="I110" s="112">
        <f t="shared" si="29"/>
        <v>0.38000000000000006</v>
      </c>
      <c r="J110" s="112">
        <f t="shared" si="29"/>
        <v>0</v>
      </c>
      <c r="K110" s="112">
        <f t="shared" si="29"/>
        <v>0.23000000000000004</v>
      </c>
      <c r="L110" s="112">
        <f t="shared" ref="L110:Q110" si="30">($D$42*L107)+($D$43*L108)+($D$44*L109)</f>
        <v>0</v>
      </c>
      <c r="M110" s="112">
        <f t="shared" si="30"/>
        <v>0</v>
      </c>
      <c r="N110" s="112">
        <f t="shared" si="30"/>
        <v>0</v>
      </c>
      <c r="O110" s="112">
        <f t="shared" si="30"/>
        <v>0</v>
      </c>
      <c r="P110" s="112">
        <f t="shared" si="30"/>
        <v>0</v>
      </c>
      <c r="Q110" s="127">
        <f t="shared" si="30"/>
        <v>0</v>
      </c>
    </row>
    <row r="111" spans="1:17" x14ac:dyDescent="0.2">
      <c r="A111" s="125"/>
      <c r="B111" s="126"/>
      <c r="C111" s="126"/>
      <c r="D111" s="44"/>
      <c r="E111" s="44"/>
      <c r="F111" s="44">
        <f>SUMPRODUCT(F110:Q110,F106:Q106)</f>
        <v>3.7700000000000005</v>
      </c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113"/>
    </row>
    <row r="113" spans="1:17" x14ac:dyDescent="0.2">
      <c r="A113" s="106" t="s">
        <v>253</v>
      </c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8"/>
    </row>
    <row r="114" spans="1:17" x14ac:dyDescent="0.2">
      <c r="A114" s="119" t="s">
        <v>86</v>
      </c>
      <c r="B114" s="399">
        <f>SUM([10]Total!$R$9:$R$10)/12</f>
        <v>157722.47474999999</v>
      </c>
      <c r="Q114" s="109"/>
    </row>
    <row r="115" spans="1:17" x14ac:dyDescent="0.2">
      <c r="A115" s="33" t="s">
        <v>82</v>
      </c>
      <c r="B115" s="399">
        <f>SUM([10]Total!$R$11:$R$12)/12</f>
        <v>150237.20636666668</v>
      </c>
      <c r="Q115" s="109"/>
    </row>
    <row r="116" spans="1:17" x14ac:dyDescent="0.2">
      <c r="A116" s="33" t="s">
        <v>83</v>
      </c>
      <c r="B116" s="110">
        <f>D29/B115</f>
        <v>6.1803456198052116</v>
      </c>
      <c r="Q116" s="109"/>
    </row>
    <row r="117" spans="1:17" x14ac:dyDescent="0.2">
      <c r="A117" s="33"/>
      <c r="Q117" s="109"/>
    </row>
    <row r="118" spans="1:17" x14ac:dyDescent="0.2">
      <c r="A118" s="114" t="s">
        <v>252</v>
      </c>
      <c r="F118">
        <v>1</v>
      </c>
      <c r="G118">
        <v>2</v>
      </c>
      <c r="H118">
        <v>3</v>
      </c>
      <c r="I118">
        <v>4</v>
      </c>
      <c r="J118">
        <v>5</v>
      </c>
      <c r="K118">
        <v>6</v>
      </c>
      <c r="L118">
        <v>7</v>
      </c>
      <c r="M118">
        <v>8</v>
      </c>
      <c r="N118">
        <v>9</v>
      </c>
      <c r="O118">
        <v>10</v>
      </c>
      <c r="P118">
        <v>11</v>
      </c>
      <c r="Q118" s="109">
        <v>12</v>
      </c>
    </row>
    <row r="119" spans="1:17" x14ac:dyDescent="0.2">
      <c r="A119" s="33" t="s">
        <v>244</v>
      </c>
      <c r="B119" s="11">
        <f>C29</f>
        <v>1405820.7206000001</v>
      </c>
      <c r="D119" s="82">
        <v>0.1</v>
      </c>
      <c r="F119" s="111">
        <v>0.4</v>
      </c>
      <c r="G119" s="111">
        <v>0.4</v>
      </c>
      <c r="H119" s="111">
        <v>0.2</v>
      </c>
      <c r="I119" s="111"/>
      <c r="J119" s="111"/>
      <c r="K119" s="111"/>
      <c r="L119" s="111"/>
      <c r="Q119" s="109"/>
    </row>
    <row r="120" spans="1:17" x14ac:dyDescent="0.2">
      <c r="A120" s="33" t="s">
        <v>245</v>
      </c>
      <c r="B120" s="53">
        <f>(F123+B116)/2</f>
        <v>5.6151728099026066</v>
      </c>
      <c r="D120" s="111">
        <v>0.3</v>
      </c>
      <c r="F120" s="111">
        <v>0.3</v>
      </c>
      <c r="G120" s="111"/>
      <c r="H120" s="111"/>
      <c r="I120" s="111"/>
      <c r="J120" s="111">
        <v>0.3</v>
      </c>
      <c r="K120" s="111"/>
      <c r="L120" s="111"/>
      <c r="M120" s="111">
        <v>0.4</v>
      </c>
      <c r="Q120" s="109"/>
    </row>
    <row r="121" spans="1:17" x14ac:dyDescent="0.2">
      <c r="A121" s="33" t="s">
        <v>85</v>
      </c>
      <c r="B121" s="53">
        <f>B119/B120</f>
        <v>250361.0784909011</v>
      </c>
      <c r="D121" s="111">
        <v>0.6</v>
      </c>
      <c r="F121" s="111">
        <v>0.2</v>
      </c>
      <c r="G121" s="111"/>
      <c r="H121" s="111"/>
      <c r="I121" s="111">
        <v>0.2</v>
      </c>
      <c r="J121" s="111"/>
      <c r="K121" s="111"/>
      <c r="L121" s="111">
        <v>0.2</v>
      </c>
      <c r="O121" s="111">
        <v>0.2</v>
      </c>
      <c r="Q121" s="111">
        <v>0.2</v>
      </c>
    </row>
    <row r="122" spans="1:17" x14ac:dyDescent="0.2">
      <c r="A122" s="33" t="s">
        <v>9</v>
      </c>
      <c r="B122" s="60">
        <f>B121*12</f>
        <v>3004332.9418908134</v>
      </c>
      <c r="D122" t="s">
        <v>84</v>
      </c>
      <c r="F122" s="112">
        <f>($D119*F119)+($D120*F120)+($D121*F121)</f>
        <v>0.25</v>
      </c>
      <c r="G122" s="112">
        <f>($D$42*G119)+($D$43*G120)+($D$44*G121)</f>
        <v>8.0000000000000016E-2</v>
      </c>
      <c r="H122" s="112">
        <f>($D$42*H119)+($D$43*H120)+($D$44*H121)</f>
        <v>4.0000000000000008E-2</v>
      </c>
      <c r="I122" s="112">
        <f t="shared" ref="I122:Q122" si="31">($D$42*I119)+($D$43*I120)+($D$44*I121)</f>
        <v>8.0000000000000016E-2</v>
      </c>
      <c r="J122" s="112">
        <f>($D$42*J119)+($D$43*J120)+($D$44*J121)</f>
        <v>0.12</v>
      </c>
      <c r="K122" s="112">
        <f t="shared" si="31"/>
        <v>0</v>
      </c>
      <c r="L122" s="112">
        <f t="shared" si="31"/>
        <v>8.0000000000000016E-2</v>
      </c>
      <c r="M122" s="112">
        <f>($D$42*M119)+($D$43*M120)+($D$44*M121)</f>
        <v>0.16000000000000003</v>
      </c>
      <c r="N122" s="112">
        <f t="shared" si="31"/>
        <v>0</v>
      </c>
      <c r="O122" s="112">
        <f t="shared" si="31"/>
        <v>8.0000000000000016E-2</v>
      </c>
      <c r="P122" s="112">
        <f t="shared" si="31"/>
        <v>0</v>
      </c>
      <c r="Q122" s="127">
        <f t="shared" si="31"/>
        <v>8.0000000000000016E-2</v>
      </c>
    </row>
    <row r="123" spans="1:17" x14ac:dyDescent="0.2">
      <c r="A123" s="71"/>
      <c r="B123" s="44"/>
      <c r="C123" s="44"/>
      <c r="D123" s="44"/>
      <c r="E123" s="44"/>
      <c r="F123" s="44">
        <f>SUMPRODUCT(F122:Q122,F118:Q118)</f>
        <v>5.0500000000000007</v>
      </c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113"/>
    </row>
    <row r="125" spans="1:17" x14ac:dyDescent="0.2">
      <c r="A125" s="106" t="s">
        <v>254</v>
      </c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8"/>
    </row>
    <row r="126" spans="1:17" x14ac:dyDescent="0.2">
      <c r="A126" s="119" t="s">
        <v>86</v>
      </c>
      <c r="B126" s="399">
        <f>SUM([10]Total!$R$29:$R$30)/12</f>
        <v>25941.709200000001</v>
      </c>
      <c r="Q126" s="109"/>
    </row>
    <row r="127" spans="1:17" x14ac:dyDescent="0.2">
      <c r="A127" s="33" t="s">
        <v>82</v>
      </c>
      <c r="B127" s="399">
        <f>SUM([10]Total!$R$31:$R$32)/12</f>
        <v>27950.00033333333</v>
      </c>
      <c r="Q127" s="109"/>
    </row>
    <row r="128" spans="1:17" x14ac:dyDescent="0.2">
      <c r="A128" s="33" t="s">
        <v>83</v>
      </c>
      <c r="B128" s="110">
        <f>D30/B127</f>
        <v>3.8316798541242725</v>
      </c>
      <c r="Q128" s="109"/>
    </row>
    <row r="129" spans="1:17" x14ac:dyDescent="0.2">
      <c r="A129" s="33"/>
      <c r="Q129" s="109"/>
    </row>
    <row r="130" spans="1:17" x14ac:dyDescent="0.2">
      <c r="A130" s="114" t="s">
        <v>255</v>
      </c>
      <c r="F130">
        <v>1</v>
      </c>
      <c r="G130">
        <v>2</v>
      </c>
      <c r="H130">
        <v>3</v>
      </c>
      <c r="I130">
        <v>4</v>
      </c>
      <c r="J130">
        <v>5</v>
      </c>
      <c r="K130">
        <v>6</v>
      </c>
      <c r="L130">
        <v>7</v>
      </c>
      <c r="M130">
        <v>8</v>
      </c>
      <c r="N130">
        <v>9</v>
      </c>
      <c r="O130">
        <v>10</v>
      </c>
      <c r="P130">
        <v>11</v>
      </c>
      <c r="Q130" s="109">
        <v>12</v>
      </c>
    </row>
    <row r="131" spans="1:17" x14ac:dyDescent="0.2">
      <c r="A131" s="33" t="s">
        <v>244</v>
      </c>
      <c r="B131" s="11">
        <f>C30</f>
        <v>135950.70640000002</v>
      </c>
      <c r="D131" s="82">
        <v>0.3</v>
      </c>
      <c r="F131" s="111">
        <v>0.25</v>
      </c>
      <c r="G131" s="111">
        <v>0.25</v>
      </c>
      <c r="H131" s="111">
        <v>0.25</v>
      </c>
      <c r="I131" s="111">
        <v>0.25</v>
      </c>
      <c r="J131" s="111"/>
      <c r="K131" s="111"/>
      <c r="L131" s="111"/>
      <c r="Q131" s="109"/>
    </row>
    <row r="132" spans="1:17" x14ac:dyDescent="0.2">
      <c r="A132" s="33" t="s">
        <v>245</v>
      </c>
      <c r="B132" s="53">
        <f>(F135+B128)/2</f>
        <v>3.9683399270621367</v>
      </c>
      <c r="D132" s="111">
        <v>0.3</v>
      </c>
      <c r="F132" s="111">
        <v>0.2</v>
      </c>
      <c r="G132" s="111">
        <v>0.2</v>
      </c>
      <c r="H132" s="111">
        <v>0.2</v>
      </c>
      <c r="I132" s="111">
        <v>0.2</v>
      </c>
      <c r="J132" s="111">
        <v>0.2</v>
      </c>
      <c r="K132" s="111"/>
      <c r="L132" s="111"/>
      <c r="Q132" s="109"/>
    </row>
    <row r="133" spans="1:17" x14ac:dyDescent="0.2">
      <c r="A133" s="33" t="s">
        <v>85</v>
      </c>
      <c r="B133" s="53">
        <f>B131/B132</f>
        <v>34258.835910926566</v>
      </c>
      <c r="D133" s="111">
        <v>0.4</v>
      </c>
      <c r="F133" s="111"/>
      <c r="G133" s="111">
        <v>0.2</v>
      </c>
      <c r="H133" s="111"/>
      <c r="I133" s="111">
        <v>0.2</v>
      </c>
      <c r="J133" s="111"/>
      <c r="K133" s="111">
        <v>0.2</v>
      </c>
      <c r="L133" s="111"/>
      <c r="M133" s="111">
        <v>0.2</v>
      </c>
      <c r="O133" s="111">
        <v>0.2</v>
      </c>
      <c r="Q133" s="109"/>
    </row>
    <row r="134" spans="1:17" x14ac:dyDescent="0.2">
      <c r="A134" s="33" t="s">
        <v>9</v>
      </c>
      <c r="B134" s="60">
        <f>B133*12</f>
        <v>411106.03093111876</v>
      </c>
      <c r="D134" t="s">
        <v>84</v>
      </c>
      <c r="F134" s="112">
        <f>($D131*F131)+($D132*F132)+($D133*F133)</f>
        <v>0.13500000000000001</v>
      </c>
      <c r="G134" s="112">
        <f>($D$42*G131)+($D$43*G132)+($D$44*G133)</f>
        <v>0.21000000000000002</v>
      </c>
      <c r="H134" s="112">
        <f>($D$42*H131)+($D$43*H132)+($D$44*H133)</f>
        <v>0.13</v>
      </c>
      <c r="I134" s="112">
        <f t="shared" ref="I134:Q134" si="32">($D$42*I131)+($D$43*I132)+($D$44*I133)</f>
        <v>0.21000000000000002</v>
      </c>
      <c r="J134" s="112">
        <f t="shared" si="32"/>
        <v>8.0000000000000016E-2</v>
      </c>
      <c r="K134" s="112">
        <f t="shared" si="32"/>
        <v>8.0000000000000016E-2</v>
      </c>
      <c r="L134" s="112">
        <f t="shared" si="32"/>
        <v>0</v>
      </c>
      <c r="M134" s="112">
        <f t="shared" si="32"/>
        <v>8.0000000000000016E-2</v>
      </c>
      <c r="N134" s="112">
        <f t="shared" si="32"/>
        <v>0</v>
      </c>
      <c r="O134" s="112">
        <f t="shared" si="32"/>
        <v>8.0000000000000016E-2</v>
      </c>
      <c r="P134" s="112">
        <f t="shared" si="32"/>
        <v>0</v>
      </c>
      <c r="Q134" s="127">
        <f t="shared" si="32"/>
        <v>0</v>
      </c>
    </row>
    <row r="135" spans="1:17" x14ac:dyDescent="0.2">
      <c r="A135" s="71"/>
      <c r="B135" s="44"/>
      <c r="C135" s="44"/>
      <c r="D135" s="44"/>
      <c r="E135" s="44"/>
      <c r="F135" s="44">
        <f>SUMPRODUCT(F134:Q134,F130:Q130)</f>
        <v>4.1050000000000004</v>
      </c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113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F32E2-97C6-564D-BEB7-54174275DBD3}">
  <sheetPr>
    <tabColor theme="9"/>
  </sheetPr>
  <dimension ref="A1:V24"/>
  <sheetViews>
    <sheetView tabSelected="1" topLeftCell="L2" zoomScale="140" zoomScaleNormal="140" workbookViewId="0">
      <selection activeCell="T3" sqref="T3"/>
    </sheetView>
  </sheetViews>
  <sheetFormatPr baseColWidth="10" defaultColWidth="11" defaultRowHeight="16" x14ac:dyDescent="0.2"/>
  <cols>
    <col min="1" max="1" width="1.83203125" customWidth="1"/>
    <col min="2" max="2" width="19.5" customWidth="1"/>
    <col min="3" max="3" width="12.6640625" customWidth="1"/>
    <col min="4" max="4" width="11.83203125" bestFit="1" customWidth="1"/>
    <col min="5" max="5" width="11.83203125" customWidth="1"/>
    <col min="6" max="6" width="0.1640625" hidden="1" customWidth="1"/>
    <col min="7" max="7" width="11.83203125" customWidth="1"/>
    <col min="8" max="8" width="11.83203125" bestFit="1" customWidth="1"/>
    <col min="9" max="11" width="11.1640625" customWidth="1"/>
    <col min="12" max="12" width="11.6640625" customWidth="1"/>
    <col min="13" max="13" width="12.1640625" customWidth="1"/>
    <col min="14" max="14" width="11.33203125" bestFit="1" customWidth="1"/>
    <col min="16" max="18" width="8.33203125" bestFit="1" customWidth="1"/>
    <col min="19" max="20" width="8.33203125" customWidth="1"/>
    <col min="21" max="21" width="5.6640625" bestFit="1" customWidth="1"/>
  </cols>
  <sheetData>
    <row r="1" spans="1:22" s="2" customFormat="1" ht="8" customHeight="1" x14ac:dyDescent="0.2">
      <c r="B1" s="1"/>
    </row>
    <row r="2" spans="1:22" s="2" customFormat="1" ht="18" x14ac:dyDescent="0.2">
      <c r="B2" s="1" t="s">
        <v>75</v>
      </c>
    </row>
    <row r="3" spans="1:22" s="2" customFormat="1" x14ac:dyDescent="0.2">
      <c r="B3" s="2" t="s">
        <v>60</v>
      </c>
    </row>
    <row r="4" spans="1:22" s="2" customFormat="1" ht="17" thickBot="1" x14ac:dyDescent="0.25">
      <c r="B4" s="2" t="s">
        <v>61</v>
      </c>
    </row>
    <row r="5" spans="1:22" s="2" customFormat="1" ht="17" thickBot="1" x14ac:dyDescent="0.25">
      <c r="B5" s="260"/>
      <c r="C5" s="260"/>
      <c r="D5" s="260"/>
      <c r="E5" s="260"/>
      <c r="F5" s="260"/>
      <c r="G5" s="187"/>
      <c r="H5" s="424">
        <v>2026</v>
      </c>
      <c r="I5" s="424"/>
      <c r="J5" s="349"/>
      <c r="K5" s="349"/>
      <c r="L5" s="425">
        <v>2025</v>
      </c>
      <c r="M5" s="425"/>
      <c r="N5" s="425"/>
      <c r="P5" s="426" t="s">
        <v>222</v>
      </c>
      <c r="Q5" s="427"/>
      <c r="R5" s="427"/>
      <c r="S5" s="428"/>
      <c r="T5" s="428"/>
      <c r="U5" s="429"/>
    </row>
    <row r="6" spans="1:22" ht="17" thickBot="1" x14ac:dyDescent="0.25">
      <c r="A6" s="328"/>
      <c r="B6" s="333" t="s">
        <v>62</v>
      </c>
      <c r="C6" s="315" t="s">
        <v>225</v>
      </c>
      <c r="D6" s="315" t="s">
        <v>163</v>
      </c>
      <c r="E6" s="315" t="s">
        <v>78</v>
      </c>
      <c r="F6" s="315" t="s">
        <v>223</v>
      </c>
      <c r="G6" s="316" t="s">
        <v>63</v>
      </c>
      <c r="H6" s="334" t="s">
        <v>64</v>
      </c>
      <c r="I6" s="335" t="s">
        <v>142</v>
      </c>
      <c r="J6" s="335" t="s">
        <v>232</v>
      </c>
      <c r="K6" s="335" t="s">
        <v>238</v>
      </c>
      <c r="L6" s="334" t="s">
        <v>64</v>
      </c>
      <c r="M6" s="335" t="s">
        <v>142</v>
      </c>
      <c r="N6" s="334" t="s">
        <v>224</v>
      </c>
      <c r="P6" s="189" t="s">
        <v>199</v>
      </c>
      <c r="Q6" s="154" t="s">
        <v>221</v>
      </c>
      <c r="R6" s="154" t="s">
        <v>207</v>
      </c>
      <c r="S6" s="154" t="s">
        <v>234</v>
      </c>
      <c r="T6" s="154" t="s">
        <v>242</v>
      </c>
      <c r="U6" s="343" t="s">
        <v>42</v>
      </c>
      <c r="V6" s="154" t="s">
        <v>235</v>
      </c>
    </row>
    <row r="7" spans="1:22" x14ac:dyDescent="0.2">
      <c r="A7" s="328"/>
      <c r="B7" s="331" t="str">
        <f>Growth!B7</f>
        <v>Products</v>
      </c>
      <c r="C7" s="62">
        <f>Growth!N7</f>
        <v>2000000</v>
      </c>
      <c r="D7" s="62">
        <f>Capacity!C11</f>
        <v>2462400</v>
      </c>
      <c r="E7" s="62">
        <f>Collection!B12</f>
        <v>3014068.0110497237</v>
      </c>
      <c r="F7" s="309">
        <f>E7*1.3</f>
        <v>3918288.4143646411</v>
      </c>
      <c r="G7" s="7">
        <f>AVERAGE(C7:E7)</f>
        <v>2492156.0036832411</v>
      </c>
      <c r="H7" s="400">
        <v>2500000</v>
      </c>
      <c r="I7" s="310">
        <f>H7/12</f>
        <v>208333.33333333334</v>
      </c>
      <c r="J7" s="310">
        <f>I7/(Table57[[#This Row],[2025]]*1.14)</f>
        <v>166.13503455608719</v>
      </c>
      <c r="K7" s="310">
        <v>1</v>
      </c>
      <c r="L7" s="177">
        <f>Growth!M7</f>
        <v>2140293.15</v>
      </c>
      <c r="M7" s="310">
        <f>L7/12</f>
        <v>178357.76249999998</v>
      </c>
      <c r="N7" s="177">
        <f>M7*Table57[[#This Row],[%]]</f>
        <v>218893.61761363634</v>
      </c>
      <c r="P7" s="344">
        <f>Table5[[#This Row],[2022]]</f>
        <v>575</v>
      </c>
      <c r="Q7" s="303">
        <f>Table5[[#This Row],[2023]]</f>
        <v>625</v>
      </c>
      <c r="R7" s="303">
        <f>Table5[[#This Row],[2024]]</f>
        <v>800</v>
      </c>
      <c r="S7" s="303">
        <f>Table5[[#This Row],[2025]]</f>
        <v>1100</v>
      </c>
      <c r="T7" s="303">
        <v>1350</v>
      </c>
      <c r="U7" s="345">
        <f>Table57[[#This Row],[2026]]/Table57[[#This Row],[2025]]</f>
        <v>1.2272727272727273</v>
      </c>
      <c r="V7" s="62">
        <f>Table57[[#This Row],[2026]]/$T$15</f>
        <v>27.551020408163264</v>
      </c>
    </row>
    <row r="8" spans="1:22" x14ac:dyDescent="0.2">
      <c r="A8" s="328"/>
      <c r="B8" s="331" t="str">
        <f>Growth!B8</f>
        <v>PHP</v>
      </c>
      <c r="C8" s="62">
        <f>Growth!N8</f>
        <v>4700000</v>
      </c>
      <c r="D8" s="62">
        <f>Capacity!D11</f>
        <v>4813992</v>
      </c>
      <c r="E8" s="62">
        <f>Collection!B11</f>
        <v>5074263.764929588</v>
      </c>
      <c r="F8" s="309">
        <f t="shared" ref="F8:F14" si="0">E8*1.3</f>
        <v>6596542.8944084644</v>
      </c>
      <c r="G8" s="7">
        <f>AVERAGE(C8:E8)</f>
        <v>4862751.9216431966</v>
      </c>
      <c r="H8" s="400">
        <v>4800000</v>
      </c>
      <c r="I8" s="310">
        <f>H8/12</f>
        <v>400000</v>
      </c>
      <c r="J8" s="310">
        <f>I8/(Table57[[#This Row],[2025]]*1.14)</f>
        <v>359.87404408457041</v>
      </c>
      <c r="K8" s="310">
        <v>3</v>
      </c>
      <c r="L8" s="177">
        <f>Growth!M8</f>
        <v>3678723.555569455</v>
      </c>
      <c r="M8" s="310">
        <f t="shared" ref="M8:M14" si="1">L8/12</f>
        <v>306560.29629745457</v>
      </c>
      <c r="N8" s="177">
        <f>M8*Table57[[#This Row],[%]]</f>
        <v>361583.93922263873</v>
      </c>
      <c r="P8" s="346">
        <f>Table5[[#This Row],[2022]]</f>
        <v>575</v>
      </c>
      <c r="Q8" s="173">
        <f>Table5[[#This Row],[2023]]</f>
        <v>625</v>
      </c>
      <c r="R8" s="173">
        <f>Table5[[#This Row],[2024]]</f>
        <v>800</v>
      </c>
      <c r="S8" s="173">
        <f>Table5[[#This Row],[2025]]</f>
        <v>975</v>
      </c>
      <c r="T8" s="173">
        <f>Table5[[#This Row],[2026]]</f>
        <v>1150</v>
      </c>
      <c r="U8" s="345">
        <f>Table57[[#This Row],[2026]]/Table57[[#This Row],[2025]]</f>
        <v>1.1794871794871795</v>
      </c>
      <c r="V8" s="62">
        <f>Table57[[#This Row],[2026]]/$T$15</f>
        <v>23.469387755102041</v>
      </c>
    </row>
    <row r="9" spans="1:22" x14ac:dyDescent="0.2">
      <c r="A9" s="328"/>
      <c r="B9" s="331" t="s">
        <v>208</v>
      </c>
      <c r="C9" s="62">
        <f>Growth!N9</f>
        <v>4400000</v>
      </c>
      <c r="D9" s="62">
        <f>Capacity!E11</f>
        <v>4813992</v>
      </c>
      <c r="E9" s="181">
        <f>Collection!B17</f>
        <v>2584367.034654649</v>
      </c>
      <c r="F9" s="309">
        <f t="shared" si="0"/>
        <v>3359677.1450510439</v>
      </c>
      <c r="G9" s="7">
        <f t="shared" ref="G9:G14" si="2">AVERAGE(C9:E9)</f>
        <v>3932786.3448848831</v>
      </c>
      <c r="H9" s="401">
        <v>4200000</v>
      </c>
      <c r="I9" s="310">
        <f t="shared" ref="I9:I14" si="3">H9/12</f>
        <v>350000</v>
      </c>
      <c r="J9" s="310">
        <f>I9/(Table57[[#This Row],[2025]]*1.14)</f>
        <v>314.88978857399911</v>
      </c>
      <c r="K9" s="310">
        <v>3</v>
      </c>
      <c r="L9" s="177">
        <f>Growth!M9</f>
        <v>3514572.5018181815</v>
      </c>
      <c r="M9" s="310">
        <f t="shared" si="1"/>
        <v>292881.04181818181</v>
      </c>
      <c r="N9" s="177">
        <f>M9*Table57[[#This Row],[%]]</f>
        <v>345449.43393939396</v>
      </c>
      <c r="P9" s="346">
        <f>Table5[[#This Row],[2022]]</f>
        <v>525</v>
      </c>
      <c r="Q9" s="173">
        <f>Table5[[#This Row],[2023]]</f>
        <v>575</v>
      </c>
      <c r="R9" s="173">
        <f>Table5[[#This Row],[2024]]</f>
        <v>800</v>
      </c>
      <c r="S9" s="173">
        <f>Table5[[#This Row],[2025]]</f>
        <v>975</v>
      </c>
      <c r="T9" s="173">
        <f>Table5[[#This Row],[2026]]</f>
        <v>1150</v>
      </c>
      <c r="U9" s="345">
        <f>Table57[[#This Row],[2026]]/Table57[[#This Row],[2025]]</f>
        <v>1.1794871794871795</v>
      </c>
      <c r="V9" s="62">
        <f>Table57[[#This Row],[2026]]/$T$15</f>
        <v>23.469387755102041</v>
      </c>
    </row>
    <row r="10" spans="1:22" x14ac:dyDescent="0.2">
      <c r="A10" s="328"/>
      <c r="B10" s="331" t="str">
        <f>Growth!B10</f>
        <v>Mobile Development</v>
      </c>
      <c r="C10" s="62">
        <f>Growth!N10</f>
        <v>2500000</v>
      </c>
      <c r="D10" s="62">
        <f>Capacity!F11</f>
        <v>1699055.9999999998</v>
      </c>
      <c r="E10" s="62">
        <f>Collection!B15</f>
        <v>3004332.9418908134</v>
      </c>
      <c r="F10" s="309">
        <f t="shared" si="0"/>
        <v>3905632.8244580575</v>
      </c>
      <c r="G10" s="7">
        <f t="shared" si="2"/>
        <v>2401129.6472969376</v>
      </c>
      <c r="H10" s="400">
        <v>2000000</v>
      </c>
      <c r="I10" s="310">
        <f t="shared" si="3"/>
        <v>166666.66666666666</v>
      </c>
      <c r="J10" s="310">
        <f>I10/(Table57[[#This Row],[2025]]*1.14)</f>
        <v>149.947518368571</v>
      </c>
      <c r="K10" s="310">
        <v>1</v>
      </c>
      <c r="L10" s="177">
        <f>Growth!M10</f>
        <v>1442787.4651636363</v>
      </c>
      <c r="M10" s="310">
        <f t="shared" si="1"/>
        <v>120232.28876363636</v>
      </c>
      <c r="N10" s="177">
        <f>M10*Table57[[#This Row],[%]]</f>
        <v>141812.44315710955</v>
      </c>
      <c r="P10" s="346">
        <f>Table5[[#This Row],[2022]]</f>
        <v>575</v>
      </c>
      <c r="Q10" s="173">
        <f>Table5[[#This Row],[2023]]</f>
        <v>625</v>
      </c>
      <c r="R10" s="173">
        <f>Table5[[#This Row],[2024]]</f>
        <v>800</v>
      </c>
      <c r="S10" s="173">
        <f>Table5[[#This Row],[2025]]</f>
        <v>975</v>
      </c>
      <c r="T10" s="173">
        <f>Table5[[#This Row],[2026]]</f>
        <v>1150</v>
      </c>
      <c r="U10" s="345">
        <f>Table57[[#This Row],[2026]]/Table57[[#This Row],[2025]]</f>
        <v>1.1794871794871795</v>
      </c>
      <c r="V10" s="62">
        <f>Table57[[#This Row],[2026]]/$T$15</f>
        <v>23.469387755102041</v>
      </c>
    </row>
    <row r="11" spans="1:22" x14ac:dyDescent="0.2">
      <c r="A11" s="328"/>
      <c r="B11" s="331" t="str">
        <f>Growth!B11</f>
        <v>Support Contracts</v>
      </c>
      <c r="C11" s="62">
        <f>Growth!N11</f>
        <v>0</v>
      </c>
      <c r="D11" s="62">
        <f>Capacity!G11</f>
        <v>0</v>
      </c>
      <c r="E11" s="62">
        <v>0</v>
      </c>
      <c r="F11" s="309">
        <f t="shared" si="0"/>
        <v>0</v>
      </c>
      <c r="G11" s="7">
        <f t="shared" si="2"/>
        <v>0</v>
      </c>
      <c r="H11" s="400"/>
      <c r="I11" s="310">
        <f t="shared" si="3"/>
        <v>0</v>
      </c>
      <c r="J11" s="310"/>
      <c r="K11" s="310">
        <v>0</v>
      </c>
      <c r="L11" s="177"/>
      <c r="M11" s="310">
        <f t="shared" si="1"/>
        <v>0</v>
      </c>
      <c r="N11" s="177">
        <f>M11*Table57[[#This Row],[%]]</f>
        <v>0</v>
      </c>
      <c r="P11" s="346">
        <f>Table5[[#This Row],[2022]]</f>
        <v>525</v>
      </c>
      <c r="Q11" s="173">
        <f>Table5[[#This Row],[2023]]</f>
        <v>587.5</v>
      </c>
      <c r="R11" s="173">
        <f>Table5[[#This Row],[2024]]</f>
        <v>762.5</v>
      </c>
      <c r="S11" s="173">
        <v>0</v>
      </c>
      <c r="T11" s="173">
        <v>0</v>
      </c>
      <c r="U11" s="173">
        <v>0</v>
      </c>
      <c r="V11" s="62">
        <f>Table57[[#This Row],[2026]]/$T$15</f>
        <v>0</v>
      </c>
    </row>
    <row r="12" spans="1:22" x14ac:dyDescent="0.2">
      <c r="A12" s="328"/>
      <c r="B12" s="331" t="str">
        <f>Growth!B12</f>
        <v>Websites</v>
      </c>
      <c r="C12" s="3">
        <f>Growth!N12</f>
        <v>1100000</v>
      </c>
      <c r="D12" s="3">
        <f>Capacity!H11</f>
        <v>1378943.9999999998</v>
      </c>
      <c r="E12" s="3">
        <f>Collection!B13</f>
        <v>1027761.990424764</v>
      </c>
      <c r="F12" s="309">
        <f t="shared" si="0"/>
        <v>1336090.5875521933</v>
      </c>
      <c r="G12" s="7">
        <f t="shared" si="2"/>
        <v>1168901.9968082546</v>
      </c>
      <c r="H12" s="400">
        <v>1100000</v>
      </c>
      <c r="I12" s="310">
        <f t="shared" si="3"/>
        <v>91666.666666666672</v>
      </c>
      <c r="J12" s="310">
        <f>I12/(Table57[[#This Row],[2025]]*1.14)</f>
        <v>91.896407685881385</v>
      </c>
      <c r="K12" s="310">
        <v>1</v>
      </c>
      <c r="L12" s="177">
        <f>Growth!M12</f>
        <v>694293.42777818174</v>
      </c>
      <c r="M12" s="310">
        <f t="shared" si="1"/>
        <v>57857.785648181809</v>
      </c>
      <c r="N12" s="177">
        <f>M12*Table57[[#This Row],[%]]</f>
        <v>69429.342777818165</v>
      </c>
      <c r="P12" s="346">
        <f>Table5[[#This Row],[2022]]</f>
        <v>475</v>
      </c>
      <c r="Q12" s="173">
        <f>Table5[[#This Row],[2023]]</f>
        <v>550</v>
      </c>
      <c r="R12" s="173">
        <f>Table5[[#This Row],[2024]]</f>
        <v>725</v>
      </c>
      <c r="S12" s="173">
        <f>Table5[[#This Row],[2025]]</f>
        <v>875</v>
      </c>
      <c r="T12" s="173">
        <f>Table5[[#This Row],[2026]]</f>
        <v>1050</v>
      </c>
      <c r="U12" s="345">
        <f>Table57[[#This Row],[2026]]/Table57[[#This Row],[2025]]</f>
        <v>1.2</v>
      </c>
      <c r="V12" s="62">
        <f>Table57[[#This Row],[2026]]/$T$15</f>
        <v>21.428571428571427</v>
      </c>
    </row>
    <row r="13" spans="1:22" x14ac:dyDescent="0.2">
      <c r="A13" s="328"/>
      <c r="B13" s="331" t="s">
        <v>161</v>
      </c>
      <c r="C13" s="3">
        <f>Growth!N13</f>
        <v>400000</v>
      </c>
      <c r="D13" s="3">
        <f>Capacity!I11</f>
        <v>474012</v>
      </c>
      <c r="E13" s="301">
        <f>Collection!B16</f>
        <v>411106.03093111876</v>
      </c>
      <c r="F13" s="309">
        <f t="shared" si="0"/>
        <v>534437.84021045442</v>
      </c>
      <c r="G13" s="7">
        <f t="shared" si="2"/>
        <v>428372.67697703961</v>
      </c>
      <c r="H13" s="400">
        <v>420000</v>
      </c>
      <c r="I13" s="310">
        <f t="shared" si="3"/>
        <v>35000</v>
      </c>
      <c r="J13" s="310">
        <f>I13/(Table57[[#This Row],[2025]]*1.14)</f>
        <v>35.087719298245617</v>
      </c>
      <c r="K13" s="310">
        <v>1</v>
      </c>
      <c r="L13" s="177">
        <f>Growth!M13</f>
        <v>314078.47505454539</v>
      </c>
      <c r="M13" s="310">
        <f t="shared" si="1"/>
        <v>26173.20625454545</v>
      </c>
      <c r="N13" s="177">
        <f>M13*Table57[[#This Row],[%]]</f>
        <v>31407.847505454538</v>
      </c>
      <c r="P13" s="346">
        <f>Table5[[#This Row],[2022]]</f>
        <v>0</v>
      </c>
      <c r="Q13" s="173">
        <f>Table5[[#This Row],[2023]]</f>
        <v>550</v>
      </c>
      <c r="R13" s="173">
        <f>Table5[[#This Row],[2024]]</f>
        <v>725</v>
      </c>
      <c r="S13" s="173">
        <f>Table5[[#This Row],[2025]]</f>
        <v>875</v>
      </c>
      <c r="T13" s="173">
        <f>Table5[[#This Row],[2026]]</f>
        <v>1050</v>
      </c>
      <c r="U13" s="345">
        <f>Table57[[#This Row],[2026]]/Table57[[#This Row],[2025]]</f>
        <v>1.2</v>
      </c>
      <c r="V13" s="62">
        <f>Table57[[#This Row],[2026]]/$T$15</f>
        <v>21.428571428571427</v>
      </c>
    </row>
    <row r="14" spans="1:22" ht="17" thickBot="1" x14ac:dyDescent="0.25">
      <c r="A14" s="328"/>
      <c r="B14" s="337" t="str">
        <f>Growth!B14</f>
        <v>Hosting</v>
      </c>
      <c r="C14" s="338">
        <f>Growth!N14</f>
        <v>362000</v>
      </c>
      <c r="D14" s="355"/>
      <c r="E14" s="338">
        <f>Table124[[#This Row],[Total]]</f>
        <v>945997.35846117232</v>
      </c>
      <c r="F14" s="339">
        <f t="shared" si="0"/>
        <v>1229796.565999524</v>
      </c>
      <c r="G14" s="340">
        <f t="shared" si="2"/>
        <v>653998.67923058616</v>
      </c>
      <c r="H14" s="402">
        <v>380000</v>
      </c>
      <c r="I14" s="342">
        <f t="shared" si="3"/>
        <v>31666.666666666668</v>
      </c>
      <c r="J14" s="310">
        <f>I14/(Table57[[#This Row],[2025]]*1.14)</f>
        <v>3.1573011642232318</v>
      </c>
      <c r="K14" s="310">
        <v>0</v>
      </c>
      <c r="L14" s="341">
        <f>Growth!M14</f>
        <v>376829.19485301821</v>
      </c>
      <c r="M14" s="342">
        <f t="shared" si="1"/>
        <v>31402.432904418183</v>
      </c>
      <c r="N14" s="341">
        <f>M14*Table57[[#This Row],[%]]</f>
        <v>30184.787546899926</v>
      </c>
      <c r="P14" s="173">
        <f t="shared" ref="P14:R14" si="4">120*P15*1.05*1.14</f>
        <v>2243.6567999999997</v>
      </c>
      <c r="Q14" s="173">
        <f t="shared" si="4"/>
        <v>3418.6320000000001</v>
      </c>
      <c r="R14" s="173">
        <f t="shared" si="4"/>
        <v>4444.2215999999999</v>
      </c>
      <c r="S14" s="173">
        <f>Table5[[#This Row],[2025]]</f>
        <v>8797.9499999999989</v>
      </c>
      <c r="T14" s="173">
        <f>Table5[[#This Row],[2026]]</f>
        <v>8456.8049999999985</v>
      </c>
      <c r="U14" s="345">
        <f>Table57[[#This Row],[2026]]/Table57[[#This Row],[2025]]</f>
        <v>0.96122448979591835</v>
      </c>
      <c r="V14" s="62">
        <f>Table57[[#This Row],[2026]]/$T$15</f>
        <v>172.5878571428571</v>
      </c>
    </row>
    <row r="15" spans="1:22" ht="17" thickBot="1" x14ac:dyDescent="0.25">
      <c r="A15" s="328"/>
      <c r="B15" s="332" t="s">
        <v>9</v>
      </c>
      <c r="C15" s="329">
        <f>SUM(C7:C14)</f>
        <v>15462000</v>
      </c>
      <c r="D15" s="330">
        <f t="shared" ref="D15:L15" si="5">SUM(D7:D14)</f>
        <v>15642396</v>
      </c>
      <c r="E15" s="330">
        <f t="shared" si="5"/>
        <v>16061897.132341828</v>
      </c>
      <c r="F15" s="330">
        <f t="shared" si="5"/>
        <v>20880466.272044376</v>
      </c>
      <c r="G15" s="336">
        <f t="shared" si="5"/>
        <v>15940097.270524139</v>
      </c>
      <c r="H15" s="336">
        <f t="shared" si="5"/>
        <v>15400000</v>
      </c>
      <c r="I15" s="178">
        <f t="shared" si="5"/>
        <v>1283333.3333333335</v>
      </c>
      <c r="J15" s="178"/>
      <c r="K15" s="178"/>
      <c r="L15" s="178">
        <f t="shared" si="5"/>
        <v>12161577.770237021</v>
      </c>
      <c r="M15" s="311">
        <f>SUM(M7:M14)</f>
        <v>1013464.8141864183</v>
      </c>
      <c r="N15" s="178">
        <f>SUM(N7:N14)</f>
        <v>1198761.4117629509</v>
      </c>
      <c r="P15" s="347">
        <f>Table5[[#This Row],[2022]]</f>
        <v>15.62</v>
      </c>
      <c r="Q15" s="348">
        <f>Table5[[#This Row],[2023]]</f>
        <v>23.8</v>
      </c>
      <c r="R15" s="348">
        <f>Table5[[#This Row],[2024]]</f>
        <v>30.94</v>
      </c>
      <c r="S15" s="348">
        <v>47.65</v>
      </c>
      <c r="T15" s="52">
        <v>49</v>
      </c>
      <c r="U15" s="345">
        <f>Table57[[#This Row],[2026]]/Table57[[#This Row],[2025]]</f>
        <v>1.0283315844700944</v>
      </c>
      <c r="V15" s="62">
        <f>Table57[[#This Row],[2026]]/$T$15</f>
        <v>1</v>
      </c>
    </row>
    <row r="16" spans="1:22" x14ac:dyDescent="0.2">
      <c r="C16" s="302"/>
      <c r="H16" s="77">
        <f>H15/L15</f>
        <v>1.2662830671270595</v>
      </c>
    </row>
    <row r="17" spans="2:2" x14ac:dyDescent="0.2">
      <c r="B17" s="2"/>
    </row>
    <row r="18" spans="2:2" x14ac:dyDescent="0.2">
      <c r="B18" s="2"/>
    </row>
    <row r="19" spans="2:2" x14ac:dyDescent="0.2">
      <c r="B19" s="2"/>
    </row>
    <row r="20" spans="2:2" x14ac:dyDescent="0.2">
      <c r="B20" s="2"/>
    </row>
    <row r="21" spans="2:2" x14ac:dyDescent="0.2">
      <c r="B21" s="2"/>
    </row>
    <row r="22" spans="2:2" x14ac:dyDescent="0.2">
      <c r="B22" s="2"/>
    </row>
    <row r="23" spans="2:2" x14ac:dyDescent="0.2">
      <c r="B23" s="2"/>
    </row>
    <row r="24" spans="2:2" x14ac:dyDescent="0.2">
      <c r="B24" s="2"/>
    </row>
  </sheetData>
  <mergeCells count="3">
    <mergeCell ref="H5:I5"/>
    <mergeCell ref="L5:N5"/>
    <mergeCell ref="P5:U5"/>
  </mergeCells>
  <phoneticPr fontId="32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7AA27-0F09-6745-A2ED-5816DFE7E941}">
  <sheetPr>
    <tabColor theme="6"/>
  </sheetPr>
  <dimension ref="B2:BG287"/>
  <sheetViews>
    <sheetView topLeftCell="A122" zoomScaleNormal="100" workbookViewId="0">
      <selection activeCell="O152" sqref="O152"/>
    </sheetView>
  </sheetViews>
  <sheetFormatPr baseColWidth="10" defaultColWidth="11" defaultRowHeight="16" x14ac:dyDescent="0.2"/>
  <cols>
    <col min="1" max="1" width="3.5" customWidth="1"/>
    <col min="2" max="2" width="42.6640625" bestFit="1" customWidth="1"/>
    <col min="3" max="3" width="12.83203125" customWidth="1"/>
    <col min="4" max="5" width="12.33203125" bestFit="1" customWidth="1"/>
    <col min="7" max="7" width="11.83203125" bestFit="1" customWidth="1"/>
    <col min="10" max="10" width="13.5" customWidth="1"/>
    <col min="11" max="12" width="11.1640625" bestFit="1" customWidth="1"/>
    <col min="13" max="14" width="11.5" bestFit="1" customWidth="1"/>
  </cols>
  <sheetData>
    <row r="2" spans="2:59" ht="18" x14ac:dyDescent="0.2">
      <c r="B2" s="1" t="s">
        <v>89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</row>
    <row r="3" spans="2:59" x14ac:dyDescent="0.2">
      <c r="B3" s="2" t="s">
        <v>90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</row>
    <row r="4" spans="2:59" x14ac:dyDescent="0.2">
      <c r="B4" s="2" t="s">
        <v>91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2:59" ht="17" thickBot="1" x14ac:dyDescent="0.25">
      <c r="B5" s="2"/>
      <c r="C5" s="2"/>
      <c r="D5" s="2"/>
      <c r="E5" s="2"/>
      <c r="F5" s="2"/>
      <c r="G5" s="2"/>
      <c r="H5" s="2"/>
      <c r="I5" s="12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2:59" x14ac:dyDescent="0.2">
      <c r="B6" s="18" t="s">
        <v>92</v>
      </c>
      <c r="C6" s="19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2:59" x14ac:dyDescent="0.2">
      <c r="B7" s="129" t="s">
        <v>93</v>
      </c>
      <c r="C7" s="130" t="s">
        <v>14</v>
      </c>
      <c r="D7" s="2"/>
      <c r="E7" s="2"/>
      <c r="F7" s="2"/>
      <c r="G7" s="12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2:59" x14ac:dyDescent="0.2">
      <c r="B8" s="6" t="s">
        <v>94</v>
      </c>
      <c r="C8" s="131">
        <v>0.08</v>
      </c>
      <c r="D8" s="2"/>
      <c r="E8" s="2"/>
      <c r="F8" s="2"/>
      <c r="G8" s="12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2:59" x14ac:dyDescent="0.2">
      <c r="B9" s="6" t="s">
        <v>95</v>
      </c>
      <c r="C9" s="132"/>
      <c r="D9" s="2"/>
      <c r="E9" s="2"/>
      <c r="F9" s="2"/>
      <c r="G9" s="12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2:59" x14ac:dyDescent="0.2">
      <c r="B10" s="6" t="s">
        <v>96</v>
      </c>
      <c r="C10" s="133">
        <v>12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2:59" x14ac:dyDescent="0.2">
      <c r="B11" s="6" t="s">
        <v>97</v>
      </c>
      <c r="C11" s="134">
        <v>13.5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2:59" ht="17" thickBot="1" x14ac:dyDescent="0.25">
      <c r="B12" s="8" t="s">
        <v>98</v>
      </c>
      <c r="C12" s="135">
        <v>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2:59" ht="17" thickBot="1" x14ac:dyDescent="0.25">
      <c r="B13" s="2"/>
      <c r="C13" s="2"/>
      <c r="D13" s="2"/>
      <c r="E13" s="2"/>
      <c r="F13" s="2"/>
      <c r="G13" s="2"/>
      <c r="H13" s="2"/>
      <c r="I13" s="2"/>
      <c r="J13" s="260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2:59" x14ac:dyDescent="0.2">
      <c r="B14" s="18" t="s">
        <v>99</v>
      </c>
      <c r="C14" s="136"/>
      <c r="D14" s="136"/>
      <c r="E14" s="430">
        <v>2024</v>
      </c>
      <c r="F14" s="431"/>
      <c r="G14" s="431"/>
      <c r="H14" s="431"/>
      <c r="I14" s="431"/>
      <c r="J14" s="432"/>
      <c r="K14" s="2"/>
      <c r="L14" s="2"/>
      <c r="M14" s="2"/>
      <c r="N14" s="2"/>
      <c r="O14" s="2"/>
      <c r="P14" s="2"/>
      <c r="Q14" s="2"/>
      <c r="R14" s="2"/>
      <c r="S14" s="2"/>
      <c r="T14" s="233"/>
      <c r="U14" s="233"/>
      <c r="V14" s="233"/>
      <c r="W14" s="233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2:59" ht="17" thickBot="1" x14ac:dyDescent="0.25">
      <c r="B15" s="275" t="s">
        <v>100</v>
      </c>
      <c r="C15" s="209" t="s">
        <v>101</v>
      </c>
      <c r="D15" s="261" t="s">
        <v>264</v>
      </c>
      <c r="E15" s="261" t="s">
        <v>242</v>
      </c>
      <c r="F15" s="210" t="s">
        <v>102</v>
      </c>
      <c r="G15" s="209" t="s">
        <v>189</v>
      </c>
      <c r="H15" s="209" t="s">
        <v>103</v>
      </c>
      <c r="I15" s="209" t="s">
        <v>104</v>
      </c>
      <c r="J15" s="209" t="s">
        <v>197</v>
      </c>
      <c r="K15" s="209" t="s">
        <v>271</v>
      </c>
      <c r="L15" s="2" t="s">
        <v>189</v>
      </c>
      <c r="M15" s="2"/>
      <c r="N15" s="2"/>
      <c r="O15" s="2"/>
      <c r="P15" s="2"/>
      <c r="Q15" s="234"/>
      <c r="R15" s="234"/>
      <c r="S15" s="234"/>
      <c r="T15" s="234"/>
      <c r="U15" s="234"/>
      <c r="V15" s="234"/>
      <c r="W15" s="234"/>
      <c r="X15" s="234"/>
      <c r="Y15" s="234"/>
      <c r="Z15" s="234"/>
      <c r="AA15" s="234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</row>
    <row r="16" spans="2:59" ht="17" thickTop="1" x14ac:dyDescent="0.2">
      <c r="B16" s="276" t="s">
        <v>105</v>
      </c>
      <c r="C16" s="139"/>
      <c r="D16" s="262"/>
      <c r="E16" s="262"/>
      <c r="F16" s="140"/>
      <c r="G16" s="213"/>
      <c r="H16" s="140"/>
      <c r="I16" s="140"/>
      <c r="J16" s="258">
        <f>Table4[[#This Row],[2025 Net]]*1.25</f>
        <v>0</v>
      </c>
      <c r="K16" s="128">
        <f>Table4[[#This Row],[2025 Net]]*1.15</f>
        <v>0</v>
      </c>
      <c r="L16" s="2"/>
      <c r="M16" s="2"/>
      <c r="N16" s="2"/>
      <c r="O16" s="2"/>
      <c r="P16" s="2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</row>
    <row r="17" spans="2:58" x14ac:dyDescent="0.2">
      <c r="B17" s="277" t="s">
        <v>106</v>
      </c>
      <c r="C17" s="147" t="s">
        <v>185</v>
      </c>
      <c r="D17" s="263">
        <v>19.5</v>
      </c>
      <c r="E17" s="263">
        <v>22.75</v>
      </c>
      <c r="F17" s="246">
        <f>Table4[[#This Row],[2026]]/140*1000</f>
        <v>162.5</v>
      </c>
      <c r="G17" s="141">
        <v>1.93</v>
      </c>
      <c r="H17" s="2">
        <v>1</v>
      </c>
      <c r="I17" s="211">
        <f>Table4[[#This Row],[2026]]/Table4[[#This Row],[2025 Net]]-1</f>
        <v>0.16666666666666674</v>
      </c>
      <c r="J17" s="258">
        <f>Table4[[#This Row],[2025 Net]]*1.25</f>
        <v>24.375</v>
      </c>
      <c r="K17" s="142">
        <f>Table4[[#This Row],[2025 Net]]*1.15</f>
        <v>22.424999999999997</v>
      </c>
      <c r="L17" s="143">
        <f>((MIN(Table4[[#This Row],[2026]]*0.8,9.4)*12)-13.5)*0.2975/12</f>
        <v>2.4618125000000002</v>
      </c>
      <c r="M17" s="2"/>
      <c r="N17" s="2"/>
      <c r="O17" s="2"/>
      <c r="P17" s="2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</row>
    <row r="18" spans="2:58" x14ac:dyDescent="0.2">
      <c r="B18" s="288" t="s">
        <v>107</v>
      </c>
      <c r="C18" s="289" t="s">
        <v>108</v>
      </c>
      <c r="D18" s="290">
        <v>40</v>
      </c>
      <c r="E18" s="290">
        <v>0</v>
      </c>
      <c r="F18" s="291">
        <f>Table4[[#This Row],[2026]]/140*1000</f>
        <v>0</v>
      </c>
      <c r="G18" s="292"/>
      <c r="H18" s="293">
        <v>1</v>
      </c>
      <c r="I18" s="294">
        <f>Table4[[#This Row],[2026]]/Table4[[#This Row],[2025 Net]]-1</f>
        <v>-1</v>
      </c>
      <c r="J18" s="258">
        <f>Table4[[#This Row],[2025 Net]]*1.25</f>
        <v>50</v>
      </c>
      <c r="K18" s="142">
        <f>Table4[[#This Row],[2025 Net]]*1.15</f>
        <v>46</v>
      </c>
      <c r="L18" s="143">
        <f>((MIN(Table4[[#This Row],[2026]]*0.8,9.4)*12)-13.5)*0.2975/12</f>
        <v>-0.33468749999999997</v>
      </c>
      <c r="M18" s="2"/>
      <c r="N18" s="2"/>
      <c r="O18" s="2"/>
      <c r="P18" s="2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</row>
    <row r="19" spans="2:58" x14ac:dyDescent="0.2">
      <c r="B19" s="277" t="s">
        <v>109</v>
      </c>
      <c r="C19" s="147" t="s">
        <v>110</v>
      </c>
      <c r="D19" s="263">
        <v>90</v>
      </c>
      <c r="E19" s="263">
        <v>104</v>
      </c>
      <c r="F19" s="246">
        <f>Table4[[#This Row],[2026]]/140*1000</f>
        <v>742.85714285714289</v>
      </c>
      <c r="G19" s="141">
        <f>MIN(Table4[[#This Row],[2026]],8.1)*0.2975</f>
        <v>2.4097499999999998</v>
      </c>
      <c r="H19" s="2">
        <v>1</v>
      </c>
      <c r="I19" s="211">
        <f>Table4[[#This Row],[2026]]/Table4[[#This Row],[2025 Net]]-1</f>
        <v>0.15555555555555545</v>
      </c>
      <c r="J19" s="258">
        <f>Table4[[#This Row],[2025 Net]]*1.25</f>
        <v>112.5</v>
      </c>
      <c r="K19" s="142">
        <f>Table4[[#This Row],[2025 Net]]*1.15</f>
        <v>103.49999999999999</v>
      </c>
      <c r="L19" s="143">
        <f>((MIN(Table4[[#This Row],[2026]]*0.8,9.4)*12)-13.5)*0.2975/12</f>
        <v>2.4618125000000002</v>
      </c>
      <c r="M19" s="2"/>
      <c r="N19" s="2"/>
      <c r="O19" s="2"/>
      <c r="P19" s="2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spans="2:58" x14ac:dyDescent="0.2">
      <c r="B20" s="278" t="s">
        <v>200</v>
      </c>
      <c r="C20" s="145" t="s">
        <v>112</v>
      </c>
      <c r="D20" s="263">
        <v>0</v>
      </c>
      <c r="E20" s="263"/>
      <c r="F20" s="246">
        <f>Table4[[#This Row],[2026]]/140*1000</f>
        <v>0</v>
      </c>
      <c r="G20" s="141">
        <f>MIN(Table4[[#This Row],[2026]],8.1)*0.2975</f>
        <v>2.4097499999999998</v>
      </c>
      <c r="H20" s="2">
        <v>1</v>
      </c>
      <c r="I20" s="211" t="e">
        <f>Table4[[#This Row],[2026]]/Table4[[#This Row],[2025 Net]]-1</f>
        <v>#DIV/0!</v>
      </c>
      <c r="J20" s="258">
        <f>Table4[[#This Row],[2025 Net]]*1.25</f>
        <v>0</v>
      </c>
      <c r="K20" s="142">
        <f>Table4[[#This Row],[2025 Net]]*1.15</f>
        <v>0</v>
      </c>
      <c r="L20" s="143">
        <f>((MIN(Table4[[#This Row],[2026]]*0.8,9.4)*12)-13.5)*0.2975/12</f>
        <v>-0.33468749999999997</v>
      </c>
      <c r="M20" s="2"/>
      <c r="N20" s="2"/>
      <c r="O20" s="2"/>
      <c r="P20" s="2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</row>
    <row r="21" spans="2:58" x14ac:dyDescent="0.2">
      <c r="B21" s="278" t="s">
        <v>111</v>
      </c>
      <c r="C21" s="145" t="s">
        <v>112</v>
      </c>
      <c r="D21" s="263">
        <v>0</v>
      </c>
      <c r="E21" s="263"/>
      <c r="F21" s="246">
        <f>Table4[[#This Row],[2026]]/140*1000</f>
        <v>0</v>
      </c>
      <c r="G21" s="141">
        <f>MIN(Table4[[#This Row],[2026]],8.1)*0.2975</f>
        <v>2.4097499999999998</v>
      </c>
      <c r="H21" s="2">
        <v>1</v>
      </c>
      <c r="I21" s="211" t="e">
        <f>Table4[[#This Row],[2026]]/Table4[[#This Row],[2025 Net]]-1</f>
        <v>#DIV/0!</v>
      </c>
      <c r="J21" s="258">
        <f>Table4[[#This Row],[2025 Net]]*1.25</f>
        <v>0</v>
      </c>
      <c r="K21" s="142">
        <f>Table4[[#This Row],[2025 Net]]*1.15</f>
        <v>0</v>
      </c>
      <c r="L21" s="143">
        <f>((MIN(Table4[[#This Row],[2026]]*0.8,9.4)*12)-13.5)*0.2975/12</f>
        <v>-0.33468749999999997</v>
      </c>
      <c r="M21" s="2"/>
      <c r="N21" s="2"/>
      <c r="O21" s="2"/>
      <c r="P21" s="2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</row>
    <row r="22" spans="2:58" x14ac:dyDescent="0.2">
      <c r="B22" s="277" t="s">
        <v>113</v>
      </c>
      <c r="C22" s="147"/>
      <c r="D22" s="263">
        <v>0</v>
      </c>
      <c r="E22" s="263"/>
      <c r="F22" s="246">
        <f>Table4[[#This Row],[2026]]/140*1000</f>
        <v>0</v>
      </c>
      <c r="G22" s="141">
        <f>MIN(Table4[[#This Row],[2026]],8.1)*0.2975</f>
        <v>2.4097499999999998</v>
      </c>
      <c r="H22" s="2">
        <v>1</v>
      </c>
      <c r="I22" s="211" t="e">
        <f>Table4[[#This Row],[2026]]/Table4[[#This Row],[2025 Net]]-1</f>
        <v>#DIV/0!</v>
      </c>
      <c r="J22" s="258">
        <f>Table4[[#This Row],[2025 Net]]*1.25</f>
        <v>0</v>
      </c>
      <c r="K22" s="142">
        <f>Table4[[#This Row],[2025 Net]]*1.15</f>
        <v>0</v>
      </c>
      <c r="L22" s="143">
        <f>((MIN(Table4[[#This Row],[2026]]*0.8,9.4)*12)-13.5)*0.2975/12</f>
        <v>-0.33468749999999997</v>
      </c>
      <c r="M22" s="2"/>
      <c r="N22" s="2"/>
      <c r="O22" s="2"/>
      <c r="P22" s="2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</row>
    <row r="23" spans="2:58" x14ac:dyDescent="0.2">
      <c r="B23" s="277" t="s">
        <v>114</v>
      </c>
      <c r="C23" s="147" t="s">
        <v>186</v>
      </c>
      <c r="D23" s="263">
        <v>19.5</v>
      </c>
      <c r="E23" s="263">
        <v>22.75</v>
      </c>
      <c r="F23" s="246">
        <f>Table4[[#This Row],[2026]]/140*1000</f>
        <v>162.5</v>
      </c>
      <c r="G23" s="141">
        <v>1.59</v>
      </c>
      <c r="H23" s="2">
        <v>1</v>
      </c>
      <c r="I23" s="211">
        <f>Table4[[#This Row],[2026]]/Table4[[#This Row],[2025 Net]]-1</f>
        <v>0.16666666666666674</v>
      </c>
      <c r="J23" s="258">
        <f>Table4[[#This Row],[2025 Net]]*1.25</f>
        <v>24.375</v>
      </c>
      <c r="K23" s="142">
        <f>Table4[[#This Row],[2025 Net]]*1.15</f>
        <v>22.424999999999997</v>
      </c>
      <c r="L23" s="143">
        <f>((MIN(Table4[[#This Row],[2026]]*0.8,9.4)*12)-13.5)*0.2975/12</f>
        <v>2.4618125000000002</v>
      </c>
      <c r="M23" s="2"/>
      <c r="N23" s="2"/>
      <c r="O23" s="2"/>
      <c r="P23" s="2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</row>
    <row r="24" spans="2:58" ht="17" thickBot="1" x14ac:dyDescent="0.25">
      <c r="B24" s="279" t="s">
        <v>115</v>
      </c>
      <c r="C24" s="151" t="s">
        <v>116</v>
      </c>
      <c r="D24" s="297">
        <v>12.5</v>
      </c>
      <c r="E24" s="297">
        <v>14.5</v>
      </c>
      <c r="F24" s="248">
        <f>Table4[[#This Row],[2026]]/140*1000</f>
        <v>103.57142857142858</v>
      </c>
      <c r="G24" s="152">
        <v>1.81</v>
      </c>
      <c r="H24" s="260">
        <v>1</v>
      </c>
      <c r="I24" s="212">
        <f>Table4[[#This Row],[2026]]/Table4[[#This Row],[2025 Net]]-1</f>
        <v>0.15999999999999992</v>
      </c>
      <c r="J24" s="259">
        <f>Table4[[#This Row],[2025 Net]]*1.25</f>
        <v>15.625</v>
      </c>
      <c r="K24" s="142">
        <f>Table4[[#This Row],[2025 Net]]*1.15</f>
        <v>14.374999999999998</v>
      </c>
      <c r="L24" s="143">
        <f>((MIN(Table4[[#This Row],[2026]]*0.8,9.4)*12)-13.5)*0.2975/12</f>
        <v>2.4618125000000002</v>
      </c>
      <c r="M24" s="2"/>
      <c r="N24" s="2"/>
      <c r="O24" s="2"/>
      <c r="P24" s="2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</row>
    <row r="25" spans="2:58" x14ac:dyDescent="0.2">
      <c r="B25" s="276" t="s">
        <v>215</v>
      </c>
      <c r="C25" s="241"/>
      <c r="D25" s="264"/>
      <c r="E25" s="264"/>
      <c r="F25" s="247"/>
      <c r="G25" s="146"/>
      <c r="H25" s="140"/>
      <c r="I25" s="140"/>
      <c r="J25" s="391">
        <f>Table4[[#This Row],[2025 Net]]*1.25</f>
        <v>0</v>
      </c>
      <c r="K25" s="142">
        <f>Table4[[#This Row],[2025 Net]]*1.15</f>
        <v>0</v>
      </c>
      <c r="L25" s="143">
        <f>((MIN(Table4[[#This Row],[2026]]*0.8,9.4)*12)-13.5)*0.2975/12</f>
        <v>-0.33468749999999997</v>
      </c>
      <c r="M25" s="2"/>
      <c r="N25" s="2"/>
      <c r="O25" s="2"/>
      <c r="P25" s="2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</row>
    <row r="26" spans="2:58" x14ac:dyDescent="0.2">
      <c r="B26" s="277" t="s">
        <v>117</v>
      </c>
      <c r="C26" s="149" t="str">
        <f>C19</f>
        <v>Samer</v>
      </c>
      <c r="D26" s="263">
        <f>D19</f>
        <v>90</v>
      </c>
      <c r="E26" s="263">
        <f>E19</f>
        <v>104</v>
      </c>
      <c r="F26" s="246">
        <f>Table4[[#This Row],[2026]]/140*1000</f>
        <v>742.85714285714289</v>
      </c>
      <c r="G26" s="141">
        <f>MIN(Table4[[#This Row],[2026]],8.1)*0.2975</f>
        <v>2.4097499999999998</v>
      </c>
      <c r="H26" s="2">
        <v>1</v>
      </c>
      <c r="I26" s="211">
        <f>Table4[[#This Row],[2026]]/Table4[[#This Row],[2025 Net]]-1</f>
        <v>0.15555555555555545</v>
      </c>
      <c r="J26" s="258">
        <f>Table4[[#This Row],[2025 Net]]*1.25</f>
        <v>112.5</v>
      </c>
      <c r="K26" s="142">
        <f>Table4[[#This Row],[2025 Net]]*1.15</f>
        <v>103.49999999999999</v>
      </c>
      <c r="L26" s="143">
        <f>((MIN(Table4[[#This Row],[2026]]*0.8,9.4)*12)-13.5)*0.2975/12</f>
        <v>2.4618125000000002</v>
      </c>
      <c r="M26" s="128"/>
      <c r="N26" s="2"/>
      <c r="O26" s="2"/>
      <c r="P26" s="2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</row>
    <row r="27" spans="2:58" x14ac:dyDescent="0.2">
      <c r="B27" s="288" t="s">
        <v>143</v>
      </c>
      <c r="C27" s="296" t="s">
        <v>108</v>
      </c>
      <c r="D27" s="290">
        <f>D18</f>
        <v>40</v>
      </c>
      <c r="E27" s="290">
        <f>E18</f>
        <v>0</v>
      </c>
      <c r="F27" s="291">
        <f>Table4[[#This Row],[2026]]/140*1000</f>
        <v>0</v>
      </c>
      <c r="G27" s="141">
        <f>MIN(Table4[[#This Row],[2026]],8.1)*0.2975</f>
        <v>0</v>
      </c>
      <c r="H27" s="293">
        <v>1</v>
      </c>
      <c r="I27" s="294">
        <f>Table4[[#This Row],[2026]]/Table4[[#This Row],[2025 Net]]-1</f>
        <v>-1</v>
      </c>
      <c r="J27" s="295">
        <f>Table4[[#This Row],[2025 Net]]*1.25</f>
        <v>50</v>
      </c>
      <c r="K27" s="142">
        <f>Table4[[#This Row],[2025 Net]]*1.15</f>
        <v>46</v>
      </c>
      <c r="L27" s="143">
        <f>((MIN(Table4[[#This Row],[2026]]*0.8,9.4)*12)-13.5)*0.2975/12</f>
        <v>-0.33468749999999997</v>
      </c>
      <c r="M27" s="128"/>
      <c r="N27" s="2"/>
      <c r="O27" s="2"/>
      <c r="P27" s="2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</row>
    <row r="28" spans="2:58" x14ac:dyDescent="0.2">
      <c r="B28" s="277" t="s">
        <v>118</v>
      </c>
      <c r="C28" s="149" t="s">
        <v>198</v>
      </c>
      <c r="D28" s="263">
        <v>30</v>
      </c>
      <c r="E28" s="263">
        <v>35</v>
      </c>
      <c r="F28" s="246">
        <f>Table4[[#This Row],[2026]]/140*1000</f>
        <v>250</v>
      </c>
      <c r="G28" s="141">
        <f>MIN(Table4[[#This Row],[2026]],8.1)*0.2975</f>
        <v>2.4097499999999998</v>
      </c>
      <c r="H28" s="2">
        <v>1</v>
      </c>
      <c r="I28" s="211">
        <f>Table4[[#This Row],[2026]]/Table4[[#This Row],[2025 Net]]-1</f>
        <v>0.16666666666666674</v>
      </c>
      <c r="J28" s="258">
        <f>Table4[[#This Row],[2025 Net]]*1.25</f>
        <v>37.5</v>
      </c>
      <c r="K28" s="142">
        <f>Table4[[#This Row],[2025 Net]]*1.15</f>
        <v>34.5</v>
      </c>
      <c r="L28" s="143">
        <f>((MIN(Table4[[#This Row],[2026]]*0.8,9.4)*12)-13.5)*0.2975/12</f>
        <v>2.4618125000000002</v>
      </c>
      <c r="M28" s="128"/>
      <c r="N28" s="2"/>
      <c r="O28" s="2"/>
      <c r="P28" s="2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</row>
    <row r="29" spans="2:58" x14ac:dyDescent="0.2">
      <c r="B29" s="277" t="s">
        <v>119</v>
      </c>
      <c r="C29" s="147" t="s">
        <v>120</v>
      </c>
      <c r="D29" s="263">
        <v>38</v>
      </c>
      <c r="E29" s="263">
        <v>44</v>
      </c>
      <c r="F29" s="246">
        <f>Table4[[#This Row],[2026]]/140*1000</f>
        <v>314.28571428571428</v>
      </c>
      <c r="G29" s="141">
        <f>MIN(Table4[[#This Row],[2026]],8.1)*0.2975</f>
        <v>2.4097499999999998</v>
      </c>
      <c r="H29" s="2">
        <v>1</v>
      </c>
      <c r="I29" s="211">
        <f>Table4[[#This Row],[2026]]/Table4[[#This Row],[2025 Net]]-1</f>
        <v>0.15789473684210531</v>
      </c>
      <c r="J29" s="258">
        <f>Table4[[#This Row],[2025 Net]]*1.25</f>
        <v>47.5</v>
      </c>
      <c r="K29" s="142">
        <f>Table4[[#This Row],[2025 Net]]*1.15</f>
        <v>43.699999999999996</v>
      </c>
      <c r="L29" s="143">
        <f>((MIN(Table4[[#This Row],[2026]]*0.8,9.4)*12)-13.5)*0.2975/12</f>
        <v>2.4618125000000002</v>
      </c>
      <c r="M29" s="2"/>
      <c r="N29" s="2"/>
      <c r="O29" s="2"/>
      <c r="P29" s="2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</row>
    <row r="30" spans="2:58" x14ac:dyDescent="0.2">
      <c r="B30" s="277" t="s">
        <v>121</v>
      </c>
      <c r="C30" s="145" t="s">
        <v>112</v>
      </c>
      <c r="D30" s="263">
        <v>18</v>
      </c>
      <c r="E30" s="263">
        <v>21</v>
      </c>
      <c r="F30" s="246">
        <f>Table4[[#This Row],[2026]]/140*1000</f>
        <v>150</v>
      </c>
      <c r="G30" s="141">
        <v>1.81</v>
      </c>
      <c r="H30" s="2">
        <v>1</v>
      </c>
      <c r="I30" s="211">
        <f>Table4[[#This Row],[2026]]/Table4[[#This Row],[2025 Net]]-1</f>
        <v>0.16666666666666674</v>
      </c>
      <c r="J30" s="258">
        <f>Table4[[#This Row],[2025 Net]]*1.25</f>
        <v>22.5</v>
      </c>
      <c r="K30" s="142">
        <f>Table4[[#This Row],[2025 Net]]*1.15</f>
        <v>20.7</v>
      </c>
      <c r="L30" s="143">
        <f>((MIN(Table4[[#This Row],[2026]]*0.8,9.4)*12)-13.5)*0.2975/12</f>
        <v>2.4618125000000002</v>
      </c>
      <c r="M30" s="2"/>
      <c r="N30" s="2"/>
      <c r="O30" s="2"/>
      <c r="P30" s="2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</row>
    <row r="31" spans="2:58" x14ac:dyDescent="0.2">
      <c r="B31" s="277" t="s">
        <v>122</v>
      </c>
      <c r="C31" s="147" t="s">
        <v>187</v>
      </c>
      <c r="D31" s="263">
        <v>19</v>
      </c>
      <c r="E31" s="263">
        <v>21</v>
      </c>
      <c r="F31" s="246">
        <f>Table4[[#This Row],[2026]]/140*1000</f>
        <v>150</v>
      </c>
      <c r="G31" s="141">
        <v>1.59</v>
      </c>
      <c r="H31" s="2">
        <v>1</v>
      </c>
      <c r="I31" s="211">
        <f>Table4[[#This Row],[2026]]/Table4[[#This Row],[2025 Net]]-1</f>
        <v>0.10526315789473695</v>
      </c>
      <c r="J31" s="258">
        <f>Table4[[#This Row],[2025 Net]]*1.25</f>
        <v>23.75</v>
      </c>
      <c r="K31" s="142">
        <f>Table4[[#This Row],[2025 Net]]*1.15</f>
        <v>21.849999999999998</v>
      </c>
      <c r="L31" s="143">
        <f>((MIN(Table4[[#This Row],[2026]]*0.8,9.4)*12)-13.5)*0.2975/12</f>
        <v>2.4618125000000002</v>
      </c>
      <c r="M31" s="2"/>
      <c r="N31" s="2"/>
      <c r="O31" s="2"/>
      <c r="P31" s="2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</row>
    <row r="32" spans="2:58" x14ac:dyDescent="0.2">
      <c r="B32" s="277" t="s">
        <v>123</v>
      </c>
      <c r="C32" s="147" t="s">
        <v>124</v>
      </c>
      <c r="D32" s="263">
        <v>34</v>
      </c>
      <c r="E32" s="263">
        <v>40</v>
      </c>
      <c r="F32" s="246">
        <f>Table4[[#This Row],[2026]]/140*1000</f>
        <v>285.71428571428572</v>
      </c>
      <c r="G32" s="141">
        <f>MIN(Table4[[#This Row],[2026]],8.1)*0.2975</f>
        <v>2.4097499999999998</v>
      </c>
      <c r="H32" s="2">
        <v>1</v>
      </c>
      <c r="I32" s="211">
        <f>Table4[[#This Row],[2026]]/Table4[[#This Row],[2025 Net]]-1</f>
        <v>0.17647058823529416</v>
      </c>
      <c r="J32" s="258">
        <f>Table4[[#This Row],[2025 Net]]*1.25</f>
        <v>42.5</v>
      </c>
      <c r="K32" s="142">
        <f>Table4[[#This Row],[2025 Net]]*1.15</f>
        <v>39.099999999999994</v>
      </c>
      <c r="L32" s="143">
        <f>((MIN(Table4[[#This Row],[2026]]*0.8,9.4)*12)-13.5)*0.2975/12</f>
        <v>2.4618125000000002</v>
      </c>
      <c r="M32" s="2"/>
      <c r="N32" s="2"/>
      <c r="O32" s="2"/>
      <c r="P32" s="2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</row>
    <row r="33" spans="2:59" x14ac:dyDescent="0.2">
      <c r="B33" s="277" t="s">
        <v>125</v>
      </c>
      <c r="C33" s="145" t="s">
        <v>112</v>
      </c>
      <c r="D33" s="263">
        <v>17</v>
      </c>
      <c r="E33" s="263">
        <v>19.5</v>
      </c>
      <c r="F33" s="246">
        <f>Table4[[#This Row],[2026]]/140*1000</f>
        <v>139.28571428571428</v>
      </c>
      <c r="G33" s="141">
        <v>1.81</v>
      </c>
      <c r="H33" s="2">
        <v>1</v>
      </c>
      <c r="I33" s="211">
        <f>Table4[[#This Row],[2026]]/Table4[[#This Row],[2025 Net]]-1</f>
        <v>0.14705882352941169</v>
      </c>
      <c r="J33" s="258">
        <f>Table4[[#This Row],[2025 Net]]*1.25</f>
        <v>21.25</v>
      </c>
      <c r="K33" s="142">
        <f>Table4[[#This Row],[2025 Net]]*1.15</f>
        <v>19.549999999999997</v>
      </c>
      <c r="L33" s="143">
        <f>((MIN(Table4[[#This Row],[2026]]*0.8,9.4)*12)-13.5)*0.2975/12</f>
        <v>2.4618125000000002</v>
      </c>
      <c r="M33" s="2"/>
      <c r="N33" s="2"/>
      <c r="O33" s="2"/>
      <c r="P33" s="2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</row>
    <row r="34" spans="2:59" x14ac:dyDescent="0.2">
      <c r="B34" s="278" t="s">
        <v>118</v>
      </c>
      <c r="C34" s="145" t="s">
        <v>112</v>
      </c>
      <c r="D34" s="263">
        <v>18</v>
      </c>
      <c r="E34" s="263">
        <v>23</v>
      </c>
      <c r="F34" s="246">
        <f>Table4[[#This Row],[2026]]/140*1000</f>
        <v>164.28571428571428</v>
      </c>
      <c r="G34" s="141">
        <v>1.71</v>
      </c>
      <c r="H34" s="2">
        <v>1</v>
      </c>
      <c r="I34" s="211">
        <f>Table4[[#This Row],[2026]]/Table4[[#This Row],[2025 Net]]-1</f>
        <v>0.27777777777777768</v>
      </c>
      <c r="J34" s="258">
        <f>Table4[[#This Row],[2025 Net]]*1.25</f>
        <v>22.5</v>
      </c>
      <c r="K34" s="142">
        <f>Table4[[#This Row],[2025 Net]]*1.15</f>
        <v>20.7</v>
      </c>
      <c r="L34" s="143">
        <f>((MIN(Table4[[#This Row],[2026]]*0.8,9.4)*12)-13.5)*0.2975/12</f>
        <v>2.4618125000000002</v>
      </c>
      <c r="M34" s="2"/>
      <c r="N34" s="2"/>
      <c r="O34" s="2"/>
      <c r="P34" s="2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</row>
    <row r="35" spans="2:59" x14ac:dyDescent="0.2">
      <c r="B35" s="277" t="s">
        <v>190</v>
      </c>
      <c r="C35" s="147" t="s">
        <v>188</v>
      </c>
      <c r="D35" s="263">
        <v>25</v>
      </c>
      <c r="E35" s="263">
        <v>31</v>
      </c>
      <c r="F35" s="246">
        <f>Table4[[#This Row],[2026]]/140*1000</f>
        <v>221.42857142857142</v>
      </c>
      <c r="G35" s="141">
        <v>2.2799999999999998</v>
      </c>
      <c r="H35" s="2">
        <v>1</v>
      </c>
      <c r="I35" s="211">
        <f>Table4[[#This Row],[2026]]/Table4[[#This Row],[2025 Net]]-1</f>
        <v>0.24</v>
      </c>
      <c r="J35" s="258">
        <f>Table4[[#This Row],[2025 Net]]*1.25</f>
        <v>31.25</v>
      </c>
      <c r="K35" s="142">
        <f>Table4[[#This Row],[2025 Net]]*1.15</f>
        <v>28.749999999999996</v>
      </c>
      <c r="L35" s="143">
        <f>((MIN(Table4[[#This Row],[2026]]*0.8,9.4)*12)-13.5)*0.2975/12</f>
        <v>2.4618125000000002</v>
      </c>
      <c r="M35" s="2"/>
      <c r="N35" s="2"/>
      <c r="O35" s="2"/>
      <c r="P35" s="2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</row>
    <row r="36" spans="2:59" x14ac:dyDescent="0.2">
      <c r="B36" s="278" t="s">
        <v>191</v>
      </c>
      <c r="C36" s="145" t="s">
        <v>112</v>
      </c>
      <c r="D36" s="263">
        <v>18</v>
      </c>
      <c r="E36" s="263">
        <v>21</v>
      </c>
      <c r="F36" s="246">
        <f>Table4[[#This Row],[2026]]/140*1000</f>
        <v>150</v>
      </c>
      <c r="G36" s="141">
        <f>MIN(Table4[[#This Row],[2026]],8.1)*0.2975</f>
        <v>2.4097499999999998</v>
      </c>
      <c r="H36" s="2">
        <v>1</v>
      </c>
      <c r="I36" s="211">
        <f>Table4[[#This Row],[2026]]/Table4[[#This Row],[2025 Net]]-1</f>
        <v>0.16666666666666674</v>
      </c>
      <c r="J36" s="258">
        <f>Table4[[#This Row],[2025 Net]]*1.25</f>
        <v>22.5</v>
      </c>
      <c r="K36" s="142">
        <f>Table4[[#This Row],[2025 Net]]*1.15</f>
        <v>20.7</v>
      </c>
      <c r="L36" s="143">
        <f>((MIN(Table4[[#This Row],[2026]]*0.8,9.4)*12)-13.5)*0.2975/12</f>
        <v>2.4618125000000002</v>
      </c>
      <c r="M36" s="2"/>
      <c r="N36" s="2"/>
      <c r="O36" s="2"/>
      <c r="P36" s="2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</row>
    <row r="37" spans="2:59" x14ac:dyDescent="0.2">
      <c r="B37" s="277" t="s">
        <v>126</v>
      </c>
      <c r="C37" s="147" t="s">
        <v>268</v>
      </c>
      <c r="D37" s="263">
        <v>14</v>
      </c>
      <c r="E37" s="263">
        <v>17</v>
      </c>
      <c r="F37" s="246">
        <f>Table4[[#This Row],[2026]]/140*1000</f>
        <v>121.42857142857143</v>
      </c>
      <c r="G37" s="141">
        <v>1.57</v>
      </c>
      <c r="H37" s="150">
        <v>1</v>
      </c>
      <c r="I37" s="211">
        <f>Table4[[#This Row],[2026]]/Table4[[#This Row],[2025 Net]]-1</f>
        <v>0.21428571428571419</v>
      </c>
      <c r="J37" s="258">
        <f>Table4[[#This Row],[2025 Net]]*1.25</f>
        <v>17.5</v>
      </c>
      <c r="K37" s="142">
        <f>Table4[[#This Row],[2025 Net]]*1.15</f>
        <v>16.099999999999998</v>
      </c>
      <c r="L37" s="143">
        <f>((MIN(Table4[[#This Row],[2026]]*0.8,9.4)*12)-13.5)*0.2975/12</f>
        <v>2.4618125000000002</v>
      </c>
      <c r="M37" s="2"/>
      <c r="N37" s="2"/>
      <c r="O37" s="2"/>
      <c r="P37" s="2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</row>
    <row r="38" spans="2:59" ht="17" thickBot="1" x14ac:dyDescent="0.25">
      <c r="B38" s="279" t="s">
        <v>126</v>
      </c>
      <c r="C38" s="151" t="s">
        <v>267</v>
      </c>
      <c r="D38" s="265">
        <v>17</v>
      </c>
      <c r="E38" s="265">
        <v>20</v>
      </c>
      <c r="F38" s="248">
        <f>Table4[[#This Row],[2026]]/140*1000</f>
        <v>142.85714285714286</v>
      </c>
      <c r="G38" s="152">
        <f>1.57*0.6</f>
        <v>0.94199999999999995</v>
      </c>
      <c r="H38" s="153">
        <v>1</v>
      </c>
      <c r="I38" s="212">
        <f>Table4[[#This Row],[2026]]/Table4[[#This Row],[2025 Net]]-1</f>
        <v>0.17647058823529416</v>
      </c>
      <c r="J38" s="259">
        <f>Table4[[#This Row],[2025 Net]]*1.25</f>
        <v>21.25</v>
      </c>
      <c r="K38" s="142">
        <f>Table4[[#This Row],[2025 Net]]*1.15</f>
        <v>19.549999999999997</v>
      </c>
      <c r="L38" s="143">
        <f>((MIN(Table4[[#This Row],[2026]]*0.8,9.4)*12)-13.5)*0.2975/12</f>
        <v>2.4618125000000002</v>
      </c>
      <c r="M38" s="2"/>
      <c r="N38" s="2"/>
      <c r="O38" s="2"/>
      <c r="P38" s="2"/>
      <c r="Q38" s="236"/>
      <c r="R38" s="236"/>
      <c r="S38" s="236"/>
      <c r="T38" s="236"/>
      <c r="U38" s="236"/>
      <c r="V38" s="236"/>
      <c r="W38" s="236"/>
      <c r="X38" s="236"/>
      <c r="Y38" s="236"/>
      <c r="Z38" s="236"/>
      <c r="AA38" s="236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</row>
    <row r="39" spans="2:59" x14ac:dyDescent="0.2">
      <c r="B39" s="276" t="s">
        <v>127</v>
      </c>
      <c r="C39" s="241"/>
      <c r="D39" s="264"/>
      <c r="E39" s="264"/>
      <c r="F39" s="247"/>
      <c r="G39" s="146"/>
      <c r="H39" s="140"/>
      <c r="I39" s="140"/>
      <c r="J39" s="391">
        <f>Table4[[#This Row],[2025 Net]]*1.25</f>
        <v>0</v>
      </c>
      <c r="K39" s="142">
        <f>Table4[[#This Row],[2025 Net]]*1.15</f>
        <v>0</v>
      </c>
      <c r="L39" s="143">
        <f>((MIN(Table4[[#This Row],[2026]]*0.8,9.4)*12)-13.5)*0.2975/12</f>
        <v>-0.33468749999999997</v>
      </c>
      <c r="M39" s="2"/>
      <c r="N39" s="2"/>
      <c r="O39" s="2"/>
      <c r="P39" s="2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</row>
    <row r="40" spans="2:59" x14ac:dyDescent="0.2">
      <c r="B40" s="277" t="str">
        <f t="shared" ref="B40:C40" si="0">B26</f>
        <v>Engineering Manager</v>
      </c>
      <c r="C40" s="147" t="str">
        <f t="shared" si="0"/>
        <v>Samer</v>
      </c>
      <c r="D40" s="263">
        <f>D19</f>
        <v>90</v>
      </c>
      <c r="E40" s="263">
        <f>E19</f>
        <v>104</v>
      </c>
      <c r="F40" s="246">
        <f>Table4[[#This Row],[2026]]/140*1000</f>
        <v>742.85714285714289</v>
      </c>
      <c r="G40" s="141"/>
      <c r="H40" s="2">
        <v>1</v>
      </c>
      <c r="I40" s="211">
        <f>Table4[[#This Row],[2026]]/Table4[[#This Row],[2025 Net]]-1</f>
        <v>0.15555555555555545</v>
      </c>
      <c r="J40" s="258">
        <f>Table4[[#This Row],[2025 Net]]*1.25</f>
        <v>112.5</v>
      </c>
      <c r="K40" s="142">
        <f>Table4[[#This Row],[2025 Net]]*1.15</f>
        <v>103.49999999999999</v>
      </c>
      <c r="L40" s="143">
        <f>((MIN(Table4[[#This Row],[2026]]*0.8,9.4)*12)-13.5)*0.2975/12</f>
        <v>2.4618125000000002</v>
      </c>
      <c r="M40" s="2"/>
      <c r="N40" s="2"/>
      <c r="O40" s="2"/>
      <c r="P40" s="2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</row>
    <row r="41" spans="2:59" x14ac:dyDescent="0.2">
      <c r="B41" s="277" t="str">
        <f>B28</f>
        <v>Project Manager</v>
      </c>
      <c r="C41" s="147" t="str">
        <f t="shared" ref="C41" si="1">C28</f>
        <v>Nathalie</v>
      </c>
      <c r="D41" s="263">
        <f t="shared" ref="D41" si="2">D28</f>
        <v>30</v>
      </c>
      <c r="E41" s="263">
        <f>E28</f>
        <v>35</v>
      </c>
      <c r="F41" s="246">
        <f>Table4[[#This Row],[2026]]/140*1000</f>
        <v>250</v>
      </c>
      <c r="G41" s="141"/>
      <c r="H41" s="2">
        <v>1</v>
      </c>
      <c r="I41" s="211">
        <f>Table4[[#This Row],[2026]]/Table4[[#This Row],[2025 Net]]-1</f>
        <v>0.16666666666666674</v>
      </c>
      <c r="J41" s="258">
        <f>Table4[[#This Row],[2025 Net]]*1.25</f>
        <v>37.5</v>
      </c>
      <c r="K41" s="142">
        <f>Table4[[#This Row],[2025 Net]]*1.15</f>
        <v>34.5</v>
      </c>
      <c r="L41" s="143">
        <f>((MIN(Table4[[#This Row],[2026]]*0.8,9.4)*12)-13.5)*0.2975/12</f>
        <v>2.4618125000000002</v>
      </c>
      <c r="M41" s="2"/>
      <c r="N41" s="2"/>
      <c r="O41" s="2"/>
      <c r="P41" s="2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</row>
    <row r="42" spans="2:59" x14ac:dyDescent="0.2">
      <c r="B42" s="277" t="s">
        <v>128</v>
      </c>
      <c r="C42" s="147" t="s">
        <v>205</v>
      </c>
      <c r="D42" s="263">
        <v>20</v>
      </c>
      <c r="E42" s="263">
        <v>23.5</v>
      </c>
      <c r="F42" s="246">
        <f>Table4[[#This Row],[2026]]/140*1000</f>
        <v>167.85714285714283</v>
      </c>
      <c r="G42" s="141">
        <v>1.69</v>
      </c>
      <c r="H42" s="2">
        <v>1</v>
      </c>
      <c r="I42" s="211">
        <f>Table4[[#This Row],[2026]]/Table4[[#This Row],[2025 Net]]-1</f>
        <v>0.17500000000000004</v>
      </c>
      <c r="J42" s="258">
        <f>Table4[[#This Row],[2025 Net]]*1.25</f>
        <v>25</v>
      </c>
      <c r="K42" s="142">
        <f>Table4[[#This Row],[2025 Net]]*1.15</f>
        <v>23</v>
      </c>
      <c r="L42" s="143">
        <f>((MIN(Table4[[#This Row],[2026]]*0.8,9.4)*12)-13.5)*0.2975/12</f>
        <v>2.4618125000000002</v>
      </c>
      <c r="M42" s="2"/>
      <c r="N42" s="2"/>
      <c r="O42" s="2"/>
      <c r="P42" s="2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</row>
    <row r="43" spans="2:59" x14ac:dyDescent="0.2">
      <c r="B43" s="277" t="s">
        <v>129</v>
      </c>
      <c r="C43" s="147" t="s">
        <v>131</v>
      </c>
      <c r="D43" s="263">
        <v>23</v>
      </c>
      <c r="E43" s="263">
        <v>27</v>
      </c>
      <c r="F43" s="246">
        <f>Table4[[#This Row],[2026]]/140*1000</f>
        <v>192.85714285714286</v>
      </c>
      <c r="G43" s="141">
        <f>MIN(Table4[[#This Row],[2026]],8.1)*0.2975</f>
        <v>2.4097499999999998</v>
      </c>
      <c r="H43" s="2">
        <v>1</v>
      </c>
      <c r="I43" s="211">
        <f>Table4[[#This Row],[2026]]/Table4[[#This Row],[2025 Net]]-1</f>
        <v>0.17391304347826098</v>
      </c>
      <c r="J43" s="258">
        <f>Table4[[#This Row],[2025 Net]]*1.25</f>
        <v>28.75</v>
      </c>
      <c r="K43" s="142">
        <f>Table4[[#This Row],[2025 Net]]*1.15</f>
        <v>26.45</v>
      </c>
      <c r="L43" s="143">
        <f>((MIN(Table4[[#This Row],[2026]]*0.8,9.4)*12)-13.5)*0.2975/12</f>
        <v>2.4618125000000002</v>
      </c>
      <c r="M43" s="2"/>
      <c r="N43" s="2"/>
      <c r="O43" s="2"/>
      <c r="P43" s="2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</row>
    <row r="44" spans="2:59" x14ac:dyDescent="0.2">
      <c r="B44" s="277" t="s">
        <v>130</v>
      </c>
      <c r="C44" s="147" t="s">
        <v>269</v>
      </c>
      <c r="D44" s="263">
        <v>15</v>
      </c>
      <c r="E44" s="263">
        <v>17.5</v>
      </c>
      <c r="F44" s="246">
        <f>Table4[[#This Row],[2026]]/140*1000</f>
        <v>125</v>
      </c>
      <c r="G44" s="141">
        <f>1.81*0.8</f>
        <v>1.4480000000000002</v>
      </c>
      <c r="H44" s="2">
        <v>1</v>
      </c>
      <c r="I44" s="211">
        <f>Table4[[#This Row],[2026]]/Table4[[#This Row],[2025 Net]]-1</f>
        <v>0.16666666666666674</v>
      </c>
      <c r="J44" s="258">
        <f>Table4[[#This Row],[2025 Net]]*1.25</f>
        <v>18.75</v>
      </c>
      <c r="K44" s="142">
        <f>Table4[[#This Row],[2025 Net]]*1.15</f>
        <v>17.25</v>
      </c>
      <c r="L44" s="143">
        <f>((MIN(Table4[[#This Row],[2026]]*0.8,9.4)*12)-13.5)*0.2975/12</f>
        <v>2.4618125000000002</v>
      </c>
      <c r="M44" s="2"/>
      <c r="N44" s="2"/>
      <c r="O44" s="2"/>
      <c r="P44" s="2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</row>
    <row r="45" spans="2:59" x14ac:dyDescent="0.2">
      <c r="B45" s="277" t="s">
        <v>132</v>
      </c>
      <c r="C45" s="147"/>
      <c r="D45" s="263"/>
      <c r="E45" s="263"/>
      <c r="F45" s="246">
        <f>Table4[[#This Row],[2026]]/140*1000</f>
        <v>0</v>
      </c>
      <c r="G45" s="141"/>
      <c r="H45" s="2">
        <v>1</v>
      </c>
      <c r="I45" s="211"/>
      <c r="J45" s="258">
        <f>Table4[[#This Row],[2025 Net]]*1.25</f>
        <v>0</v>
      </c>
      <c r="K45" s="142">
        <f>Table4[[#This Row],[2025 Net]]*1.15</f>
        <v>0</v>
      </c>
      <c r="L45" s="143">
        <f>((MIN(Table4[[#This Row],[2026]]*0.8,9.4)*12)-13.5)*0.2975/12</f>
        <v>-0.33468749999999997</v>
      </c>
      <c r="M45" s="2"/>
      <c r="N45" s="2"/>
      <c r="O45" s="2"/>
      <c r="P45" s="2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</row>
    <row r="46" spans="2:59" x14ac:dyDescent="0.2">
      <c r="B46" s="277" t="s">
        <v>126</v>
      </c>
      <c r="C46" s="147" t="str">
        <f t="shared" ref="C46" si="3">C37</f>
        <v>Monad</v>
      </c>
      <c r="D46" s="263">
        <f t="shared" ref="D46" si="4">D37</f>
        <v>14</v>
      </c>
      <c r="E46" s="263">
        <f>E37</f>
        <v>17</v>
      </c>
      <c r="F46" s="246">
        <f>Table4[[#This Row],[2026]]/140*1000</f>
        <v>121.42857142857143</v>
      </c>
      <c r="G46" s="141"/>
      <c r="H46" s="150">
        <v>1</v>
      </c>
      <c r="I46" s="211">
        <f>Table4[[#This Row],[2026]]/Table4[[#This Row],[2025 Net]]-1</f>
        <v>0.21428571428571419</v>
      </c>
      <c r="J46" s="258">
        <f>Table4[[#This Row],[2025 Net]]*1.25</f>
        <v>17.5</v>
      </c>
      <c r="K46" s="142">
        <f>Table4[[#This Row],[2025 Net]]*1.15</f>
        <v>16.099999999999998</v>
      </c>
      <c r="L46" s="143">
        <f>((MIN(Table4[[#This Row],[2026]]*0.8,9.4)*12)-13.5)*0.2975/12</f>
        <v>2.4618125000000002</v>
      </c>
      <c r="M46" s="2"/>
      <c r="N46" s="2"/>
      <c r="O46" s="2"/>
      <c r="P46" s="2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</row>
    <row r="47" spans="2:59" ht="17" thickBot="1" x14ac:dyDescent="0.25">
      <c r="B47" s="279" t="str">
        <f>B38</f>
        <v>Tester</v>
      </c>
      <c r="C47" s="151" t="s">
        <v>267</v>
      </c>
      <c r="D47" s="265">
        <v>17</v>
      </c>
      <c r="E47" s="265">
        <f>E38</f>
        <v>20</v>
      </c>
      <c r="F47" s="248">
        <f>Table4[[#This Row],[2026]]/140*1000</f>
        <v>142.85714285714286</v>
      </c>
      <c r="G47" s="152"/>
      <c r="H47" s="153">
        <v>1</v>
      </c>
      <c r="I47" s="212">
        <f>Table4[[#This Row],[2026]]/Table4[[#This Row],[2025 Net]]-1</f>
        <v>0.17647058823529416</v>
      </c>
      <c r="J47" s="259">
        <f>Table4[[#This Row],[2025 Net]]*1.25</f>
        <v>21.25</v>
      </c>
      <c r="K47" s="142">
        <f>Table4[[#This Row],[2025 Net]]*1.15</f>
        <v>19.549999999999997</v>
      </c>
      <c r="L47" s="143">
        <f>((MIN(Table4[[#This Row],[2026]]*0.8,9.4)*12)-13.5)*0.2975/12</f>
        <v>2.4618125000000002</v>
      </c>
      <c r="M47" s="2"/>
      <c r="N47" s="2"/>
      <c r="O47" s="2"/>
      <c r="P47" s="2"/>
      <c r="Q47" s="236"/>
      <c r="R47" s="236"/>
      <c r="S47" s="236"/>
      <c r="T47" s="236"/>
      <c r="U47" s="236"/>
      <c r="V47" s="236"/>
      <c r="W47" s="236"/>
      <c r="X47" s="236"/>
      <c r="Y47" s="236"/>
      <c r="Z47" s="236"/>
      <c r="AA47" s="236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</row>
    <row r="48" spans="2:59" x14ac:dyDescent="0.2">
      <c r="B48" s="276" t="s">
        <v>208</v>
      </c>
      <c r="C48" s="241"/>
      <c r="D48" s="264"/>
      <c r="E48" s="264"/>
      <c r="F48" s="247"/>
      <c r="G48" s="146"/>
      <c r="H48" s="140"/>
      <c r="I48" s="140"/>
      <c r="J48" s="391">
        <f>Table4[[#This Row],[2025 Net]]*1.25</f>
        <v>0</v>
      </c>
      <c r="K48" s="144">
        <f>Table4[[#This Row],[2025 Net]]*1.15</f>
        <v>0</v>
      </c>
      <c r="L48" s="143">
        <f>((MIN(Table4[[#This Row],[2026]]*0.8,9.4)*12)-13.5)*0.2975/12</f>
        <v>-0.33468749999999997</v>
      </c>
      <c r="M48" s="155"/>
      <c r="N48" s="144"/>
      <c r="O48" s="144"/>
      <c r="P48" s="144"/>
      <c r="Q48" s="144"/>
      <c r="R48" s="144"/>
      <c r="S48" s="144"/>
      <c r="T48" s="144"/>
      <c r="U48" s="144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2:59" x14ac:dyDescent="0.2">
      <c r="B49" s="280" t="s">
        <v>117</v>
      </c>
      <c r="C49" s="281" t="s">
        <v>110</v>
      </c>
      <c r="D49" s="282">
        <f>D19</f>
        <v>90</v>
      </c>
      <c r="E49" s="282">
        <f>E19</f>
        <v>104</v>
      </c>
      <c r="F49" s="246">
        <f>Table4[[#This Row],[2026]]/140*1000</f>
        <v>742.85714285714289</v>
      </c>
      <c r="G49" s="283"/>
      <c r="H49" s="284">
        <v>1</v>
      </c>
      <c r="I49" s="211">
        <f>Table4[[#This Row],[2026]]/Table4[[#This Row],[2025 Net]]-1</f>
        <v>0.15555555555555545</v>
      </c>
      <c r="J49" s="285">
        <f>Table4[[#This Row],[2025 Net]]*1.25</f>
        <v>112.5</v>
      </c>
      <c r="K49" s="144">
        <f>Table4[[#This Row],[2025 Net]]*1.15</f>
        <v>103.49999999999999</v>
      </c>
      <c r="L49" s="143">
        <f>((MIN(Table4[[#This Row],[2026]]*0.8,9.4)*12)-13.5)*0.2975/12</f>
        <v>2.4618125000000002</v>
      </c>
      <c r="M49" s="155"/>
      <c r="N49" s="144"/>
      <c r="O49" s="144"/>
      <c r="P49" s="144"/>
      <c r="Q49" s="144"/>
      <c r="R49" s="144"/>
      <c r="S49" s="144"/>
      <c r="T49" s="144"/>
      <c r="U49" s="144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2:59" x14ac:dyDescent="0.2">
      <c r="B50" s="277" t="s">
        <v>210</v>
      </c>
      <c r="C50" s="147" t="s">
        <v>212</v>
      </c>
      <c r="D50" s="263">
        <v>38</v>
      </c>
      <c r="E50" s="263">
        <v>44</v>
      </c>
      <c r="F50" s="246">
        <f>Table4[[#This Row],[2026]]/140*1000</f>
        <v>314.28571428571428</v>
      </c>
      <c r="G50" s="141">
        <f>MIN(Table4[[#This Row],[2026]],8.1)*0.2975</f>
        <v>2.4097499999999998</v>
      </c>
      <c r="H50" s="2">
        <v>1</v>
      </c>
      <c r="I50" s="211">
        <f>Table4[[#This Row],[2026]]/Table4[[#This Row],[2025 Net]]-1</f>
        <v>0.15789473684210531</v>
      </c>
      <c r="J50" s="258">
        <f>Table4[[#This Row],[2025 Net]]*1.25</f>
        <v>47.5</v>
      </c>
      <c r="K50" s="144">
        <f>Table4[[#This Row],[2025 Net]]*1.15</f>
        <v>43.699999999999996</v>
      </c>
      <c r="L50" s="143">
        <f>((MIN(Table4[[#This Row],[2026]]*0.8,9.4)*12)-13.5)*0.2975/12</f>
        <v>2.4618125000000002</v>
      </c>
      <c r="M50" s="155"/>
      <c r="N50" s="144"/>
      <c r="O50" s="144"/>
      <c r="P50" s="144"/>
      <c r="Q50" s="144"/>
      <c r="R50" s="144"/>
      <c r="S50" s="144"/>
      <c r="T50" s="144"/>
      <c r="U50" s="144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2:59" x14ac:dyDescent="0.2">
      <c r="B51" s="277" t="s">
        <v>211</v>
      </c>
      <c r="C51" s="147" t="s">
        <v>265</v>
      </c>
      <c r="D51" s="263">
        <v>13</v>
      </c>
      <c r="E51" s="263">
        <v>18</v>
      </c>
      <c r="F51" s="246">
        <f>Table4[[#This Row],[2026]]/140*1000</f>
        <v>128.57142857142856</v>
      </c>
      <c r="G51" s="141">
        <f>MIN(Table4[[#This Row],[2026]],8.1)*0.2975</f>
        <v>2.4097499999999998</v>
      </c>
      <c r="H51" s="2">
        <v>1</v>
      </c>
      <c r="I51" s="211">
        <f>Table4[[#This Row],[2026]]/Table4[[#This Row],[2025 Net]]-1</f>
        <v>0.38461538461538458</v>
      </c>
      <c r="J51" s="258">
        <f>Table4[[#This Row],[2025 Net]]*1.25</f>
        <v>16.25</v>
      </c>
      <c r="K51" s="144">
        <f>Table4[[#This Row],[2025 Net]]*1.15</f>
        <v>14.95</v>
      </c>
      <c r="L51" s="143">
        <f>((MIN(Table4[[#This Row],[2026]]*0.8,9.4)*12)-13.5)*0.2975/12</f>
        <v>2.4618125000000002</v>
      </c>
      <c r="M51" s="155"/>
      <c r="N51" s="144"/>
      <c r="O51" s="144"/>
      <c r="P51" s="144"/>
      <c r="Q51" s="144"/>
      <c r="R51" s="144"/>
      <c r="S51" s="144"/>
      <c r="T51" s="144"/>
      <c r="U51" s="144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2:59" x14ac:dyDescent="0.2">
      <c r="B52" s="277" t="s">
        <v>211</v>
      </c>
      <c r="C52" s="147" t="s">
        <v>266</v>
      </c>
      <c r="D52" s="263">
        <v>17</v>
      </c>
      <c r="E52" s="263">
        <v>19.75</v>
      </c>
      <c r="F52" s="246">
        <f>Table4[[#This Row],[2026]]/140*1000</f>
        <v>141.07142857142858</v>
      </c>
      <c r="G52" s="141">
        <f>MIN(Table4[[#This Row],[2026]],8.1)*0.2975</f>
        <v>2.4097499999999998</v>
      </c>
      <c r="H52" s="2">
        <v>1</v>
      </c>
      <c r="I52" s="211">
        <f>Table4[[#This Row],[2026]]/Table4[[#This Row],[2025 Net]]-1</f>
        <v>0.16176470588235303</v>
      </c>
      <c r="J52" s="258">
        <f>Table4[[#This Row],[2025 Net]]*1.25</f>
        <v>21.25</v>
      </c>
      <c r="K52" s="144">
        <f>Table4[[#This Row],[2025 Net]]*1.15</f>
        <v>19.549999999999997</v>
      </c>
      <c r="L52" s="143">
        <f>((MIN(Table4[[#This Row],[2026]]*0.8,9.4)*12)-13.5)*0.2975/12</f>
        <v>2.4618125000000002</v>
      </c>
      <c r="M52" s="155"/>
      <c r="N52" s="144"/>
      <c r="O52" s="144"/>
      <c r="P52" s="144"/>
      <c r="Q52" s="144"/>
      <c r="R52" s="144"/>
      <c r="S52" s="144"/>
      <c r="T52" s="144"/>
      <c r="U52" s="144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2:59" x14ac:dyDescent="0.2">
      <c r="B53" s="277" t="s">
        <v>118</v>
      </c>
      <c r="C53" s="154"/>
      <c r="D53" s="263">
        <v>18</v>
      </c>
      <c r="E53" s="263">
        <f>E34</f>
        <v>23</v>
      </c>
      <c r="F53" s="246">
        <f>Table4[[#This Row],[2026]]/140*1000</f>
        <v>164.28571428571428</v>
      </c>
      <c r="G53" s="141">
        <f>MIN(Table4[[#This Row],[2026]],8.1)*0.2975</f>
        <v>2.4097499999999998</v>
      </c>
      <c r="H53" s="2">
        <v>1</v>
      </c>
      <c r="I53" s="211">
        <f>Table4[[#This Row],[2026]]/Table4[[#This Row],[2025 Net]]-1</f>
        <v>0.27777777777777768</v>
      </c>
      <c r="J53" s="258">
        <f>Table4[[#This Row],[2025 Net]]*1.25</f>
        <v>22.5</v>
      </c>
      <c r="K53" s="144">
        <f>Table4[[#This Row],[2025 Net]]*1.15</f>
        <v>20.7</v>
      </c>
      <c r="L53" s="143">
        <f>((MIN(Table4[[#This Row],[2026]]*0.8,9.4)*12)-13.5)*0.2975/12</f>
        <v>2.4618125000000002</v>
      </c>
      <c r="M53" s="155"/>
      <c r="N53" s="144"/>
      <c r="O53" s="144"/>
      <c r="P53" s="144"/>
      <c r="Q53" s="144"/>
      <c r="R53" s="144"/>
      <c r="S53" s="144"/>
      <c r="T53" s="144"/>
      <c r="U53" s="144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2:59" x14ac:dyDescent="0.2">
      <c r="B54" s="277" t="s">
        <v>226</v>
      </c>
      <c r="C54" s="154"/>
      <c r="D54" s="350">
        <v>18</v>
      </c>
      <c r="E54" s="350">
        <v>21</v>
      </c>
      <c r="F54" s="246">
        <f>Table4[[#This Row],[2026]]/140*1000</f>
        <v>150</v>
      </c>
      <c r="G54" s="141">
        <f>MIN(Table4[[#This Row],[2026]],8.1)*0.2975</f>
        <v>2.4097499999999998</v>
      </c>
      <c r="H54" s="2">
        <v>1</v>
      </c>
      <c r="I54" s="211">
        <f>Table4[[#This Row],[2026]]/Table4[[#This Row],[2025 Net]]-1</f>
        <v>0.16666666666666674</v>
      </c>
      <c r="J54" s="258">
        <f>Table4[[#This Row],[2025 Net]]*1.25</f>
        <v>22.5</v>
      </c>
      <c r="K54" s="144">
        <f>Table4[[#This Row],[2025 Net]]*1.15</f>
        <v>20.7</v>
      </c>
      <c r="L54" s="143">
        <f>((MIN(Table4[[#This Row],[2026]]*0.8,9.4)*12)-13.5)*0.2975/12</f>
        <v>2.4618125000000002</v>
      </c>
      <c r="M54" s="155"/>
      <c r="N54" s="144"/>
      <c r="O54" s="144"/>
      <c r="P54" s="144"/>
      <c r="Q54" s="144"/>
      <c r="R54" s="144"/>
      <c r="S54" s="144"/>
      <c r="T54" s="144"/>
      <c r="U54" s="144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2:59" ht="17" thickBot="1" x14ac:dyDescent="0.25">
      <c r="B55" s="279" t="s">
        <v>126</v>
      </c>
      <c r="C55" s="151" t="s">
        <v>267</v>
      </c>
      <c r="D55" s="265">
        <v>17</v>
      </c>
      <c r="E55" s="265">
        <f>E47</f>
        <v>20</v>
      </c>
      <c r="F55" s="286">
        <f>Table4[[#This Row],[2026]]/140*1000</f>
        <v>142.85714285714286</v>
      </c>
      <c r="G55" s="152">
        <f>MIN(Table4[[#This Row],[2026]],8.1)*0.2975</f>
        <v>2.4097499999999998</v>
      </c>
      <c r="H55" s="260">
        <v>1</v>
      </c>
      <c r="I55" s="212">
        <f>Table4[[#This Row],[2026]]/Table4[[#This Row],[2025 Net]]-1</f>
        <v>0.17647058823529416</v>
      </c>
      <c r="J55" s="259">
        <f>Table4[[#This Row],[2025 Net]]*1.25</f>
        <v>21.25</v>
      </c>
      <c r="K55" s="144">
        <f>Table4[[#This Row],[2025 Net]]*1.15</f>
        <v>19.549999999999997</v>
      </c>
      <c r="L55" s="143">
        <f>((MIN(Table4[[#This Row],[2026]]*0.8,9.4)*12)-13.5)*0.2975/12</f>
        <v>2.4618125000000002</v>
      </c>
      <c r="M55" s="155"/>
      <c r="N55" s="144"/>
      <c r="O55" s="144"/>
      <c r="P55" s="144"/>
      <c r="Q55" s="144"/>
      <c r="R55" s="144"/>
      <c r="S55" s="144"/>
      <c r="T55" s="144"/>
      <c r="U55" s="144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2:59" ht="17" thickBot="1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2:59" x14ac:dyDescent="0.2">
      <c r="B57" s="18" t="s">
        <v>133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1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2:59" ht="17" thickBot="1" x14ac:dyDescent="0.25">
      <c r="B58" s="273"/>
      <c r="C58" s="31">
        <v>46023</v>
      </c>
      <c r="D58" s="31">
        <v>46054</v>
      </c>
      <c r="E58" s="31">
        <v>46082</v>
      </c>
      <c r="F58" s="31">
        <v>46113</v>
      </c>
      <c r="G58" s="31">
        <v>46143</v>
      </c>
      <c r="H58" s="31">
        <v>46174</v>
      </c>
      <c r="I58" s="31">
        <v>46204</v>
      </c>
      <c r="J58" s="31">
        <v>46235</v>
      </c>
      <c r="K58" s="31">
        <v>46266</v>
      </c>
      <c r="L58" s="31">
        <v>46296</v>
      </c>
      <c r="M58" s="31">
        <v>46327</v>
      </c>
      <c r="N58" s="21">
        <v>46357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2:59" ht="17" thickTop="1" x14ac:dyDescent="0.2">
      <c r="B59" s="267" t="str">
        <f t="shared" ref="B59:B67" si="5">B16</f>
        <v>G&amp;A</v>
      </c>
      <c r="C59" s="375"/>
      <c r="D59" s="375"/>
      <c r="E59" s="375"/>
      <c r="F59" s="375"/>
      <c r="G59" s="375"/>
      <c r="H59" s="375"/>
      <c r="I59" s="375"/>
      <c r="J59" s="375"/>
      <c r="K59" s="375"/>
      <c r="L59" s="375"/>
      <c r="M59" s="375"/>
      <c r="N59" s="16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2:59" x14ac:dyDescent="0.2">
      <c r="B60" s="268" t="str">
        <f t="shared" si="5"/>
        <v>Admin Assistant</v>
      </c>
      <c r="C60" s="356">
        <v>1</v>
      </c>
      <c r="D60" s="356">
        <v>1</v>
      </c>
      <c r="E60" s="356">
        <v>1</v>
      </c>
      <c r="F60" s="356">
        <v>1</v>
      </c>
      <c r="G60" s="356">
        <v>1</v>
      </c>
      <c r="H60" s="356">
        <v>1</v>
      </c>
      <c r="I60" s="356">
        <v>1</v>
      </c>
      <c r="J60" s="356">
        <v>1</v>
      </c>
      <c r="K60" s="356">
        <v>1</v>
      </c>
      <c r="L60" s="356">
        <v>1</v>
      </c>
      <c r="M60" s="356">
        <v>1</v>
      </c>
      <c r="N60" s="373">
        <v>1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2:59" s="300" customFormat="1" x14ac:dyDescent="0.2">
      <c r="B61" s="298" t="str">
        <f t="shared" si="5"/>
        <v>Financial Manager</v>
      </c>
      <c r="C61" s="378">
        <v>0</v>
      </c>
      <c r="D61" s="378">
        <v>0</v>
      </c>
      <c r="E61" s="378">
        <v>0</v>
      </c>
      <c r="F61" s="378">
        <v>0</v>
      </c>
      <c r="G61" s="378">
        <v>0</v>
      </c>
      <c r="H61" s="378">
        <v>0</v>
      </c>
      <c r="I61" s="378">
        <v>0</v>
      </c>
      <c r="J61" s="378">
        <v>0</v>
      </c>
      <c r="K61" s="378">
        <v>0</v>
      </c>
      <c r="L61" s="378">
        <v>0</v>
      </c>
      <c r="M61" s="378">
        <v>0</v>
      </c>
      <c r="N61" s="379">
        <v>0</v>
      </c>
      <c r="O61" s="299"/>
      <c r="P61" s="299"/>
      <c r="Q61" s="299"/>
      <c r="R61" s="299"/>
      <c r="S61" s="299"/>
      <c r="T61" s="299"/>
      <c r="U61" s="299"/>
      <c r="V61" s="299"/>
      <c r="W61" s="299"/>
      <c r="X61" s="299"/>
      <c r="Y61" s="299"/>
      <c r="Z61" s="299"/>
      <c r="AA61" s="299"/>
      <c r="AB61" s="299"/>
      <c r="AC61" s="299"/>
      <c r="AD61" s="299"/>
      <c r="AE61" s="299"/>
      <c r="AF61" s="299"/>
      <c r="AG61" s="299"/>
      <c r="AH61" s="299"/>
      <c r="AI61" s="299"/>
      <c r="AJ61" s="299"/>
      <c r="AK61" s="299"/>
      <c r="AL61" s="299"/>
      <c r="AM61" s="299"/>
      <c r="AN61" s="299"/>
      <c r="AO61" s="299"/>
      <c r="AP61" s="299"/>
      <c r="AQ61" s="299"/>
      <c r="AR61" s="299"/>
      <c r="AS61" s="299"/>
      <c r="AT61" s="299"/>
      <c r="AU61" s="299"/>
      <c r="AV61" s="299"/>
      <c r="AW61" s="299"/>
      <c r="AX61" s="299"/>
      <c r="AY61" s="299"/>
      <c r="AZ61" s="299"/>
      <c r="BA61" s="299"/>
      <c r="BB61" s="299"/>
      <c r="BC61" s="299"/>
      <c r="BD61" s="299"/>
      <c r="BE61" s="299"/>
      <c r="BF61" s="299"/>
      <c r="BG61" s="299"/>
    </row>
    <row r="62" spans="2:59" x14ac:dyDescent="0.2">
      <c r="B62" s="268" t="str">
        <f t="shared" si="5"/>
        <v>General Manager</v>
      </c>
      <c r="C62" s="365">
        <v>0.3</v>
      </c>
      <c r="D62" s="365">
        <v>0.3</v>
      </c>
      <c r="E62" s="365">
        <v>0.3</v>
      </c>
      <c r="F62" s="365">
        <v>0.3</v>
      </c>
      <c r="G62" s="365">
        <v>0.3</v>
      </c>
      <c r="H62" s="365">
        <v>0.3</v>
      </c>
      <c r="I62" s="365">
        <v>0.3</v>
      </c>
      <c r="J62" s="365">
        <v>0.3</v>
      </c>
      <c r="K62" s="365">
        <v>0.3</v>
      </c>
      <c r="L62" s="365">
        <v>0.3</v>
      </c>
      <c r="M62" s="365">
        <v>0.3</v>
      </c>
      <c r="N62" s="368">
        <v>0.3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2:59" x14ac:dyDescent="0.2">
      <c r="B63" s="268" t="str">
        <f t="shared" si="5"/>
        <v>Technical Lead</v>
      </c>
      <c r="C63" s="380">
        <v>0</v>
      </c>
      <c r="D63" s="380">
        <v>0</v>
      </c>
      <c r="E63" s="380">
        <v>0</v>
      </c>
      <c r="F63" s="376">
        <v>0</v>
      </c>
      <c r="G63" s="376">
        <v>0</v>
      </c>
      <c r="H63" s="376">
        <v>0</v>
      </c>
      <c r="I63" s="376">
        <v>0</v>
      </c>
      <c r="J63" s="376">
        <v>0</v>
      </c>
      <c r="K63" s="376">
        <v>0</v>
      </c>
      <c r="L63" s="376">
        <v>0</v>
      </c>
      <c r="M63" s="376">
        <v>0</v>
      </c>
      <c r="N63" s="377">
        <v>0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2:59" x14ac:dyDescent="0.2">
      <c r="B64" s="268" t="str">
        <f t="shared" si="5"/>
        <v>Sr. Sales</v>
      </c>
      <c r="C64" s="376">
        <v>0</v>
      </c>
      <c r="D64" s="376">
        <v>0</v>
      </c>
      <c r="E64" s="376">
        <v>0</v>
      </c>
      <c r="F64" s="376">
        <v>0</v>
      </c>
      <c r="G64" s="376">
        <v>0</v>
      </c>
      <c r="H64" s="376">
        <v>0</v>
      </c>
      <c r="I64" s="376">
        <v>0</v>
      </c>
      <c r="J64" s="376">
        <v>0</v>
      </c>
      <c r="K64" s="376">
        <v>0</v>
      </c>
      <c r="L64" s="376">
        <v>0</v>
      </c>
      <c r="M64" s="376">
        <v>0</v>
      </c>
      <c r="N64" s="377">
        <v>0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2:59" x14ac:dyDescent="0.2">
      <c r="B65" s="268" t="str">
        <f t="shared" si="5"/>
        <v>Jr. Sales</v>
      </c>
      <c r="C65" s="376">
        <v>0</v>
      </c>
      <c r="D65" s="376">
        <v>0</v>
      </c>
      <c r="E65" s="376">
        <v>0</v>
      </c>
      <c r="F65" s="376">
        <v>0</v>
      </c>
      <c r="G65" s="376">
        <v>0</v>
      </c>
      <c r="H65" s="376">
        <v>0</v>
      </c>
      <c r="I65" s="376">
        <v>0</v>
      </c>
      <c r="J65" s="376">
        <v>0</v>
      </c>
      <c r="K65" s="376">
        <v>0</v>
      </c>
      <c r="L65" s="376">
        <v>0</v>
      </c>
      <c r="M65" s="376">
        <v>0</v>
      </c>
      <c r="N65" s="377">
        <v>0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2:59" x14ac:dyDescent="0.2">
      <c r="B66" s="268" t="str">
        <f t="shared" si="5"/>
        <v>Accountant</v>
      </c>
      <c r="C66" s="356">
        <v>1</v>
      </c>
      <c r="D66" s="374">
        <v>1</v>
      </c>
      <c r="E66" s="374">
        <v>1</v>
      </c>
      <c r="F66" s="356">
        <v>1</v>
      </c>
      <c r="G66" s="356">
        <v>1</v>
      </c>
      <c r="H66" s="356">
        <v>1</v>
      </c>
      <c r="I66" s="356">
        <v>1</v>
      </c>
      <c r="J66" s="356">
        <v>1</v>
      </c>
      <c r="K66" s="356">
        <v>1</v>
      </c>
      <c r="L66" s="356">
        <v>1</v>
      </c>
      <c r="M66" s="356">
        <v>1</v>
      </c>
      <c r="N66" s="373">
        <v>1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2:59" x14ac:dyDescent="0.2">
      <c r="B67" s="268" t="str">
        <f t="shared" si="5"/>
        <v>Office Boy</v>
      </c>
      <c r="C67" s="356">
        <v>1</v>
      </c>
      <c r="D67" s="356">
        <v>1</v>
      </c>
      <c r="E67" s="356">
        <v>1</v>
      </c>
      <c r="F67" s="356">
        <v>1</v>
      </c>
      <c r="G67" s="356">
        <v>1</v>
      </c>
      <c r="H67" s="356">
        <v>1</v>
      </c>
      <c r="I67" s="356">
        <v>1</v>
      </c>
      <c r="J67" s="356">
        <v>1</v>
      </c>
      <c r="K67" s="356">
        <v>1</v>
      </c>
      <c r="L67" s="356">
        <v>1</v>
      </c>
      <c r="M67" s="356">
        <v>1</v>
      </c>
      <c r="N67" s="373">
        <v>1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2:59" x14ac:dyDescent="0.2">
      <c r="B68" s="266" t="s">
        <v>134</v>
      </c>
      <c r="C68" s="381">
        <f>SUM(C60:C67)</f>
        <v>3.3</v>
      </c>
      <c r="D68" s="381">
        <f t="shared" ref="D68" si="6">SUM(D60:D67)</f>
        <v>3.3</v>
      </c>
      <c r="E68" s="381">
        <f t="shared" ref="E68:N68" si="7">SUM(E60:E67)</f>
        <v>3.3</v>
      </c>
      <c r="F68" s="381">
        <f t="shared" si="7"/>
        <v>3.3</v>
      </c>
      <c r="G68" s="381">
        <f t="shared" si="7"/>
        <v>3.3</v>
      </c>
      <c r="H68" s="381">
        <f t="shared" si="7"/>
        <v>3.3</v>
      </c>
      <c r="I68" s="381">
        <f t="shared" si="7"/>
        <v>3.3</v>
      </c>
      <c r="J68" s="381">
        <f t="shared" si="7"/>
        <v>3.3</v>
      </c>
      <c r="K68" s="381">
        <f t="shared" si="7"/>
        <v>3.3</v>
      </c>
      <c r="L68" s="381">
        <f t="shared" si="7"/>
        <v>3.3</v>
      </c>
      <c r="M68" s="381">
        <f t="shared" si="7"/>
        <v>3.3</v>
      </c>
      <c r="N68" s="382">
        <f t="shared" si="7"/>
        <v>3.3</v>
      </c>
      <c r="O68" s="159">
        <f>AVERAGE(C68:N68)</f>
        <v>3.2999999999999994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2:59" x14ac:dyDescent="0.2">
      <c r="B69" s="267" t="str">
        <f t="shared" ref="B69:B82" si="8">B25</f>
        <v>Custom Department</v>
      </c>
      <c r="C69" s="375"/>
      <c r="D69" s="375"/>
      <c r="E69" s="375"/>
      <c r="F69" s="375"/>
      <c r="G69" s="375"/>
      <c r="H69" s="375"/>
      <c r="I69" s="375"/>
      <c r="J69" s="375"/>
      <c r="K69" s="375"/>
      <c r="L69" s="375"/>
      <c r="M69" s="375"/>
      <c r="N69" s="169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2:59" x14ac:dyDescent="0.2">
      <c r="B70" s="268" t="str">
        <f t="shared" si="8"/>
        <v>Engineering Manager</v>
      </c>
      <c r="C70" s="376">
        <v>0.25</v>
      </c>
      <c r="D70" s="376">
        <v>0.25</v>
      </c>
      <c r="E70" s="376">
        <v>0.25</v>
      </c>
      <c r="F70" s="376">
        <v>0.25</v>
      </c>
      <c r="G70" s="376">
        <v>0.25</v>
      </c>
      <c r="H70" s="376">
        <v>0.25</v>
      </c>
      <c r="I70" s="376">
        <v>0.25</v>
      </c>
      <c r="J70" s="376">
        <v>0.25</v>
      </c>
      <c r="K70" s="376">
        <v>0.25</v>
      </c>
      <c r="L70" s="376">
        <v>0.25</v>
      </c>
      <c r="M70" s="376">
        <v>0.25</v>
      </c>
      <c r="N70" s="376">
        <v>0.25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2:59" x14ac:dyDescent="0.2">
      <c r="B71" s="268" t="str">
        <f t="shared" si="8"/>
        <v>Mobile Manager</v>
      </c>
      <c r="C71" s="376"/>
      <c r="D71" s="376"/>
      <c r="E71" s="376"/>
      <c r="F71" s="376"/>
      <c r="G71" s="376"/>
      <c r="H71" s="376"/>
      <c r="I71" s="376"/>
      <c r="J71" s="376"/>
      <c r="K71" s="376"/>
      <c r="L71" s="376"/>
      <c r="M71" s="376"/>
      <c r="N71" s="377"/>
      <c r="O71" s="2"/>
      <c r="P71" s="2"/>
      <c r="Q71" s="2">
        <f>SUM(C70:N82)+SUM(C85:N92)</f>
        <v>119.4</v>
      </c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2:59" x14ac:dyDescent="0.2">
      <c r="B72" s="268" t="str">
        <f t="shared" si="8"/>
        <v>Project Manager</v>
      </c>
      <c r="C72" s="365">
        <v>0.5</v>
      </c>
      <c r="D72" s="365">
        <v>0.5</v>
      </c>
      <c r="E72" s="365">
        <v>0.5</v>
      </c>
      <c r="F72" s="365">
        <v>0.5</v>
      </c>
      <c r="G72" s="365">
        <v>0.5</v>
      </c>
      <c r="H72" s="365">
        <v>0.5</v>
      </c>
      <c r="I72" s="365">
        <v>0.5</v>
      </c>
      <c r="J72" s="365">
        <v>0.5</v>
      </c>
      <c r="K72" s="365">
        <v>0.5</v>
      </c>
      <c r="L72" s="365">
        <v>0.5</v>
      </c>
      <c r="M72" s="365">
        <v>0.5</v>
      </c>
      <c r="N72" s="368">
        <v>0.5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2:59" x14ac:dyDescent="0.2">
      <c r="B73" s="268" t="str">
        <f t="shared" si="8"/>
        <v>Backend Developer 1</v>
      </c>
      <c r="C73" s="356">
        <v>1</v>
      </c>
      <c r="D73" s="356">
        <v>1</v>
      </c>
      <c r="E73" s="356">
        <v>1</v>
      </c>
      <c r="F73" s="356">
        <v>1</v>
      </c>
      <c r="G73" s="356">
        <v>1</v>
      </c>
      <c r="H73" s="356">
        <v>1</v>
      </c>
      <c r="I73" s="356">
        <v>1</v>
      </c>
      <c r="J73" s="356">
        <v>1</v>
      </c>
      <c r="K73" s="356">
        <v>1</v>
      </c>
      <c r="L73" s="356">
        <v>1</v>
      </c>
      <c r="M73" s="356">
        <v>1</v>
      </c>
      <c r="N73" s="373">
        <v>1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2:59" x14ac:dyDescent="0.2">
      <c r="B74" s="268" t="str">
        <f t="shared" si="8"/>
        <v>Backend Developer 2</v>
      </c>
      <c r="C74" s="356">
        <v>0</v>
      </c>
      <c r="D74" s="366">
        <v>0</v>
      </c>
      <c r="E74" s="366">
        <v>0</v>
      </c>
      <c r="F74" s="366">
        <v>0</v>
      </c>
      <c r="G74" s="366">
        <v>0</v>
      </c>
      <c r="H74" s="366">
        <v>0</v>
      </c>
      <c r="I74" s="366">
        <v>0</v>
      </c>
      <c r="J74" s="366">
        <v>0</v>
      </c>
      <c r="K74" s="366">
        <v>0</v>
      </c>
      <c r="L74" s="366">
        <v>0</v>
      </c>
      <c r="M74" s="366">
        <v>0</v>
      </c>
      <c r="N74" s="366">
        <v>0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2:59" x14ac:dyDescent="0.2">
      <c r="B75" s="268" t="str">
        <f t="shared" si="8"/>
        <v>Backend Developer 3</v>
      </c>
      <c r="C75" s="356">
        <v>1</v>
      </c>
      <c r="D75" s="356">
        <v>1</v>
      </c>
      <c r="E75" s="356">
        <v>1</v>
      </c>
      <c r="F75" s="356">
        <v>1</v>
      </c>
      <c r="G75" s="356">
        <v>1</v>
      </c>
      <c r="H75" s="356">
        <v>1</v>
      </c>
      <c r="I75" s="356">
        <v>1</v>
      </c>
      <c r="J75" s="356">
        <v>1</v>
      </c>
      <c r="K75" s="356">
        <v>1</v>
      </c>
      <c r="L75" s="356">
        <v>1</v>
      </c>
      <c r="M75" s="356">
        <v>1</v>
      </c>
      <c r="N75" s="373">
        <v>1</v>
      </c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  <c r="Z75" s="158"/>
      <c r="AA75" s="158"/>
      <c r="AB75" s="158"/>
      <c r="AC75" s="158"/>
      <c r="AD75" s="158"/>
      <c r="AE75" s="158"/>
      <c r="AF75" s="158"/>
      <c r="AG75" s="158"/>
      <c r="AH75" s="158"/>
      <c r="AI75" s="158"/>
      <c r="AJ75" s="158"/>
      <c r="AK75" s="158"/>
      <c r="AL75" s="158"/>
      <c r="AM75" s="158"/>
      <c r="AN75" s="158"/>
      <c r="AO75" s="158"/>
      <c r="AP75" s="158"/>
      <c r="AQ75" s="158"/>
      <c r="AR75" s="158"/>
      <c r="AS75" s="158"/>
      <c r="AT75" s="158"/>
      <c r="AU75" s="158"/>
      <c r="AV75" s="158"/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158"/>
    </row>
    <row r="76" spans="2:59" x14ac:dyDescent="0.2">
      <c r="B76" s="268" t="str">
        <f t="shared" si="8"/>
        <v>Backend Developer 4</v>
      </c>
      <c r="C76" s="356">
        <v>1</v>
      </c>
      <c r="D76" s="356">
        <v>1</v>
      </c>
      <c r="E76" s="356">
        <v>1</v>
      </c>
      <c r="F76" s="356">
        <v>1</v>
      </c>
      <c r="G76" s="356">
        <v>1</v>
      </c>
      <c r="H76" s="356">
        <v>1</v>
      </c>
      <c r="I76" s="356">
        <v>1</v>
      </c>
      <c r="J76" s="356">
        <v>1</v>
      </c>
      <c r="K76" s="356">
        <v>1</v>
      </c>
      <c r="L76" s="356">
        <v>1</v>
      </c>
      <c r="M76" s="356">
        <v>1</v>
      </c>
      <c r="N76" s="373">
        <v>1</v>
      </c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58"/>
      <c r="AA76" s="158"/>
      <c r="AB76" s="158"/>
      <c r="AC76" s="158"/>
      <c r="AD76" s="158"/>
      <c r="AE76" s="158"/>
      <c r="AF76" s="158"/>
      <c r="AG76" s="158"/>
      <c r="AH76" s="158"/>
      <c r="AI76" s="158"/>
      <c r="AJ76" s="158"/>
      <c r="AK76" s="158"/>
      <c r="AL76" s="158"/>
      <c r="AM76" s="158"/>
      <c r="AN76" s="158"/>
      <c r="AO76" s="158"/>
      <c r="AP76" s="158"/>
      <c r="AQ76" s="158"/>
      <c r="AR76" s="158"/>
      <c r="AS76" s="158"/>
      <c r="AT76" s="158"/>
      <c r="AU76" s="158"/>
      <c r="AV76" s="158"/>
      <c r="AW76" s="158"/>
      <c r="AX76" s="158"/>
      <c r="AY76" s="158"/>
      <c r="AZ76" s="158"/>
      <c r="BA76" s="158"/>
      <c r="BB76" s="158"/>
      <c r="BC76" s="158"/>
      <c r="BD76" s="158"/>
      <c r="BE76" s="158"/>
      <c r="BF76" s="158"/>
      <c r="BG76" s="158"/>
    </row>
    <row r="77" spans="2:59" x14ac:dyDescent="0.2">
      <c r="B77" s="268" t="str">
        <f t="shared" si="8"/>
        <v>Backend Developer 5</v>
      </c>
      <c r="C77" s="356">
        <v>0</v>
      </c>
      <c r="D77" s="356">
        <v>0</v>
      </c>
      <c r="E77" s="356">
        <v>0</v>
      </c>
      <c r="F77" s="356">
        <v>0</v>
      </c>
      <c r="G77" s="356">
        <v>0</v>
      </c>
      <c r="H77" s="356">
        <v>0</v>
      </c>
      <c r="I77" s="356">
        <v>0</v>
      </c>
      <c r="J77" s="356">
        <v>0</v>
      </c>
      <c r="K77" s="356">
        <v>0</v>
      </c>
      <c r="L77" s="356">
        <v>0</v>
      </c>
      <c r="M77" s="356">
        <v>0</v>
      </c>
      <c r="N77" s="356">
        <v>0</v>
      </c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58"/>
      <c r="AA77" s="158"/>
      <c r="AB77" s="158"/>
      <c r="AC77" s="158"/>
      <c r="AD77" s="158"/>
      <c r="AE77" s="158"/>
      <c r="AF77" s="158"/>
      <c r="AG77" s="158"/>
      <c r="AH77" s="158"/>
      <c r="AI77" s="158"/>
      <c r="AJ77" s="158"/>
      <c r="AK77" s="158"/>
      <c r="AL77" s="158"/>
      <c r="AM77" s="158"/>
      <c r="AN77" s="158"/>
      <c r="AO77" s="158"/>
      <c r="AP77" s="158"/>
      <c r="AQ77" s="158"/>
      <c r="AR77" s="158"/>
      <c r="AS77" s="158"/>
      <c r="AT77" s="158"/>
      <c r="AU77" s="158"/>
      <c r="AV77" s="158"/>
      <c r="AW77" s="158"/>
      <c r="AX77" s="158"/>
      <c r="AY77" s="158"/>
      <c r="AZ77" s="158"/>
      <c r="BA77" s="158"/>
      <c r="BB77" s="158"/>
      <c r="BC77" s="158"/>
      <c r="BD77" s="158"/>
      <c r="BE77" s="158"/>
      <c r="BF77" s="158"/>
      <c r="BG77" s="158"/>
    </row>
    <row r="78" spans="2:59" x14ac:dyDescent="0.2">
      <c r="B78" s="268" t="str">
        <f t="shared" si="8"/>
        <v>Project Manager</v>
      </c>
      <c r="C78" s="356">
        <v>0</v>
      </c>
      <c r="D78" s="356">
        <v>0</v>
      </c>
      <c r="E78" s="356">
        <v>0</v>
      </c>
      <c r="F78" s="356">
        <v>0</v>
      </c>
      <c r="G78" s="356">
        <v>0</v>
      </c>
      <c r="H78" s="356">
        <v>0</v>
      </c>
      <c r="I78" s="356">
        <v>0</v>
      </c>
      <c r="J78" s="356">
        <v>0</v>
      </c>
      <c r="K78" s="356">
        <v>0</v>
      </c>
      <c r="L78" s="356">
        <v>0</v>
      </c>
      <c r="M78" s="356">
        <v>0</v>
      </c>
      <c r="N78" s="356">
        <v>0</v>
      </c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8"/>
      <c r="AM78" s="158"/>
      <c r="AN78" s="158"/>
      <c r="AO78" s="158"/>
      <c r="AP78" s="158"/>
      <c r="AQ78" s="158"/>
      <c r="AR78" s="158"/>
      <c r="AS78" s="158"/>
      <c r="AT78" s="158"/>
      <c r="AU78" s="158"/>
      <c r="AV78" s="158"/>
      <c r="AW78" s="158"/>
      <c r="AX78" s="158"/>
      <c r="AY78" s="158"/>
      <c r="AZ78" s="158"/>
      <c r="BA78" s="158"/>
      <c r="BB78" s="158"/>
      <c r="BC78" s="158"/>
      <c r="BD78" s="158"/>
      <c r="BE78" s="158"/>
      <c r="BF78" s="158"/>
      <c r="BG78" s="158"/>
    </row>
    <row r="79" spans="2:59" x14ac:dyDescent="0.2">
      <c r="B79" s="268" t="str">
        <f t="shared" si="8"/>
        <v>Mobile Developer 1</v>
      </c>
      <c r="C79" s="356">
        <v>1</v>
      </c>
      <c r="D79" s="356">
        <v>1</v>
      </c>
      <c r="E79" s="356">
        <v>1</v>
      </c>
      <c r="F79" s="356">
        <v>1</v>
      </c>
      <c r="G79" s="356">
        <v>1</v>
      </c>
      <c r="H79" s="356">
        <v>1</v>
      </c>
      <c r="I79" s="356">
        <v>1</v>
      </c>
      <c r="J79" s="356">
        <v>1</v>
      </c>
      <c r="K79" s="356">
        <v>1</v>
      </c>
      <c r="L79" s="356">
        <v>1</v>
      </c>
      <c r="M79" s="356">
        <v>1</v>
      </c>
      <c r="N79" s="373">
        <v>1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2:59" x14ac:dyDescent="0.2">
      <c r="B80" s="268" t="str">
        <f t="shared" si="8"/>
        <v>Mobile Developer 2</v>
      </c>
      <c r="C80" s="356">
        <v>0</v>
      </c>
      <c r="D80" s="356">
        <v>0</v>
      </c>
      <c r="E80" s="356">
        <v>0</v>
      </c>
      <c r="F80" s="356">
        <v>0</v>
      </c>
      <c r="G80" s="356">
        <v>0</v>
      </c>
      <c r="H80" s="356">
        <v>0</v>
      </c>
      <c r="I80" s="356">
        <v>0</v>
      </c>
      <c r="J80" s="356">
        <v>0</v>
      </c>
      <c r="K80" s="356">
        <v>0</v>
      </c>
      <c r="L80" s="356">
        <v>0</v>
      </c>
      <c r="M80" s="356">
        <v>0</v>
      </c>
      <c r="N80" s="356">
        <v>0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2:59" x14ac:dyDescent="0.2">
      <c r="B81" s="268" t="str">
        <f t="shared" si="8"/>
        <v>Tester</v>
      </c>
      <c r="C81" s="365">
        <v>0.5</v>
      </c>
      <c r="D81" s="365">
        <v>0.5</v>
      </c>
      <c r="E81" s="365">
        <v>0.5</v>
      </c>
      <c r="F81" s="365">
        <v>0.5</v>
      </c>
      <c r="G81" s="371">
        <v>0.5</v>
      </c>
      <c r="H81" s="365">
        <v>0.5</v>
      </c>
      <c r="I81" s="365">
        <v>0.5</v>
      </c>
      <c r="J81" s="371">
        <v>0.5</v>
      </c>
      <c r="K81" s="365">
        <v>0.5</v>
      </c>
      <c r="L81" s="365">
        <v>0.5</v>
      </c>
      <c r="M81" s="371">
        <v>0.5</v>
      </c>
      <c r="N81" s="365">
        <v>0.5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2:59" x14ac:dyDescent="0.2">
      <c r="B82" s="274" t="str">
        <f t="shared" si="8"/>
        <v>Tester</v>
      </c>
      <c r="C82" s="376">
        <v>0.25</v>
      </c>
      <c r="D82" s="376">
        <v>0.25</v>
      </c>
      <c r="E82" s="376">
        <v>0.25</v>
      </c>
      <c r="F82" s="376">
        <v>0.25</v>
      </c>
      <c r="G82" s="376">
        <v>0.25</v>
      </c>
      <c r="H82" s="376">
        <v>0.25</v>
      </c>
      <c r="I82" s="376">
        <v>0.25</v>
      </c>
      <c r="J82" s="376">
        <v>0.25</v>
      </c>
      <c r="K82" s="376">
        <v>0.25</v>
      </c>
      <c r="L82" s="376">
        <v>0.25</v>
      </c>
      <c r="M82" s="376">
        <v>0.25</v>
      </c>
      <c r="N82" s="376">
        <v>0.25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2:59" x14ac:dyDescent="0.2">
      <c r="B83" s="266" t="s">
        <v>135</v>
      </c>
      <c r="C83" s="381">
        <f>SUM(C70:C82)</f>
        <v>5.5</v>
      </c>
      <c r="D83" s="381">
        <f t="shared" ref="D83" si="9">SUM(D70:D82)</f>
        <v>5.5</v>
      </c>
      <c r="E83" s="381">
        <f t="shared" ref="E83:N83" si="10">SUM(E70:E82)</f>
        <v>5.5</v>
      </c>
      <c r="F83" s="381">
        <f t="shared" si="10"/>
        <v>5.5</v>
      </c>
      <c r="G83" s="381">
        <f t="shared" si="10"/>
        <v>5.5</v>
      </c>
      <c r="H83" s="381">
        <f t="shared" si="10"/>
        <v>5.5</v>
      </c>
      <c r="I83" s="381">
        <f t="shared" si="10"/>
        <v>5.5</v>
      </c>
      <c r="J83" s="381">
        <f t="shared" si="10"/>
        <v>5.5</v>
      </c>
      <c r="K83" s="381">
        <f t="shared" si="10"/>
        <v>5.5</v>
      </c>
      <c r="L83" s="381">
        <f t="shared" si="10"/>
        <v>5.5</v>
      </c>
      <c r="M83" s="381">
        <f t="shared" si="10"/>
        <v>5.5</v>
      </c>
      <c r="N83" s="382">
        <f t="shared" si="10"/>
        <v>5.5</v>
      </c>
      <c r="O83" s="159">
        <f>AVERAGE(C83:N83)</f>
        <v>5.5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2:59" x14ac:dyDescent="0.2">
      <c r="B84" s="267" t="str">
        <f t="shared" ref="B84:B92" si="11">B39</f>
        <v>Websites Department</v>
      </c>
      <c r="C84" s="375"/>
      <c r="D84" s="375"/>
      <c r="E84" s="375"/>
      <c r="F84" s="375"/>
      <c r="G84" s="375"/>
      <c r="H84" s="375"/>
      <c r="I84" s="375"/>
      <c r="J84" s="375"/>
      <c r="K84" s="375"/>
      <c r="L84" s="375"/>
      <c r="M84" s="375"/>
      <c r="N84" s="169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2:59" x14ac:dyDescent="0.2">
      <c r="B85" s="268" t="str">
        <f t="shared" si="11"/>
        <v>Engineering Manager</v>
      </c>
      <c r="C85" s="365">
        <v>0.2</v>
      </c>
      <c r="D85" s="365">
        <v>0.2</v>
      </c>
      <c r="E85" s="365">
        <v>0.2</v>
      </c>
      <c r="F85" s="365">
        <v>0.2</v>
      </c>
      <c r="G85" s="365">
        <v>0.2</v>
      </c>
      <c r="H85" s="365">
        <v>0.2</v>
      </c>
      <c r="I85" s="365">
        <v>0.2</v>
      </c>
      <c r="J85" s="365">
        <v>0.2</v>
      </c>
      <c r="K85" s="365">
        <v>0.2</v>
      </c>
      <c r="L85" s="365">
        <v>0.2</v>
      </c>
      <c r="M85" s="365">
        <v>0.2</v>
      </c>
      <c r="N85" s="368">
        <v>0.2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2:59" x14ac:dyDescent="0.2">
      <c r="B86" s="268" t="str">
        <f t="shared" si="11"/>
        <v>Project Manager</v>
      </c>
      <c r="C86" s="365">
        <v>0.5</v>
      </c>
      <c r="D86" s="365">
        <v>0.5</v>
      </c>
      <c r="E86" s="365">
        <v>0.5</v>
      </c>
      <c r="F86" s="365">
        <v>0.5</v>
      </c>
      <c r="G86" s="365">
        <v>0.5</v>
      </c>
      <c r="H86" s="365">
        <v>0.5</v>
      </c>
      <c r="I86" s="365">
        <v>0.5</v>
      </c>
      <c r="J86" s="365">
        <v>0.5</v>
      </c>
      <c r="K86" s="365">
        <v>0.5</v>
      </c>
      <c r="L86" s="365">
        <v>0.5</v>
      </c>
      <c r="M86" s="365">
        <v>0.5</v>
      </c>
      <c r="N86" s="368">
        <v>0.5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2:59" x14ac:dyDescent="0.2">
      <c r="B87" s="268" t="str">
        <f t="shared" si="11"/>
        <v>Frontend Designer</v>
      </c>
      <c r="C87" s="356">
        <v>1</v>
      </c>
      <c r="D87" s="356">
        <v>1</v>
      </c>
      <c r="E87" s="356">
        <v>1</v>
      </c>
      <c r="F87" s="356">
        <v>1</v>
      </c>
      <c r="G87" s="356">
        <v>1</v>
      </c>
      <c r="H87" s="356">
        <v>1</v>
      </c>
      <c r="I87" s="356">
        <v>1</v>
      </c>
      <c r="J87" s="356">
        <v>1</v>
      </c>
      <c r="K87" s="356">
        <v>1</v>
      </c>
      <c r="L87" s="356">
        <v>1</v>
      </c>
      <c r="M87" s="356">
        <v>1</v>
      </c>
      <c r="N87" s="373">
        <v>1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2:59" x14ac:dyDescent="0.2">
      <c r="B88" s="268" t="str">
        <f t="shared" si="11"/>
        <v>Frontend Developer 1</v>
      </c>
      <c r="C88" s="356">
        <v>1</v>
      </c>
      <c r="D88" s="356">
        <v>1</v>
      </c>
      <c r="E88" s="356">
        <v>1</v>
      </c>
      <c r="F88" s="356">
        <v>1</v>
      </c>
      <c r="G88" s="356">
        <v>1</v>
      </c>
      <c r="H88" s="356">
        <v>1</v>
      </c>
      <c r="I88" s="356">
        <v>1</v>
      </c>
      <c r="J88" s="356">
        <v>1</v>
      </c>
      <c r="K88" s="356">
        <v>1</v>
      </c>
      <c r="L88" s="356">
        <v>1</v>
      </c>
      <c r="M88" s="356">
        <v>1</v>
      </c>
      <c r="N88" s="373">
        <v>1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2:59" x14ac:dyDescent="0.2">
      <c r="B89" s="268" t="str">
        <f t="shared" si="11"/>
        <v>Frontend Developer 2</v>
      </c>
      <c r="C89" s="356">
        <v>1</v>
      </c>
      <c r="D89" s="356">
        <v>1</v>
      </c>
      <c r="E89" s="356">
        <v>1</v>
      </c>
      <c r="F89" s="356">
        <v>1</v>
      </c>
      <c r="G89" s="356">
        <v>1</v>
      </c>
      <c r="H89" s="356">
        <v>1</v>
      </c>
      <c r="I89" s="356">
        <v>1</v>
      </c>
      <c r="J89" s="356">
        <v>1</v>
      </c>
      <c r="K89" s="356">
        <v>1</v>
      </c>
      <c r="L89" s="356">
        <v>1</v>
      </c>
      <c r="M89" s="356">
        <v>1</v>
      </c>
      <c r="N89" s="373">
        <v>1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2:59" x14ac:dyDescent="0.2">
      <c r="B90" s="268" t="str">
        <f t="shared" si="11"/>
        <v>Frontend Developer 3</v>
      </c>
      <c r="C90" s="376"/>
      <c r="D90" s="376"/>
      <c r="E90" s="376"/>
      <c r="F90" s="376"/>
      <c r="G90" s="376"/>
      <c r="H90" s="376"/>
      <c r="I90" s="376"/>
      <c r="J90" s="376"/>
      <c r="K90" s="376"/>
      <c r="L90" s="376"/>
      <c r="M90" s="376"/>
      <c r="N90" s="377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2:59" x14ac:dyDescent="0.2">
      <c r="B91" s="268" t="str">
        <f t="shared" si="11"/>
        <v>Tester</v>
      </c>
      <c r="C91" s="365">
        <v>0.5</v>
      </c>
      <c r="D91" s="365">
        <v>0.5</v>
      </c>
      <c r="E91" s="365">
        <v>0.5</v>
      </c>
      <c r="F91" s="365">
        <v>0.5</v>
      </c>
      <c r="G91" s="365">
        <v>0.5</v>
      </c>
      <c r="H91" s="365">
        <v>0.5</v>
      </c>
      <c r="I91" s="365">
        <v>0.5</v>
      </c>
      <c r="J91" s="365">
        <v>0.5</v>
      </c>
      <c r="K91" s="365">
        <v>0.5</v>
      </c>
      <c r="L91" s="365">
        <v>0.5</v>
      </c>
      <c r="M91" s="365">
        <v>0.5</v>
      </c>
      <c r="N91" s="365">
        <v>0.5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2:59" x14ac:dyDescent="0.2">
      <c r="B92" s="268" t="str">
        <f t="shared" si="11"/>
        <v>Tester</v>
      </c>
      <c r="C92" s="376">
        <f>C82</f>
        <v>0.25</v>
      </c>
      <c r="D92" s="376">
        <f t="shared" ref="D92:N92" si="12">D82</f>
        <v>0.25</v>
      </c>
      <c r="E92" s="376">
        <f t="shared" si="12"/>
        <v>0.25</v>
      </c>
      <c r="F92" s="376">
        <f t="shared" si="12"/>
        <v>0.25</v>
      </c>
      <c r="G92" s="376">
        <f t="shared" si="12"/>
        <v>0.25</v>
      </c>
      <c r="H92" s="376">
        <f t="shared" si="12"/>
        <v>0.25</v>
      </c>
      <c r="I92" s="376">
        <f t="shared" si="12"/>
        <v>0.25</v>
      </c>
      <c r="J92" s="376">
        <f t="shared" si="12"/>
        <v>0.25</v>
      </c>
      <c r="K92" s="376">
        <f t="shared" si="12"/>
        <v>0.25</v>
      </c>
      <c r="L92" s="376">
        <f t="shared" si="12"/>
        <v>0.25</v>
      </c>
      <c r="M92" s="376">
        <f t="shared" si="12"/>
        <v>0.25</v>
      </c>
      <c r="N92" s="376">
        <f t="shared" si="12"/>
        <v>0.25</v>
      </c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58"/>
      <c r="Z92" s="158"/>
      <c r="AA92" s="158"/>
      <c r="AB92" s="158"/>
      <c r="AC92" s="158"/>
      <c r="AD92" s="158"/>
      <c r="AE92" s="158"/>
      <c r="AF92" s="158"/>
      <c r="AG92" s="158"/>
      <c r="AH92" s="158"/>
      <c r="AI92" s="158"/>
      <c r="AJ92" s="158"/>
      <c r="AK92" s="158"/>
      <c r="AL92" s="158"/>
      <c r="AM92" s="158"/>
      <c r="AN92" s="158"/>
      <c r="AO92" s="158"/>
      <c r="AP92" s="158"/>
      <c r="AQ92" s="158"/>
      <c r="AR92" s="158"/>
      <c r="AS92" s="158"/>
      <c r="AT92" s="158"/>
      <c r="AU92" s="158"/>
      <c r="AV92" s="158"/>
      <c r="AW92" s="158"/>
      <c r="AX92" s="158"/>
      <c r="AY92" s="158"/>
      <c r="AZ92" s="158"/>
      <c r="BA92" s="158"/>
      <c r="BB92" s="158"/>
      <c r="BC92" s="158"/>
      <c r="BD92" s="158"/>
      <c r="BE92" s="158"/>
      <c r="BF92" s="158"/>
      <c r="BG92" s="158"/>
    </row>
    <row r="93" spans="2:59" x14ac:dyDescent="0.2">
      <c r="B93" s="266" t="s">
        <v>136</v>
      </c>
      <c r="C93" s="381">
        <f t="shared" ref="C93:N93" si="13">SUM(C85:C92)</f>
        <v>4.45</v>
      </c>
      <c r="D93" s="381">
        <f t="shared" ref="D93" si="14">SUM(D85:D92)</f>
        <v>4.45</v>
      </c>
      <c r="E93" s="381">
        <f t="shared" si="13"/>
        <v>4.45</v>
      </c>
      <c r="F93" s="381">
        <f t="shared" si="13"/>
        <v>4.45</v>
      </c>
      <c r="G93" s="381">
        <f t="shared" si="13"/>
        <v>4.45</v>
      </c>
      <c r="H93" s="381">
        <f t="shared" si="13"/>
        <v>4.45</v>
      </c>
      <c r="I93" s="381">
        <f t="shared" si="13"/>
        <v>4.45</v>
      </c>
      <c r="J93" s="381">
        <f t="shared" si="13"/>
        <v>4.45</v>
      </c>
      <c r="K93" s="381">
        <f t="shared" si="13"/>
        <v>4.45</v>
      </c>
      <c r="L93" s="381">
        <f t="shared" si="13"/>
        <v>4.45</v>
      </c>
      <c r="M93" s="381">
        <f t="shared" si="13"/>
        <v>4.45</v>
      </c>
      <c r="N93" s="382">
        <f t="shared" si="13"/>
        <v>4.45</v>
      </c>
      <c r="O93" s="159">
        <f>AVERAGE(C93:N93)</f>
        <v>4.4500000000000011</v>
      </c>
      <c r="P93" s="158"/>
      <c r="Q93" s="158"/>
      <c r="R93" s="158"/>
      <c r="S93" s="158"/>
      <c r="T93" s="158"/>
      <c r="U93" s="158"/>
      <c r="V93" s="158"/>
      <c r="W93" s="158"/>
      <c r="X93" s="158"/>
      <c r="Y93" s="158"/>
      <c r="Z93" s="158"/>
      <c r="AA93" s="158"/>
      <c r="AB93" s="158"/>
      <c r="AC93" s="158"/>
      <c r="AD93" s="158"/>
      <c r="AE93" s="158"/>
      <c r="AF93" s="158"/>
      <c r="AG93" s="158"/>
      <c r="AH93" s="158"/>
      <c r="AI93" s="158"/>
      <c r="AJ93" s="158"/>
      <c r="AK93" s="158"/>
      <c r="AL93" s="158"/>
      <c r="AM93" s="158"/>
      <c r="AN93" s="158"/>
      <c r="AO93" s="158"/>
      <c r="AP93" s="158"/>
      <c r="AQ93" s="158"/>
      <c r="AR93" s="158"/>
      <c r="AS93" s="158"/>
      <c r="AT93" s="158"/>
      <c r="AU93" s="158"/>
      <c r="AV93" s="158"/>
      <c r="AW93" s="158"/>
      <c r="AX93" s="158"/>
      <c r="AY93" s="158"/>
      <c r="AZ93" s="158"/>
      <c r="BA93" s="158"/>
      <c r="BB93" s="158"/>
      <c r="BC93" s="158"/>
      <c r="BD93" s="158"/>
      <c r="BE93" s="158"/>
      <c r="BF93" s="158"/>
      <c r="BG93" s="158"/>
    </row>
    <row r="94" spans="2:59" x14ac:dyDescent="0.2">
      <c r="B94" s="267" t="s">
        <v>213</v>
      </c>
      <c r="C94" s="375"/>
      <c r="D94" s="375"/>
      <c r="E94" s="375"/>
      <c r="F94" s="375"/>
      <c r="G94" s="375"/>
      <c r="H94" s="375"/>
      <c r="I94" s="375"/>
      <c r="J94" s="375"/>
      <c r="K94" s="375"/>
      <c r="L94" s="375"/>
      <c r="M94" s="375"/>
      <c r="N94" s="169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2:59" x14ac:dyDescent="0.2">
      <c r="B95" s="268" t="s">
        <v>117</v>
      </c>
      <c r="C95" s="376">
        <v>0.25</v>
      </c>
      <c r="D95" s="376">
        <v>0.25</v>
      </c>
      <c r="E95" s="376">
        <v>0.25</v>
      </c>
      <c r="F95" s="376">
        <v>0.25</v>
      </c>
      <c r="G95" s="376">
        <v>0.25</v>
      </c>
      <c r="H95" s="376">
        <v>0.25</v>
      </c>
      <c r="I95" s="376">
        <v>0.25</v>
      </c>
      <c r="J95" s="376">
        <v>0.25</v>
      </c>
      <c r="K95" s="376">
        <v>0.25</v>
      </c>
      <c r="L95" s="376">
        <v>0.25</v>
      </c>
      <c r="M95" s="376">
        <v>0.25</v>
      </c>
      <c r="N95" s="376">
        <v>0.25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2:59" x14ac:dyDescent="0.2">
      <c r="B96" s="268" t="s">
        <v>210</v>
      </c>
      <c r="C96" s="356">
        <v>1</v>
      </c>
      <c r="D96" s="356">
        <v>1</v>
      </c>
      <c r="E96" s="356">
        <v>1</v>
      </c>
      <c r="F96" s="356">
        <v>1</v>
      </c>
      <c r="G96" s="356">
        <v>1</v>
      </c>
      <c r="H96" s="356">
        <v>1</v>
      </c>
      <c r="I96" s="356">
        <v>1</v>
      </c>
      <c r="J96" s="356">
        <v>1</v>
      </c>
      <c r="K96" s="356">
        <v>1</v>
      </c>
      <c r="L96" s="356">
        <v>1</v>
      </c>
      <c r="M96" s="356">
        <v>1</v>
      </c>
      <c r="N96" s="373">
        <v>1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2:59" x14ac:dyDescent="0.2">
      <c r="B97" s="268" t="s">
        <v>211</v>
      </c>
      <c r="C97" s="356">
        <v>1</v>
      </c>
      <c r="D97" s="356">
        <v>1</v>
      </c>
      <c r="E97" s="356">
        <v>1</v>
      </c>
      <c r="F97" s="356">
        <v>1</v>
      </c>
      <c r="G97" s="356">
        <v>1</v>
      </c>
      <c r="H97" s="356">
        <v>1</v>
      </c>
      <c r="I97" s="356">
        <v>1</v>
      </c>
      <c r="J97" s="356">
        <v>1</v>
      </c>
      <c r="K97" s="356">
        <v>1</v>
      </c>
      <c r="L97" s="356">
        <v>1</v>
      </c>
      <c r="M97" s="356">
        <v>1</v>
      </c>
      <c r="N97" s="373">
        <v>1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2:59" x14ac:dyDescent="0.2">
      <c r="B98" s="268" t="s">
        <v>211</v>
      </c>
      <c r="C98" s="356">
        <v>1</v>
      </c>
      <c r="D98" s="356">
        <v>1</v>
      </c>
      <c r="E98" s="356">
        <v>1</v>
      </c>
      <c r="F98" s="356">
        <v>1</v>
      </c>
      <c r="G98" s="356">
        <v>1</v>
      </c>
      <c r="H98" s="356">
        <v>1</v>
      </c>
      <c r="I98" s="356">
        <v>1</v>
      </c>
      <c r="J98" s="356">
        <v>1</v>
      </c>
      <c r="K98" s="356">
        <v>1</v>
      </c>
      <c r="L98" s="356">
        <v>1</v>
      </c>
      <c r="M98" s="356">
        <v>1</v>
      </c>
      <c r="N98" s="373">
        <v>1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2:59" x14ac:dyDescent="0.2">
      <c r="B99" s="268" t="s">
        <v>118</v>
      </c>
      <c r="C99" s="356">
        <v>0</v>
      </c>
      <c r="D99" s="356">
        <v>0</v>
      </c>
      <c r="E99" s="356">
        <v>0</v>
      </c>
      <c r="F99" s="356">
        <v>0</v>
      </c>
      <c r="G99" s="356">
        <v>0</v>
      </c>
      <c r="H99" s="356">
        <v>0</v>
      </c>
      <c r="I99" s="356">
        <v>0</v>
      </c>
      <c r="J99" s="356">
        <v>0</v>
      </c>
      <c r="K99" s="356">
        <v>0</v>
      </c>
      <c r="L99" s="356">
        <v>0</v>
      </c>
      <c r="M99" s="356">
        <v>0</v>
      </c>
      <c r="N99" s="356">
        <v>0</v>
      </c>
      <c r="O99" s="165"/>
      <c r="P99" s="165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2:59" x14ac:dyDescent="0.2">
      <c r="B100" s="268" t="str">
        <f>B54</f>
        <v>Business Analyst/Documentation</v>
      </c>
      <c r="C100" s="356">
        <v>0</v>
      </c>
      <c r="D100" s="356">
        <v>0</v>
      </c>
      <c r="E100" s="356">
        <v>0</v>
      </c>
      <c r="F100" s="356">
        <v>0</v>
      </c>
      <c r="G100" s="356">
        <v>0</v>
      </c>
      <c r="H100" s="356">
        <v>0</v>
      </c>
      <c r="I100" s="356">
        <v>0</v>
      </c>
      <c r="J100" s="356">
        <v>0</v>
      </c>
      <c r="K100" s="356">
        <v>0</v>
      </c>
      <c r="L100" s="356">
        <v>0</v>
      </c>
      <c r="M100" s="356">
        <v>0</v>
      </c>
      <c r="N100" s="356">
        <v>0</v>
      </c>
      <c r="O100" s="167">
        <f>SUM(C109:N109)</f>
        <v>273</v>
      </c>
      <c r="P100" s="166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2:59" x14ac:dyDescent="0.2">
      <c r="B101" s="268" t="s">
        <v>126</v>
      </c>
      <c r="C101" s="365">
        <v>0.5</v>
      </c>
      <c r="D101" s="365">
        <v>0.5</v>
      </c>
      <c r="E101" s="365">
        <v>0.5</v>
      </c>
      <c r="F101" s="365">
        <v>0.5</v>
      </c>
      <c r="G101" s="365">
        <v>0.5</v>
      </c>
      <c r="H101" s="365">
        <v>0.5</v>
      </c>
      <c r="I101" s="365">
        <v>0.5</v>
      </c>
      <c r="J101" s="365">
        <v>0.5</v>
      </c>
      <c r="K101" s="365">
        <v>0.5</v>
      </c>
      <c r="L101" s="365">
        <v>0.5</v>
      </c>
      <c r="M101" s="365">
        <v>0.5</v>
      </c>
      <c r="N101" s="365">
        <v>0.5</v>
      </c>
      <c r="O101" s="167">
        <f>SUM(C110:N110)</f>
        <v>0</v>
      </c>
      <c r="P101" s="166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2:59" x14ac:dyDescent="0.2">
      <c r="B102" s="266" t="s">
        <v>214</v>
      </c>
      <c r="C102" s="381">
        <f t="shared" ref="C102:N102" si="15">SUM(C94:C101)</f>
        <v>3.75</v>
      </c>
      <c r="D102" s="381">
        <f t="shared" ref="D102" si="16">SUM(D94:D101)</f>
        <v>3.75</v>
      </c>
      <c r="E102" s="381">
        <f t="shared" si="15"/>
        <v>3.75</v>
      </c>
      <c r="F102" s="381">
        <f t="shared" si="15"/>
        <v>3.75</v>
      </c>
      <c r="G102" s="381">
        <f t="shared" si="15"/>
        <v>3.75</v>
      </c>
      <c r="H102" s="381">
        <f t="shared" si="15"/>
        <v>3.75</v>
      </c>
      <c r="I102" s="381">
        <f t="shared" si="15"/>
        <v>3.75</v>
      </c>
      <c r="J102" s="381">
        <f t="shared" si="15"/>
        <v>3.75</v>
      </c>
      <c r="K102" s="381">
        <f t="shared" si="15"/>
        <v>3.75</v>
      </c>
      <c r="L102" s="381">
        <f t="shared" si="15"/>
        <v>3.75</v>
      </c>
      <c r="M102" s="381">
        <f t="shared" si="15"/>
        <v>3.75</v>
      </c>
      <c r="N102" s="382">
        <f t="shared" si="15"/>
        <v>3.75</v>
      </c>
      <c r="O102" s="159">
        <f>AVERAGE(C102:N102)</f>
        <v>3.75</v>
      </c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  <c r="AA102" s="158"/>
      <c r="AB102" s="158"/>
      <c r="AC102" s="158"/>
      <c r="AD102" s="158"/>
      <c r="AE102" s="158"/>
      <c r="AF102" s="158"/>
      <c r="AG102" s="158"/>
      <c r="AH102" s="158"/>
      <c r="AI102" s="158"/>
      <c r="AJ102" s="158"/>
      <c r="AK102" s="158"/>
      <c r="AL102" s="158"/>
      <c r="AM102" s="158"/>
      <c r="AN102" s="158"/>
      <c r="AO102" s="158"/>
      <c r="AP102" s="158"/>
      <c r="AQ102" s="158"/>
      <c r="AR102" s="158"/>
      <c r="AS102" s="158"/>
      <c r="AT102" s="158"/>
      <c r="AU102" s="158"/>
      <c r="AV102" s="158"/>
      <c r="AW102" s="158"/>
      <c r="AX102" s="158"/>
      <c r="AY102" s="158"/>
      <c r="AZ102" s="158"/>
      <c r="BA102" s="158"/>
      <c r="BB102" s="158"/>
      <c r="BC102" s="158"/>
      <c r="BD102" s="158"/>
      <c r="BE102" s="158"/>
      <c r="BF102" s="158"/>
      <c r="BG102" s="158"/>
    </row>
    <row r="103" spans="2:59" ht="17" thickBot="1" x14ac:dyDescent="0.25">
      <c r="B103" s="269" t="s">
        <v>137</v>
      </c>
      <c r="C103" s="383">
        <f>C68+C83+C93+C102</f>
        <v>17</v>
      </c>
      <c r="D103" s="383">
        <f>D68+D83+D93+D102</f>
        <v>17</v>
      </c>
      <c r="E103" s="383">
        <f>E68+E83+E93+E102</f>
        <v>17</v>
      </c>
      <c r="F103" s="383">
        <f>F68+F83+F93+F102</f>
        <v>17</v>
      </c>
      <c r="G103" s="383">
        <f>G68+G83+G93+G102</f>
        <v>17</v>
      </c>
      <c r="H103" s="383">
        <f t="shared" ref="H103:M103" si="17">H68+H83+H93+H102</f>
        <v>17</v>
      </c>
      <c r="I103" s="383">
        <f t="shared" si="17"/>
        <v>17</v>
      </c>
      <c r="J103" s="383">
        <f t="shared" si="17"/>
        <v>17</v>
      </c>
      <c r="K103" s="383">
        <f t="shared" si="17"/>
        <v>17</v>
      </c>
      <c r="L103" s="383">
        <f t="shared" si="17"/>
        <v>17</v>
      </c>
      <c r="M103" s="383">
        <f t="shared" si="17"/>
        <v>17</v>
      </c>
      <c r="N103" s="384">
        <f>N68+N83+N93+N102</f>
        <v>17</v>
      </c>
      <c r="O103" s="159">
        <f>AVERAGE(C103:N103)</f>
        <v>17</v>
      </c>
      <c r="P103" s="166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2:59" ht="17" thickBot="1" x14ac:dyDescent="0.2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67"/>
      <c r="P104" s="166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2:59" x14ac:dyDescent="0.2">
      <c r="B105" s="270" t="s">
        <v>90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19"/>
      <c r="O105" s="167"/>
      <c r="P105" s="166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2:59" x14ac:dyDescent="0.2">
      <c r="B106" s="271"/>
      <c r="C106" s="160">
        <f t="shared" ref="C106:N106" si="18">C58</f>
        <v>46023</v>
      </c>
      <c r="D106" s="160">
        <f t="shared" ref="D106" si="19">D58</f>
        <v>46054</v>
      </c>
      <c r="E106" s="160">
        <f t="shared" si="18"/>
        <v>46082</v>
      </c>
      <c r="F106" s="160">
        <f t="shared" si="18"/>
        <v>46113</v>
      </c>
      <c r="G106" s="160">
        <f t="shared" si="18"/>
        <v>46143</v>
      </c>
      <c r="H106" s="160">
        <f t="shared" si="18"/>
        <v>46174</v>
      </c>
      <c r="I106" s="160">
        <f t="shared" si="18"/>
        <v>46204</v>
      </c>
      <c r="J106" s="160">
        <f t="shared" si="18"/>
        <v>46235</v>
      </c>
      <c r="K106" s="160">
        <f t="shared" si="18"/>
        <v>46266</v>
      </c>
      <c r="L106" s="160">
        <f t="shared" si="18"/>
        <v>46296</v>
      </c>
      <c r="M106" s="160">
        <f t="shared" si="18"/>
        <v>46327</v>
      </c>
      <c r="N106" s="161">
        <f t="shared" si="18"/>
        <v>46357</v>
      </c>
      <c r="O106" s="167"/>
      <c r="P106" s="166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2:59" x14ac:dyDescent="0.2">
      <c r="B107" s="272" t="s">
        <v>138</v>
      </c>
      <c r="C107" s="163">
        <v>1</v>
      </c>
      <c r="D107" s="163">
        <f>C107</f>
        <v>1</v>
      </c>
      <c r="E107" s="163">
        <f>D107</f>
        <v>1</v>
      </c>
      <c r="F107" s="163">
        <f>E107</f>
        <v>1</v>
      </c>
      <c r="G107" s="163">
        <f>F107</f>
        <v>1</v>
      </c>
      <c r="H107" s="163">
        <f t="shared" ref="H107:M107" si="20">G107</f>
        <v>1</v>
      </c>
      <c r="I107" s="163">
        <f t="shared" si="20"/>
        <v>1</v>
      </c>
      <c r="J107" s="163">
        <f t="shared" si="20"/>
        <v>1</v>
      </c>
      <c r="K107" s="163">
        <f>J107</f>
        <v>1</v>
      </c>
      <c r="L107" s="163">
        <f t="shared" si="20"/>
        <v>1</v>
      </c>
      <c r="M107" s="163">
        <f t="shared" si="20"/>
        <v>1</v>
      </c>
      <c r="N107" s="164">
        <f>M107</f>
        <v>1</v>
      </c>
      <c r="O107" s="167"/>
      <c r="P107" s="166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2:59" x14ac:dyDescent="0.2">
      <c r="B108" s="267" t="str">
        <f t="shared" ref="B108:B116" si="21">B16</f>
        <v>G&amp;A</v>
      </c>
      <c r="C108" s="156"/>
      <c r="D108" s="156"/>
      <c r="E108" s="156"/>
      <c r="F108" s="156"/>
      <c r="G108" s="156"/>
      <c r="H108" s="156"/>
      <c r="I108" s="156"/>
      <c r="J108" s="156"/>
      <c r="K108" s="156"/>
      <c r="L108" s="156"/>
      <c r="M108" s="156"/>
      <c r="N108" s="157"/>
      <c r="O108" s="167"/>
      <c r="P108" s="166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2:59" x14ac:dyDescent="0.2">
      <c r="B109" s="268" t="str">
        <f t="shared" si="21"/>
        <v>Admin Assistant</v>
      </c>
      <c r="C109" s="385">
        <f t="shared" ref="C109:N109" si="22">C60*$E17*$H17*C$107</f>
        <v>22.75</v>
      </c>
      <c r="D109" s="385">
        <f t="shared" ref="D109" si="23">D60*$E17*$H17*D$107</f>
        <v>22.75</v>
      </c>
      <c r="E109" s="385">
        <f t="shared" si="22"/>
        <v>22.75</v>
      </c>
      <c r="F109" s="385">
        <f t="shared" si="22"/>
        <v>22.75</v>
      </c>
      <c r="G109" s="385">
        <f t="shared" si="22"/>
        <v>22.75</v>
      </c>
      <c r="H109" s="385">
        <f t="shared" si="22"/>
        <v>22.75</v>
      </c>
      <c r="I109" s="385">
        <f t="shared" si="22"/>
        <v>22.75</v>
      </c>
      <c r="J109" s="385">
        <f t="shared" si="22"/>
        <v>22.75</v>
      </c>
      <c r="K109" s="385">
        <f t="shared" si="22"/>
        <v>22.75</v>
      </c>
      <c r="L109" s="385">
        <f t="shared" si="22"/>
        <v>22.75</v>
      </c>
      <c r="M109" s="385">
        <f t="shared" si="22"/>
        <v>22.75</v>
      </c>
      <c r="N109" s="386">
        <f t="shared" si="22"/>
        <v>22.75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2:59" x14ac:dyDescent="0.2">
      <c r="B110" s="268" t="str">
        <f t="shared" si="21"/>
        <v>Financial Manager</v>
      </c>
      <c r="C110" s="385">
        <f t="shared" ref="C110:N110" si="24">C61*$E18*$H18*C$107</f>
        <v>0</v>
      </c>
      <c r="D110" s="385">
        <f t="shared" ref="D110" si="25">D61*$E18*$H18*D$107</f>
        <v>0</v>
      </c>
      <c r="E110" s="385">
        <f t="shared" si="24"/>
        <v>0</v>
      </c>
      <c r="F110" s="385">
        <f t="shared" si="24"/>
        <v>0</v>
      </c>
      <c r="G110" s="385">
        <f t="shared" si="24"/>
        <v>0</v>
      </c>
      <c r="H110" s="385">
        <f t="shared" si="24"/>
        <v>0</v>
      </c>
      <c r="I110" s="385">
        <f t="shared" si="24"/>
        <v>0</v>
      </c>
      <c r="J110" s="385">
        <f t="shared" si="24"/>
        <v>0</v>
      </c>
      <c r="K110" s="385">
        <f t="shared" si="24"/>
        <v>0</v>
      </c>
      <c r="L110" s="385">
        <f t="shared" si="24"/>
        <v>0</v>
      </c>
      <c r="M110" s="385">
        <f t="shared" si="24"/>
        <v>0</v>
      </c>
      <c r="N110" s="386">
        <f t="shared" si="24"/>
        <v>0</v>
      </c>
      <c r="O110" s="2"/>
      <c r="P110" s="2"/>
      <c r="Q110" s="128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2:59" x14ac:dyDescent="0.2">
      <c r="B111" s="268" t="str">
        <f t="shared" si="21"/>
        <v>General Manager</v>
      </c>
      <c r="C111" s="385">
        <f t="shared" ref="C111:N111" si="26">C62*$E19*$H19*C$107</f>
        <v>31.2</v>
      </c>
      <c r="D111" s="385">
        <f t="shared" ref="D111" si="27">D62*$E19*$H19*D$107</f>
        <v>31.2</v>
      </c>
      <c r="E111" s="385">
        <f t="shared" si="26"/>
        <v>31.2</v>
      </c>
      <c r="F111" s="385">
        <f t="shared" si="26"/>
        <v>31.2</v>
      </c>
      <c r="G111" s="385">
        <f t="shared" si="26"/>
        <v>31.2</v>
      </c>
      <c r="H111" s="385">
        <f t="shared" si="26"/>
        <v>31.2</v>
      </c>
      <c r="I111" s="385">
        <f t="shared" si="26"/>
        <v>31.2</v>
      </c>
      <c r="J111" s="385">
        <f t="shared" si="26"/>
        <v>31.2</v>
      </c>
      <c r="K111" s="385">
        <f t="shared" si="26"/>
        <v>31.2</v>
      </c>
      <c r="L111" s="385">
        <f t="shared" si="26"/>
        <v>31.2</v>
      </c>
      <c r="M111" s="385">
        <f t="shared" si="26"/>
        <v>31.2</v>
      </c>
      <c r="N111" s="386">
        <f t="shared" si="26"/>
        <v>31.2</v>
      </c>
      <c r="O111" s="170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2:59" x14ac:dyDescent="0.2">
      <c r="B112" s="268" t="str">
        <f t="shared" si="21"/>
        <v>Technical Lead</v>
      </c>
      <c r="C112" s="385">
        <f t="shared" ref="C112:N112" si="28">C63*$E20*$H20*C$107</f>
        <v>0</v>
      </c>
      <c r="D112" s="385">
        <f t="shared" ref="D112" si="29">D63*$E20*$H20*D$107</f>
        <v>0</v>
      </c>
      <c r="E112" s="385">
        <f t="shared" si="28"/>
        <v>0</v>
      </c>
      <c r="F112" s="385">
        <f t="shared" si="28"/>
        <v>0</v>
      </c>
      <c r="G112" s="385">
        <f t="shared" si="28"/>
        <v>0</v>
      </c>
      <c r="H112" s="385">
        <f t="shared" si="28"/>
        <v>0</v>
      </c>
      <c r="I112" s="385">
        <f t="shared" si="28"/>
        <v>0</v>
      </c>
      <c r="J112" s="385">
        <f t="shared" si="28"/>
        <v>0</v>
      </c>
      <c r="K112" s="385">
        <f t="shared" si="28"/>
        <v>0</v>
      </c>
      <c r="L112" s="385">
        <f t="shared" si="28"/>
        <v>0</v>
      </c>
      <c r="M112" s="385">
        <f t="shared" si="28"/>
        <v>0</v>
      </c>
      <c r="N112" s="386">
        <f t="shared" si="28"/>
        <v>0</v>
      </c>
      <c r="O112" s="170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2:59" x14ac:dyDescent="0.2">
      <c r="B113" s="268" t="str">
        <f t="shared" si="21"/>
        <v>Sr. Sales</v>
      </c>
      <c r="C113" s="385">
        <f t="shared" ref="C113:N113" si="30">C64*$E21*$H21*C$107</f>
        <v>0</v>
      </c>
      <c r="D113" s="385">
        <f t="shared" ref="D113" si="31">D64*$E21*$H21*D$107</f>
        <v>0</v>
      </c>
      <c r="E113" s="385">
        <f t="shared" si="30"/>
        <v>0</v>
      </c>
      <c r="F113" s="385">
        <f t="shared" si="30"/>
        <v>0</v>
      </c>
      <c r="G113" s="385">
        <f t="shared" si="30"/>
        <v>0</v>
      </c>
      <c r="H113" s="385">
        <f t="shared" si="30"/>
        <v>0</v>
      </c>
      <c r="I113" s="385">
        <f t="shared" si="30"/>
        <v>0</v>
      </c>
      <c r="J113" s="385">
        <f t="shared" si="30"/>
        <v>0</v>
      </c>
      <c r="K113" s="385">
        <f t="shared" si="30"/>
        <v>0</v>
      </c>
      <c r="L113" s="385">
        <f t="shared" si="30"/>
        <v>0</v>
      </c>
      <c r="M113" s="385">
        <f t="shared" si="30"/>
        <v>0</v>
      </c>
      <c r="N113" s="386">
        <f t="shared" si="30"/>
        <v>0</v>
      </c>
      <c r="O113" s="170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2:59" x14ac:dyDescent="0.2">
      <c r="B114" s="268" t="str">
        <f t="shared" si="21"/>
        <v>Jr. Sales</v>
      </c>
      <c r="C114" s="385">
        <f t="shared" ref="C114:N114" si="32">C65*$E22*$H22*C$107</f>
        <v>0</v>
      </c>
      <c r="D114" s="385">
        <f t="shared" ref="D114" si="33">D65*$E22*$H22*D$107</f>
        <v>0</v>
      </c>
      <c r="E114" s="385">
        <f t="shared" si="32"/>
        <v>0</v>
      </c>
      <c r="F114" s="385">
        <f t="shared" si="32"/>
        <v>0</v>
      </c>
      <c r="G114" s="385">
        <f t="shared" si="32"/>
        <v>0</v>
      </c>
      <c r="H114" s="385">
        <f t="shared" si="32"/>
        <v>0</v>
      </c>
      <c r="I114" s="385">
        <f t="shared" si="32"/>
        <v>0</v>
      </c>
      <c r="J114" s="385">
        <f t="shared" si="32"/>
        <v>0</v>
      </c>
      <c r="K114" s="385">
        <f t="shared" si="32"/>
        <v>0</v>
      </c>
      <c r="L114" s="385">
        <f t="shared" si="32"/>
        <v>0</v>
      </c>
      <c r="M114" s="385">
        <f t="shared" si="32"/>
        <v>0</v>
      </c>
      <c r="N114" s="386">
        <f t="shared" si="32"/>
        <v>0</v>
      </c>
      <c r="O114" s="170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2:59" x14ac:dyDescent="0.2">
      <c r="B115" s="268" t="str">
        <f t="shared" si="21"/>
        <v>Accountant</v>
      </c>
      <c r="C115" s="385">
        <f t="shared" ref="C115:N115" si="34">C66*$E23*$H23*C$107</f>
        <v>22.75</v>
      </c>
      <c r="D115" s="385">
        <f t="shared" ref="D115" si="35">D66*$E23*$H23*D$107</f>
        <v>22.75</v>
      </c>
      <c r="E115" s="385">
        <f t="shared" si="34"/>
        <v>22.75</v>
      </c>
      <c r="F115" s="385">
        <f t="shared" si="34"/>
        <v>22.75</v>
      </c>
      <c r="G115" s="385">
        <f t="shared" si="34"/>
        <v>22.75</v>
      </c>
      <c r="H115" s="385">
        <f t="shared" si="34"/>
        <v>22.75</v>
      </c>
      <c r="I115" s="385">
        <f t="shared" si="34"/>
        <v>22.75</v>
      </c>
      <c r="J115" s="385">
        <f t="shared" si="34"/>
        <v>22.75</v>
      </c>
      <c r="K115" s="385">
        <f t="shared" si="34"/>
        <v>22.75</v>
      </c>
      <c r="L115" s="385">
        <f t="shared" si="34"/>
        <v>22.75</v>
      </c>
      <c r="M115" s="385">
        <f t="shared" si="34"/>
        <v>22.75</v>
      </c>
      <c r="N115" s="386">
        <f t="shared" si="34"/>
        <v>22.75</v>
      </c>
      <c r="O115" s="170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2:59" x14ac:dyDescent="0.2">
      <c r="B116" s="268" t="str">
        <f t="shared" si="21"/>
        <v>Office Boy</v>
      </c>
      <c r="C116" s="385">
        <f t="shared" ref="C116:N116" si="36">C67*$E24*$H24*C$107</f>
        <v>14.5</v>
      </c>
      <c r="D116" s="385">
        <f t="shared" ref="D116" si="37">D67*$E24*$H24*D$107</f>
        <v>14.5</v>
      </c>
      <c r="E116" s="385">
        <f t="shared" si="36"/>
        <v>14.5</v>
      </c>
      <c r="F116" s="385">
        <f t="shared" si="36"/>
        <v>14.5</v>
      </c>
      <c r="G116" s="385">
        <f t="shared" si="36"/>
        <v>14.5</v>
      </c>
      <c r="H116" s="385">
        <f t="shared" si="36"/>
        <v>14.5</v>
      </c>
      <c r="I116" s="385">
        <f t="shared" si="36"/>
        <v>14.5</v>
      </c>
      <c r="J116" s="385">
        <f t="shared" si="36"/>
        <v>14.5</v>
      </c>
      <c r="K116" s="385">
        <f t="shared" si="36"/>
        <v>14.5</v>
      </c>
      <c r="L116" s="385">
        <f t="shared" si="36"/>
        <v>14.5</v>
      </c>
      <c r="M116" s="385">
        <f t="shared" si="36"/>
        <v>14.5</v>
      </c>
      <c r="N116" s="386">
        <f t="shared" si="36"/>
        <v>14.5</v>
      </c>
      <c r="O116" s="170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2:59" x14ac:dyDescent="0.2">
      <c r="B117" s="266" t="s">
        <v>72</v>
      </c>
      <c r="C117" s="369">
        <f t="shared" ref="C117:N117" si="38">SUM(C109:C116)</f>
        <v>91.2</v>
      </c>
      <c r="D117" s="369">
        <f t="shared" ref="D117" si="39">SUM(D109:D116)</f>
        <v>91.2</v>
      </c>
      <c r="E117" s="369">
        <f t="shared" si="38"/>
        <v>91.2</v>
      </c>
      <c r="F117" s="369">
        <f t="shared" si="38"/>
        <v>91.2</v>
      </c>
      <c r="G117" s="369">
        <f t="shared" si="38"/>
        <v>91.2</v>
      </c>
      <c r="H117" s="369">
        <f t="shared" si="38"/>
        <v>91.2</v>
      </c>
      <c r="I117" s="369">
        <f t="shared" si="38"/>
        <v>91.2</v>
      </c>
      <c r="J117" s="369">
        <f t="shared" si="38"/>
        <v>91.2</v>
      </c>
      <c r="K117" s="369">
        <f t="shared" si="38"/>
        <v>91.2</v>
      </c>
      <c r="L117" s="369">
        <f t="shared" si="38"/>
        <v>91.2</v>
      </c>
      <c r="M117" s="369">
        <f t="shared" si="38"/>
        <v>91.2</v>
      </c>
      <c r="N117" s="370">
        <f t="shared" si="38"/>
        <v>91.2</v>
      </c>
      <c r="O117" s="159">
        <f>SUM(C117:N117)</f>
        <v>1094.4000000000003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2:59" x14ac:dyDescent="0.2">
      <c r="B118" s="267" t="str">
        <f t="shared" ref="B118:B131" si="40">B25</f>
        <v>Custom Department</v>
      </c>
      <c r="C118" s="387"/>
      <c r="D118" s="387"/>
      <c r="E118" s="387"/>
      <c r="F118" s="387"/>
      <c r="G118" s="387"/>
      <c r="H118" s="387"/>
      <c r="I118" s="387"/>
      <c r="J118" s="387"/>
      <c r="K118" s="387"/>
      <c r="L118" s="387"/>
      <c r="M118" s="387"/>
      <c r="N118" s="367"/>
      <c r="O118" s="170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2:59" x14ac:dyDescent="0.2">
      <c r="B119" s="268" t="str">
        <f t="shared" si="40"/>
        <v>Engineering Manager</v>
      </c>
      <c r="C119" s="385">
        <f t="shared" ref="C119:N119" si="41">C70*$E26*$H26*C$107</f>
        <v>26</v>
      </c>
      <c r="D119" s="385">
        <f t="shared" ref="D119" si="42">D70*$E26*$H26*D$107</f>
        <v>26</v>
      </c>
      <c r="E119" s="385">
        <f t="shared" si="41"/>
        <v>26</v>
      </c>
      <c r="F119" s="385">
        <f t="shared" si="41"/>
        <v>26</v>
      </c>
      <c r="G119" s="385">
        <f t="shared" si="41"/>
        <v>26</v>
      </c>
      <c r="H119" s="385">
        <f t="shared" si="41"/>
        <v>26</v>
      </c>
      <c r="I119" s="385">
        <f t="shared" si="41"/>
        <v>26</v>
      </c>
      <c r="J119" s="385">
        <f t="shared" si="41"/>
        <v>26</v>
      </c>
      <c r="K119" s="385">
        <f t="shared" si="41"/>
        <v>26</v>
      </c>
      <c r="L119" s="385">
        <f t="shared" si="41"/>
        <v>26</v>
      </c>
      <c r="M119" s="385">
        <f t="shared" si="41"/>
        <v>26</v>
      </c>
      <c r="N119" s="386">
        <f t="shared" si="41"/>
        <v>26</v>
      </c>
      <c r="O119" s="170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2:59" x14ac:dyDescent="0.2">
      <c r="B120" s="268" t="str">
        <f t="shared" si="40"/>
        <v>Mobile Manager</v>
      </c>
      <c r="C120" s="385">
        <f t="shared" ref="C120:N120" si="43">C71*$E27*$H27*C$107</f>
        <v>0</v>
      </c>
      <c r="D120" s="385">
        <f t="shared" ref="D120" si="44">D71*$E27*$H27*D$107</f>
        <v>0</v>
      </c>
      <c r="E120" s="385">
        <f t="shared" si="43"/>
        <v>0</v>
      </c>
      <c r="F120" s="385">
        <f t="shared" si="43"/>
        <v>0</v>
      </c>
      <c r="G120" s="385">
        <f t="shared" si="43"/>
        <v>0</v>
      </c>
      <c r="H120" s="385">
        <f t="shared" si="43"/>
        <v>0</v>
      </c>
      <c r="I120" s="385">
        <f t="shared" si="43"/>
        <v>0</v>
      </c>
      <c r="J120" s="385">
        <f t="shared" si="43"/>
        <v>0</v>
      </c>
      <c r="K120" s="385">
        <f t="shared" si="43"/>
        <v>0</v>
      </c>
      <c r="L120" s="385">
        <f t="shared" si="43"/>
        <v>0</v>
      </c>
      <c r="M120" s="385">
        <f t="shared" si="43"/>
        <v>0</v>
      </c>
      <c r="N120" s="386">
        <f t="shared" si="43"/>
        <v>0</v>
      </c>
      <c r="O120" s="170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2:59" x14ac:dyDescent="0.2">
      <c r="B121" s="268" t="str">
        <f t="shared" si="40"/>
        <v>Project Manager</v>
      </c>
      <c r="C121" s="385">
        <f t="shared" ref="C121:N121" si="45">C72*$E28*$H28*C$107</f>
        <v>17.5</v>
      </c>
      <c r="D121" s="385">
        <f t="shared" ref="D121" si="46">D72*$E28*$H28*D$107</f>
        <v>17.5</v>
      </c>
      <c r="E121" s="385">
        <f t="shared" si="45"/>
        <v>17.5</v>
      </c>
      <c r="F121" s="385">
        <f t="shared" si="45"/>
        <v>17.5</v>
      </c>
      <c r="G121" s="385">
        <f t="shared" si="45"/>
        <v>17.5</v>
      </c>
      <c r="H121" s="385">
        <f t="shared" si="45"/>
        <v>17.5</v>
      </c>
      <c r="I121" s="385">
        <f t="shared" si="45"/>
        <v>17.5</v>
      </c>
      <c r="J121" s="385">
        <f t="shared" si="45"/>
        <v>17.5</v>
      </c>
      <c r="K121" s="385">
        <f t="shared" si="45"/>
        <v>17.5</v>
      </c>
      <c r="L121" s="385">
        <f t="shared" si="45"/>
        <v>17.5</v>
      </c>
      <c r="M121" s="385">
        <f t="shared" si="45"/>
        <v>17.5</v>
      </c>
      <c r="N121" s="386">
        <f t="shared" si="45"/>
        <v>17.5</v>
      </c>
      <c r="O121" s="170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2:59" x14ac:dyDescent="0.2">
      <c r="B122" s="268" t="str">
        <f t="shared" si="40"/>
        <v>Backend Developer 1</v>
      </c>
      <c r="C122" s="385">
        <f t="shared" ref="C122:N122" si="47">C73*$E29*$H29*C$107</f>
        <v>44</v>
      </c>
      <c r="D122" s="385">
        <f t="shared" ref="D122" si="48">D73*$E29*$H29*D$107</f>
        <v>44</v>
      </c>
      <c r="E122" s="385">
        <f t="shared" si="47"/>
        <v>44</v>
      </c>
      <c r="F122" s="385">
        <f t="shared" si="47"/>
        <v>44</v>
      </c>
      <c r="G122" s="385">
        <f t="shared" si="47"/>
        <v>44</v>
      </c>
      <c r="H122" s="385">
        <f t="shared" si="47"/>
        <v>44</v>
      </c>
      <c r="I122" s="385">
        <f t="shared" si="47"/>
        <v>44</v>
      </c>
      <c r="J122" s="385">
        <f t="shared" si="47"/>
        <v>44</v>
      </c>
      <c r="K122" s="385">
        <f t="shared" si="47"/>
        <v>44</v>
      </c>
      <c r="L122" s="385">
        <f t="shared" si="47"/>
        <v>44</v>
      </c>
      <c r="M122" s="385">
        <f t="shared" si="47"/>
        <v>44</v>
      </c>
      <c r="N122" s="386">
        <f t="shared" si="47"/>
        <v>44</v>
      </c>
      <c r="O122" s="170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2:59" x14ac:dyDescent="0.2">
      <c r="B123" s="268" t="str">
        <f t="shared" si="40"/>
        <v>Backend Developer 2</v>
      </c>
      <c r="C123" s="385">
        <f t="shared" ref="C123:N123" si="49">C74*$E30*$H30*C$107</f>
        <v>0</v>
      </c>
      <c r="D123" s="385">
        <f t="shared" ref="D123" si="50">D74*$E30*$H30*D$107</f>
        <v>0</v>
      </c>
      <c r="E123" s="385">
        <f t="shared" si="49"/>
        <v>0</v>
      </c>
      <c r="F123" s="385">
        <f t="shared" si="49"/>
        <v>0</v>
      </c>
      <c r="G123" s="385">
        <f t="shared" si="49"/>
        <v>0</v>
      </c>
      <c r="H123" s="385">
        <f t="shared" si="49"/>
        <v>0</v>
      </c>
      <c r="I123" s="385">
        <f t="shared" si="49"/>
        <v>0</v>
      </c>
      <c r="J123" s="385">
        <f t="shared" si="49"/>
        <v>0</v>
      </c>
      <c r="K123" s="385">
        <f t="shared" si="49"/>
        <v>0</v>
      </c>
      <c r="L123" s="385">
        <f t="shared" si="49"/>
        <v>0</v>
      </c>
      <c r="M123" s="385">
        <f t="shared" si="49"/>
        <v>0</v>
      </c>
      <c r="N123" s="386">
        <f t="shared" si="49"/>
        <v>0</v>
      </c>
      <c r="O123" s="287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2:59" x14ac:dyDescent="0.2">
      <c r="B124" s="268" t="str">
        <f t="shared" si="40"/>
        <v>Backend Developer 3</v>
      </c>
      <c r="C124" s="385">
        <f t="shared" ref="C124:N124" si="51">C75*$E31*$H31*C$107</f>
        <v>21</v>
      </c>
      <c r="D124" s="385">
        <f t="shared" ref="D124" si="52">D75*$E31*$H31*D$107</f>
        <v>21</v>
      </c>
      <c r="E124" s="385">
        <f t="shared" si="51"/>
        <v>21</v>
      </c>
      <c r="F124" s="385">
        <f t="shared" si="51"/>
        <v>21</v>
      </c>
      <c r="G124" s="385">
        <f t="shared" si="51"/>
        <v>21</v>
      </c>
      <c r="H124" s="385">
        <f t="shared" si="51"/>
        <v>21</v>
      </c>
      <c r="I124" s="385">
        <f t="shared" si="51"/>
        <v>21</v>
      </c>
      <c r="J124" s="385">
        <f t="shared" si="51"/>
        <v>21</v>
      </c>
      <c r="K124" s="385">
        <f t="shared" si="51"/>
        <v>21</v>
      </c>
      <c r="L124" s="385">
        <f t="shared" si="51"/>
        <v>21</v>
      </c>
      <c r="M124" s="385">
        <f t="shared" si="51"/>
        <v>21</v>
      </c>
      <c r="N124" s="386">
        <f t="shared" si="51"/>
        <v>21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2:59" x14ac:dyDescent="0.2">
      <c r="B125" s="268" t="str">
        <f t="shared" si="40"/>
        <v>Backend Developer 4</v>
      </c>
      <c r="C125" s="385">
        <f t="shared" ref="C125:N125" si="53">C76*$E32*$H32*C$107</f>
        <v>40</v>
      </c>
      <c r="D125" s="385">
        <f t="shared" ref="D125" si="54">D76*$E32*$H32*D$107</f>
        <v>40</v>
      </c>
      <c r="E125" s="385">
        <f t="shared" si="53"/>
        <v>40</v>
      </c>
      <c r="F125" s="385">
        <f t="shared" si="53"/>
        <v>40</v>
      </c>
      <c r="G125" s="385">
        <f t="shared" si="53"/>
        <v>40</v>
      </c>
      <c r="H125" s="385">
        <f t="shared" si="53"/>
        <v>40</v>
      </c>
      <c r="I125" s="385">
        <f t="shared" si="53"/>
        <v>40</v>
      </c>
      <c r="J125" s="385">
        <f t="shared" si="53"/>
        <v>40</v>
      </c>
      <c r="K125" s="385">
        <f t="shared" si="53"/>
        <v>40</v>
      </c>
      <c r="L125" s="385">
        <f t="shared" si="53"/>
        <v>40</v>
      </c>
      <c r="M125" s="385">
        <f t="shared" si="53"/>
        <v>40</v>
      </c>
      <c r="N125" s="386">
        <f t="shared" si="53"/>
        <v>40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2:59" x14ac:dyDescent="0.2">
      <c r="B126" s="268" t="str">
        <f t="shared" si="40"/>
        <v>Backend Developer 5</v>
      </c>
      <c r="C126" s="385">
        <f t="shared" ref="C126:F131" si="55">C77*$E33*$H33*C$107</f>
        <v>0</v>
      </c>
      <c r="D126" s="385">
        <f t="shared" ref="D126" si="56">D77*$E33*$H33*D$107</f>
        <v>0</v>
      </c>
      <c r="E126" s="385">
        <f t="shared" si="55"/>
        <v>0</v>
      </c>
      <c r="F126" s="385">
        <f t="shared" si="55"/>
        <v>0</v>
      </c>
      <c r="G126" s="385"/>
      <c r="H126" s="385">
        <f t="shared" ref="H126:N131" si="57">H77*$E33*$H33*H$107</f>
        <v>0</v>
      </c>
      <c r="I126" s="385">
        <f t="shared" si="57"/>
        <v>0</v>
      </c>
      <c r="J126" s="385">
        <f t="shared" si="57"/>
        <v>0</v>
      </c>
      <c r="K126" s="385">
        <f t="shared" si="57"/>
        <v>0</v>
      </c>
      <c r="L126" s="385">
        <f t="shared" si="57"/>
        <v>0</v>
      </c>
      <c r="M126" s="385">
        <f t="shared" si="57"/>
        <v>0</v>
      </c>
      <c r="N126" s="386">
        <f t="shared" si="57"/>
        <v>0</v>
      </c>
      <c r="O126" s="170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2:59" x14ac:dyDescent="0.2">
      <c r="B127" s="268" t="str">
        <f t="shared" si="40"/>
        <v>Project Manager</v>
      </c>
      <c r="C127" s="385">
        <f t="shared" si="55"/>
        <v>0</v>
      </c>
      <c r="D127" s="385">
        <f t="shared" ref="D127" si="58">D78*$E34*$H34*D$107</f>
        <v>0</v>
      </c>
      <c r="E127" s="385">
        <f t="shared" si="55"/>
        <v>0</v>
      </c>
      <c r="F127" s="385">
        <f t="shared" si="55"/>
        <v>0</v>
      </c>
      <c r="G127" s="385">
        <f>G78*$E34*$H34*G$107</f>
        <v>0</v>
      </c>
      <c r="H127" s="385">
        <f t="shared" si="57"/>
        <v>0</v>
      </c>
      <c r="I127" s="385">
        <f t="shared" si="57"/>
        <v>0</v>
      </c>
      <c r="J127" s="385">
        <f t="shared" si="57"/>
        <v>0</v>
      </c>
      <c r="K127" s="385">
        <f t="shared" si="57"/>
        <v>0</v>
      </c>
      <c r="L127" s="385">
        <f t="shared" si="57"/>
        <v>0</v>
      </c>
      <c r="M127" s="385">
        <f t="shared" si="57"/>
        <v>0</v>
      </c>
      <c r="N127" s="386">
        <f t="shared" si="57"/>
        <v>0</v>
      </c>
      <c r="O127" s="170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2:59" x14ac:dyDescent="0.2">
      <c r="B128" s="268" t="str">
        <f t="shared" si="40"/>
        <v>Mobile Developer 1</v>
      </c>
      <c r="C128" s="385">
        <f t="shared" si="55"/>
        <v>31</v>
      </c>
      <c r="D128" s="385">
        <f t="shared" ref="D128" si="59">D79*$E35*$H35*D$107</f>
        <v>31</v>
      </c>
      <c r="E128" s="385">
        <f t="shared" si="55"/>
        <v>31</v>
      </c>
      <c r="F128" s="385">
        <f t="shared" si="55"/>
        <v>31</v>
      </c>
      <c r="G128" s="385">
        <f>G79*$E35*$H35*G$107</f>
        <v>31</v>
      </c>
      <c r="H128" s="385">
        <f t="shared" si="57"/>
        <v>31</v>
      </c>
      <c r="I128" s="385">
        <f t="shared" si="57"/>
        <v>31</v>
      </c>
      <c r="J128" s="385">
        <f t="shared" si="57"/>
        <v>31</v>
      </c>
      <c r="K128" s="385">
        <f t="shared" si="57"/>
        <v>31</v>
      </c>
      <c r="L128" s="385">
        <f t="shared" si="57"/>
        <v>31</v>
      </c>
      <c r="M128" s="385">
        <f t="shared" si="57"/>
        <v>31</v>
      </c>
      <c r="N128" s="386">
        <f t="shared" si="57"/>
        <v>31</v>
      </c>
      <c r="O128" s="170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2:59" x14ac:dyDescent="0.2">
      <c r="B129" s="268" t="str">
        <f t="shared" si="40"/>
        <v>Mobile Developer 2</v>
      </c>
      <c r="C129" s="385">
        <f t="shared" si="55"/>
        <v>0</v>
      </c>
      <c r="D129" s="385">
        <f t="shared" ref="D129" si="60">D80*$E36*$H36*D$107</f>
        <v>0</v>
      </c>
      <c r="E129" s="385">
        <f t="shared" si="55"/>
        <v>0</v>
      </c>
      <c r="F129" s="385">
        <f t="shared" si="55"/>
        <v>0</v>
      </c>
      <c r="G129" s="385">
        <f>G80*$E36*$H36*G$107</f>
        <v>0</v>
      </c>
      <c r="H129" s="385">
        <f t="shared" si="57"/>
        <v>0</v>
      </c>
      <c r="I129" s="385">
        <f t="shared" si="57"/>
        <v>0</v>
      </c>
      <c r="J129" s="385">
        <f t="shared" si="57"/>
        <v>0</v>
      </c>
      <c r="K129" s="385">
        <f t="shared" si="57"/>
        <v>0</v>
      </c>
      <c r="L129" s="385">
        <f t="shared" si="57"/>
        <v>0</v>
      </c>
      <c r="M129" s="385">
        <f t="shared" si="57"/>
        <v>0</v>
      </c>
      <c r="N129" s="386">
        <f t="shared" si="57"/>
        <v>0</v>
      </c>
      <c r="O129" s="170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2:59" x14ac:dyDescent="0.2">
      <c r="B130" s="268" t="str">
        <f t="shared" si="40"/>
        <v>Tester</v>
      </c>
      <c r="C130" s="385">
        <f>C81*$E37*$H37*C$107</f>
        <v>8.5</v>
      </c>
      <c r="D130" s="385">
        <f>D81*$E37*$H37*D$107</f>
        <v>8.5</v>
      </c>
      <c r="E130" s="385">
        <f>E81*$E37*$H37*E$107</f>
        <v>8.5</v>
      </c>
      <c r="F130" s="385">
        <f>F81*$E37*$H37*F$107</f>
        <v>8.5</v>
      </c>
      <c r="G130" s="385">
        <f>G81*$E37*$H37*G$107</f>
        <v>8.5</v>
      </c>
      <c r="H130" s="385">
        <f t="shared" ref="H130:N130" si="61">H81*$E37*$H37*H$107</f>
        <v>8.5</v>
      </c>
      <c r="I130" s="385">
        <f t="shared" si="61"/>
        <v>8.5</v>
      </c>
      <c r="J130" s="385">
        <f t="shared" si="61"/>
        <v>8.5</v>
      </c>
      <c r="K130" s="385">
        <f t="shared" si="61"/>
        <v>8.5</v>
      </c>
      <c r="L130" s="385">
        <f t="shared" si="61"/>
        <v>8.5</v>
      </c>
      <c r="M130" s="385">
        <f t="shared" si="61"/>
        <v>8.5</v>
      </c>
      <c r="N130" s="386">
        <f t="shared" si="61"/>
        <v>8.5</v>
      </c>
      <c r="O130" s="170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2:59" x14ac:dyDescent="0.2">
      <c r="B131" s="268" t="str">
        <f t="shared" si="40"/>
        <v>Tester</v>
      </c>
      <c r="C131" s="385">
        <f t="shared" si="55"/>
        <v>5</v>
      </c>
      <c r="D131" s="385">
        <f t="shared" ref="D131" si="62">D82*$E38*$H38*D$107</f>
        <v>5</v>
      </c>
      <c r="E131" s="385">
        <f t="shared" si="55"/>
        <v>5</v>
      </c>
      <c r="F131" s="385">
        <f t="shared" si="55"/>
        <v>5</v>
      </c>
      <c r="G131" s="385">
        <f>G82*$E38*$H38*G$107</f>
        <v>5</v>
      </c>
      <c r="H131" s="385">
        <f t="shared" si="57"/>
        <v>5</v>
      </c>
      <c r="I131" s="385">
        <f t="shared" si="57"/>
        <v>5</v>
      </c>
      <c r="J131" s="385">
        <f t="shared" si="57"/>
        <v>5</v>
      </c>
      <c r="K131" s="385">
        <f t="shared" si="57"/>
        <v>5</v>
      </c>
      <c r="L131" s="385">
        <f t="shared" si="57"/>
        <v>5</v>
      </c>
      <c r="M131" s="385">
        <f t="shared" si="57"/>
        <v>5</v>
      </c>
      <c r="N131" s="386">
        <f t="shared" si="57"/>
        <v>5</v>
      </c>
      <c r="O131" s="170">
        <f t="shared" ref="O131" si="63">SUM(C139:N139)</f>
        <v>0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2:59" x14ac:dyDescent="0.2">
      <c r="B132" s="266" t="s">
        <v>139</v>
      </c>
      <c r="C132" s="369">
        <f>SUM(C119:C131)</f>
        <v>193</v>
      </c>
      <c r="D132" s="369">
        <f t="shared" ref="D132" si="64">SUM(D119:D131)</f>
        <v>193</v>
      </c>
      <c r="E132" s="369">
        <f t="shared" ref="E132:N132" si="65">SUM(E119:E131)</f>
        <v>193</v>
      </c>
      <c r="F132" s="369">
        <f t="shared" si="65"/>
        <v>193</v>
      </c>
      <c r="G132" s="369">
        <f t="shared" si="65"/>
        <v>193</v>
      </c>
      <c r="H132" s="369">
        <f t="shared" si="65"/>
        <v>193</v>
      </c>
      <c r="I132" s="369">
        <f t="shared" si="65"/>
        <v>193</v>
      </c>
      <c r="J132" s="369">
        <f t="shared" si="65"/>
        <v>193</v>
      </c>
      <c r="K132" s="369">
        <f t="shared" si="65"/>
        <v>193</v>
      </c>
      <c r="L132" s="369">
        <f t="shared" si="65"/>
        <v>193</v>
      </c>
      <c r="M132" s="369">
        <f t="shared" si="65"/>
        <v>193</v>
      </c>
      <c r="N132" s="370">
        <f t="shared" si="65"/>
        <v>193</v>
      </c>
      <c r="O132" s="388">
        <f>SUM(C132:N132)</f>
        <v>2316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2:59" x14ac:dyDescent="0.2">
      <c r="B133" s="267" t="str">
        <f t="shared" ref="B133:B141" si="66">B39</f>
        <v>Websites Department</v>
      </c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9"/>
      <c r="O133" s="389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2:59" x14ac:dyDescent="0.2">
      <c r="B134" s="268" t="str">
        <f t="shared" si="66"/>
        <v>Engineering Manager</v>
      </c>
      <c r="C134" s="385">
        <f t="shared" ref="C134:N134" si="67">C85*$E40*$H40*C$107</f>
        <v>20.8</v>
      </c>
      <c r="D134" s="385">
        <f t="shared" ref="D134" si="68">D85*$E40*$H40*D$107</f>
        <v>20.8</v>
      </c>
      <c r="E134" s="385">
        <f t="shared" si="67"/>
        <v>20.8</v>
      </c>
      <c r="F134" s="385">
        <f t="shared" si="67"/>
        <v>20.8</v>
      </c>
      <c r="G134" s="385">
        <f t="shared" si="67"/>
        <v>20.8</v>
      </c>
      <c r="H134" s="385">
        <f t="shared" si="67"/>
        <v>20.8</v>
      </c>
      <c r="I134" s="385">
        <f t="shared" si="67"/>
        <v>20.8</v>
      </c>
      <c r="J134" s="385">
        <f t="shared" si="67"/>
        <v>20.8</v>
      </c>
      <c r="K134" s="385">
        <f t="shared" si="67"/>
        <v>20.8</v>
      </c>
      <c r="L134" s="385">
        <f t="shared" si="67"/>
        <v>20.8</v>
      </c>
      <c r="M134" s="385">
        <f t="shared" si="67"/>
        <v>20.8</v>
      </c>
      <c r="N134" s="386">
        <f t="shared" si="67"/>
        <v>20.8</v>
      </c>
      <c r="O134" s="11"/>
      <c r="P134" s="158"/>
      <c r="Q134" s="158"/>
      <c r="R134" s="158"/>
      <c r="S134" s="158"/>
      <c r="T134" s="158"/>
      <c r="U134" s="158"/>
      <c r="V134" s="158"/>
      <c r="W134" s="158"/>
      <c r="X134" s="158"/>
      <c r="Y134" s="158"/>
      <c r="Z134" s="158"/>
      <c r="AA134" s="158"/>
      <c r="AB134" s="158"/>
      <c r="AC134" s="158"/>
      <c r="AD134" s="158"/>
      <c r="AE134" s="158"/>
      <c r="AF134" s="158"/>
      <c r="AG134" s="158"/>
      <c r="AH134" s="158"/>
      <c r="AI134" s="158"/>
      <c r="AJ134" s="158"/>
      <c r="AK134" s="158"/>
      <c r="AL134" s="158"/>
      <c r="AM134" s="158"/>
      <c r="AN134" s="158"/>
      <c r="AO134" s="158"/>
      <c r="AP134" s="158"/>
      <c r="AQ134" s="158"/>
      <c r="AR134" s="158"/>
      <c r="AS134" s="158"/>
      <c r="AT134" s="158"/>
      <c r="AU134" s="158"/>
      <c r="AV134" s="158"/>
      <c r="AW134" s="158"/>
      <c r="AX134" s="158"/>
      <c r="AY134" s="158"/>
      <c r="AZ134" s="158"/>
      <c r="BA134" s="158"/>
      <c r="BB134" s="158"/>
      <c r="BC134" s="158"/>
      <c r="BD134" s="158"/>
      <c r="BE134" s="158"/>
      <c r="BF134" s="158"/>
      <c r="BG134" s="158"/>
    </row>
    <row r="135" spans="2:59" x14ac:dyDescent="0.2">
      <c r="B135" s="268" t="str">
        <f t="shared" si="66"/>
        <v>Project Manager</v>
      </c>
      <c r="C135" s="385">
        <f t="shared" ref="C135:N135" si="69">C86*$E41*$H41*C$107</f>
        <v>17.5</v>
      </c>
      <c r="D135" s="385">
        <f t="shared" ref="D135" si="70">D86*$E41*$H41*D$107</f>
        <v>17.5</v>
      </c>
      <c r="E135" s="385">
        <f t="shared" si="69"/>
        <v>17.5</v>
      </c>
      <c r="F135" s="385">
        <f t="shared" si="69"/>
        <v>17.5</v>
      </c>
      <c r="G135" s="385">
        <f t="shared" si="69"/>
        <v>17.5</v>
      </c>
      <c r="H135" s="385">
        <f t="shared" si="69"/>
        <v>17.5</v>
      </c>
      <c r="I135" s="385">
        <f t="shared" si="69"/>
        <v>17.5</v>
      </c>
      <c r="J135" s="385">
        <f t="shared" si="69"/>
        <v>17.5</v>
      </c>
      <c r="K135" s="385">
        <f t="shared" si="69"/>
        <v>17.5</v>
      </c>
      <c r="L135" s="385">
        <f t="shared" si="69"/>
        <v>17.5</v>
      </c>
      <c r="M135" s="385">
        <f t="shared" si="69"/>
        <v>17.5</v>
      </c>
      <c r="N135" s="386">
        <f t="shared" si="69"/>
        <v>17.5</v>
      </c>
      <c r="O135" s="390"/>
      <c r="P135" s="128"/>
      <c r="Q135" s="2"/>
      <c r="R135" s="171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2:59" x14ac:dyDescent="0.2">
      <c r="B136" s="268" t="str">
        <f t="shared" si="66"/>
        <v>Frontend Designer</v>
      </c>
      <c r="C136" s="385">
        <f t="shared" ref="C136:N136" si="71">C87*$E42*$H42*C$107</f>
        <v>23.5</v>
      </c>
      <c r="D136" s="385">
        <f t="shared" ref="D136" si="72">D87*$E42*$H42*D$107</f>
        <v>23.5</v>
      </c>
      <c r="E136" s="385">
        <f t="shared" si="71"/>
        <v>23.5</v>
      </c>
      <c r="F136" s="385">
        <f t="shared" si="71"/>
        <v>23.5</v>
      </c>
      <c r="G136" s="385">
        <f t="shared" si="71"/>
        <v>23.5</v>
      </c>
      <c r="H136" s="385">
        <f t="shared" si="71"/>
        <v>23.5</v>
      </c>
      <c r="I136" s="385">
        <f t="shared" si="71"/>
        <v>23.5</v>
      </c>
      <c r="J136" s="385">
        <f t="shared" si="71"/>
        <v>23.5</v>
      </c>
      <c r="K136" s="385">
        <f t="shared" si="71"/>
        <v>23.5</v>
      </c>
      <c r="L136" s="385">
        <f t="shared" si="71"/>
        <v>23.5</v>
      </c>
      <c r="M136" s="385">
        <f t="shared" si="71"/>
        <v>23.5</v>
      </c>
      <c r="N136" s="386">
        <f t="shared" si="71"/>
        <v>23.5</v>
      </c>
      <c r="O136" s="389"/>
      <c r="P136" s="143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2:59" x14ac:dyDescent="0.2">
      <c r="B137" s="268" t="str">
        <f t="shared" si="66"/>
        <v>Frontend Developer 1</v>
      </c>
      <c r="C137" s="385">
        <f t="shared" ref="C137:N137" si="73">C88*$E43*$H43*C$107</f>
        <v>27</v>
      </c>
      <c r="D137" s="385">
        <f t="shared" ref="D137" si="74">D88*$E43*$H43*D$107</f>
        <v>27</v>
      </c>
      <c r="E137" s="385">
        <f t="shared" si="73"/>
        <v>27</v>
      </c>
      <c r="F137" s="385">
        <f t="shared" si="73"/>
        <v>27</v>
      </c>
      <c r="G137" s="385">
        <f t="shared" si="73"/>
        <v>27</v>
      </c>
      <c r="H137" s="385">
        <f t="shared" si="73"/>
        <v>27</v>
      </c>
      <c r="I137" s="385">
        <f t="shared" si="73"/>
        <v>27</v>
      </c>
      <c r="J137" s="385">
        <f t="shared" si="73"/>
        <v>27</v>
      </c>
      <c r="K137" s="385">
        <f t="shared" si="73"/>
        <v>27</v>
      </c>
      <c r="L137" s="385">
        <f t="shared" si="73"/>
        <v>27</v>
      </c>
      <c r="M137" s="385">
        <f t="shared" si="73"/>
        <v>27</v>
      </c>
      <c r="N137" s="386">
        <f t="shared" si="73"/>
        <v>27</v>
      </c>
      <c r="O137" s="389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2:59" x14ac:dyDescent="0.2">
      <c r="B138" s="268" t="str">
        <f t="shared" si="66"/>
        <v>Frontend Developer 2</v>
      </c>
      <c r="C138" s="385">
        <f t="shared" ref="C138:N138" si="75">C89*$E44*$H44*C$107</f>
        <v>17.5</v>
      </c>
      <c r="D138" s="385">
        <f t="shared" ref="D138" si="76">D89*$E44*$H44*D$107</f>
        <v>17.5</v>
      </c>
      <c r="E138" s="385">
        <f t="shared" si="75"/>
        <v>17.5</v>
      </c>
      <c r="F138" s="385">
        <f t="shared" si="75"/>
        <v>17.5</v>
      </c>
      <c r="G138" s="385">
        <f t="shared" si="75"/>
        <v>17.5</v>
      </c>
      <c r="H138" s="385">
        <f t="shared" si="75"/>
        <v>17.5</v>
      </c>
      <c r="I138" s="385">
        <f t="shared" si="75"/>
        <v>17.5</v>
      </c>
      <c r="J138" s="385">
        <f t="shared" si="75"/>
        <v>17.5</v>
      </c>
      <c r="K138" s="385">
        <f t="shared" si="75"/>
        <v>17.5</v>
      </c>
      <c r="L138" s="385">
        <f t="shared" si="75"/>
        <v>17.5</v>
      </c>
      <c r="M138" s="385">
        <f t="shared" si="75"/>
        <v>17.5</v>
      </c>
      <c r="N138" s="386">
        <f t="shared" si="75"/>
        <v>17.5</v>
      </c>
      <c r="O138" s="389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2:59" x14ac:dyDescent="0.2">
      <c r="B139" s="268" t="str">
        <f t="shared" si="66"/>
        <v>Frontend Developer 3</v>
      </c>
      <c r="C139" s="385">
        <f t="shared" ref="C139:N139" si="77">C90*$E45*$H45*C$107</f>
        <v>0</v>
      </c>
      <c r="D139" s="385">
        <f t="shared" ref="D139" si="78">D90*$E45*$H45*D$107</f>
        <v>0</v>
      </c>
      <c r="E139" s="385">
        <f t="shared" si="77"/>
        <v>0</v>
      </c>
      <c r="F139" s="385">
        <f t="shared" si="77"/>
        <v>0</v>
      </c>
      <c r="G139" s="385">
        <f t="shared" si="77"/>
        <v>0</v>
      </c>
      <c r="H139" s="385">
        <f t="shared" si="77"/>
        <v>0</v>
      </c>
      <c r="I139" s="385">
        <f t="shared" si="77"/>
        <v>0</v>
      </c>
      <c r="J139" s="385">
        <f t="shared" si="77"/>
        <v>0</v>
      </c>
      <c r="K139" s="385">
        <f t="shared" si="77"/>
        <v>0</v>
      </c>
      <c r="L139" s="385">
        <f t="shared" si="77"/>
        <v>0</v>
      </c>
      <c r="M139" s="385">
        <f t="shared" si="77"/>
        <v>0</v>
      </c>
      <c r="N139" s="386">
        <f t="shared" si="77"/>
        <v>0</v>
      </c>
      <c r="O139" s="389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2:59" x14ac:dyDescent="0.2">
      <c r="B140" s="268" t="str">
        <f t="shared" si="66"/>
        <v>Tester</v>
      </c>
      <c r="C140" s="385">
        <f t="shared" ref="C140:N140" si="79">C91*$E46*$H46*C$107</f>
        <v>8.5</v>
      </c>
      <c r="D140" s="385">
        <f t="shared" ref="D140" si="80">D91*$E46*$H46*D$107</f>
        <v>8.5</v>
      </c>
      <c r="E140" s="385">
        <f t="shared" si="79"/>
        <v>8.5</v>
      </c>
      <c r="F140" s="385">
        <f t="shared" si="79"/>
        <v>8.5</v>
      </c>
      <c r="G140" s="385">
        <f t="shared" si="79"/>
        <v>8.5</v>
      </c>
      <c r="H140" s="385">
        <f t="shared" si="79"/>
        <v>8.5</v>
      </c>
      <c r="I140" s="385">
        <f t="shared" si="79"/>
        <v>8.5</v>
      </c>
      <c r="J140" s="385">
        <f t="shared" si="79"/>
        <v>8.5</v>
      </c>
      <c r="K140" s="385">
        <f t="shared" si="79"/>
        <v>8.5</v>
      </c>
      <c r="L140" s="385">
        <f t="shared" si="79"/>
        <v>8.5</v>
      </c>
      <c r="M140" s="385">
        <f t="shared" si="79"/>
        <v>8.5</v>
      </c>
      <c r="N140" s="386">
        <f t="shared" si="79"/>
        <v>8.5</v>
      </c>
      <c r="O140" s="389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2:59" x14ac:dyDescent="0.2">
      <c r="B141" s="268" t="str">
        <f t="shared" si="66"/>
        <v>Tester</v>
      </c>
      <c r="C141" s="385">
        <f t="shared" ref="C141:N141" si="81">C92*$E47*$H47*C$107</f>
        <v>5</v>
      </c>
      <c r="D141" s="385">
        <f t="shared" ref="D141" si="82">D92*$E47*$H47*D$107</f>
        <v>5</v>
      </c>
      <c r="E141" s="385">
        <f t="shared" si="81"/>
        <v>5</v>
      </c>
      <c r="F141" s="385">
        <f t="shared" si="81"/>
        <v>5</v>
      </c>
      <c r="G141" s="385">
        <f t="shared" si="81"/>
        <v>5</v>
      </c>
      <c r="H141" s="385">
        <f t="shared" si="81"/>
        <v>5</v>
      </c>
      <c r="I141" s="385">
        <f t="shared" si="81"/>
        <v>5</v>
      </c>
      <c r="J141" s="385">
        <f t="shared" si="81"/>
        <v>5</v>
      </c>
      <c r="K141" s="385">
        <f t="shared" si="81"/>
        <v>5</v>
      </c>
      <c r="L141" s="385">
        <f t="shared" si="81"/>
        <v>5</v>
      </c>
      <c r="M141" s="385">
        <f t="shared" si="81"/>
        <v>5</v>
      </c>
      <c r="N141" s="386">
        <f t="shared" si="81"/>
        <v>5</v>
      </c>
      <c r="O141" s="389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2:59" x14ac:dyDescent="0.2">
      <c r="B142" s="266" t="s">
        <v>140</v>
      </c>
      <c r="C142" s="369">
        <f>SUM(C134:C141)</f>
        <v>119.8</v>
      </c>
      <c r="D142" s="369">
        <f t="shared" ref="D142" si="83">SUM(D134:D141)</f>
        <v>119.8</v>
      </c>
      <c r="E142" s="369">
        <f t="shared" ref="E142:N142" si="84">SUM(E134:E141)</f>
        <v>119.8</v>
      </c>
      <c r="F142" s="369">
        <f t="shared" si="84"/>
        <v>119.8</v>
      </c>
      <c r="G142" s="369">
        <f t="shared" si="84"/>
        <v>119.8</v>
      </c>
      <c r="H142" s="369">
        <f t="shared" si="84"/>
        <v>119.8</v>
      </c>
      <c r="I142" s="369">
        <f t="shared" si="84"/>
        <v>119.8</v>
      </c>
      <c r="J142" s="369">
        <f t="shared" si="84"/>
        <v>119.8</v>
      </c>
      <c r="K142" s="369">
        <f t="shared" si="84"/>
        <v>119.8</v>
      </c>
      <c r="L142" s="369">
        <f t="shared" si="84"/>
        <v>119.8</v>
      </c>
      <c r="M142" s="369">
        <f t="shared" si="84"/>
        <v>119.8</v>
      </c>
      <c r="N142" s="370">
        <f t="shared" si="84"/>
        <v>119.8</v>
      </c>
      <c r="O142" s="388">
        <f>SUM(C142:N142)</f>
        <v>1437.5999999999997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2:59" x14ac:dyDescent="0.2">
      <c r="B143" s="267" t="s">
        <v>213</v>
      </c>
      <c r="C143" s="387"/>
      <c r="D143" s="387"/>
      <c r="E143" s="387"/>
      <c r="F143" s="387"/>
      <c r="G143" s="387"/>
      <c r="H143" s="387"/>
      <c r="I143" s="387"/>
      <c r="J143" s="387"/>
      <c r="K143" s="387"/>
      <c r="L143" s="387"/>
      <c r="M143" s="387"/>
      <c r="N143" s="367"/>
      <c r="O143" s="11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2:59" x14ac:dyDescent="0.2">
      <c r="B144" s="268" t="str">
        <f>B49</f>
        <v>Engineering Manager</v>
      </c>
      <c r="C144" s="385">
        <f>C95*$E49*$H49*C$107</f>
        <v>26</v>
      </c>
      <c r="D144" s="385">
        <f t="shared" ref="D144" si="85">D95*$E49*$H49*D$107</f>
        <v>26</v>
      </c>
      <c r="E144" s="385">
        <f t="shared" ref="E144:N144" si="86">E95*$E49*$H49*E$107</f>
        <v>26</v>
      </c>
      <c r="F144" s="385">
        <f t="shared" si="86"/>
        <v>26</v>
      </c>
      <c r="G144" s="385">
        <f t="shared" si="86"/>
        <v>26</v>
      </c>
      <c r="H144" s="385">
        <f t="shared" si="86"/>
        <v>26</v>
      </c>
      <c r="I144" s="385">
        <f t="shared" si="86"/>
        <v>26</v>
      </c>
      <c r="J144" s="385">
        <f t="shared" si="86"/>
        <v>26</v>
      </c>
      <c r="K144" s="385">
        <f t="shared" si="86"/>
        <v>26</v>
      </c>
      <c r="L144" s="385">
        <f t="shared" si="86"/>
        <v>26</v>
      </c>
      <c r="M144" s="385">
        <f t="shared" si="86"/>
        <v>26</v>
      </c>
      <c r="N144" s="385">
        <f t="shared" si="86"/>
        <v>26</v>
      </c>
      <c r="O144" s="390"/>
      <c r="P144" s="158"/>
      <c r="Q144" s="158"/>
      <c r="R144" s="158"/>
      <c r="S144" s="158"/>
      <c r="T144" s="158"/>
      <c r="U144" s="158"/>
      <c r="V144" s="158"/>
      <c r="W144" s="158"/>
      <c r="X144" s="158"/>
      <c r="Y144" s="158"/>
      <c r="Z144" s="158"/>
      <c r="AA144" s="158"/>
      <c r="AB144" s="158"/>
      <c r="AC144" s="158"/>
      <c r="AD144" s="158"/>
      <c r="AE144" s="158"/>
      <c r="AF144" s="158"/>
      <c r="AG144" s="158"/>
      <c r="AH144" s="158"/>
      <c r="AI144" s="158"/>
      <c r="AJ144" s="158"/>
      <c r="AK144" s="158"/>
      <c r="AL144" s="158"/>
      <c r="AM144" s="158"/>
      <c r="AN144" s="158"/>
      <c r="AO144" s="158"/>
      <c r="AP144" s="158"/>
      <c r="AQ144" s="158"/>
      <c r="AR144" s="158"/>
      <c r="AS144" s="158"/>
      <c r="AT144" s="158"/>
      <c r="AU144" s="158"/>
      <c r="AV144" s="158"/>
      <c r="AW144" s="158"/>
      <c r="AX144" s="158"/>
      <c r="AY144" s="158"/>
      <c r="AZ144" s="158"/>
      <c r="BA144" s="158"/>
      <c r="BB144" s="158"/>
      <c r="BC144" s="158"/>
      <c r="BD144" s="158"/>
      <c r="BE144" s="158"/>
      <c r="BF144" s="158"/>
      <c r="BG144" s="158"/>
    </row>
    <row r="145" spans="2:59" x14ac:dyDescent="0.2">
      <c r="B145" s="268" t="str">
        <f t="shared" ref="B145:B150" si="87">B50</f>
        <v>Sr. Software Developer</v>
      </c>
      <c r="C145" s="385">
        <f t="shared" ref="C145:N150" si="88">C96*$E50*$H50*C$107</f>
        <v>44</v>
      </c>
      <c r="D145" s="385">
        <f t="shared" ref="D145" si="89">D96*$E50*$H50*D$107</f>
        <v>44</v>
      </c>
      <c r="E145" s="385">
        <f t="shared" si="88"/>
        <v>44</v>
      </c>
      <c r="F145" s="385">
        <f t="shared" si="88"/>
        <v>44</v>
      </c>
      <c r="G145" s="385">
        <f t="shared" si="88"/>
        <v>44</v>
      </c>
      <c r="H145" s="385">
        <f t="shared" si="88"/>
        <v>44</v>
      </c>
      <c r="I145" s="385">
        <f t="shared" si="88"/>
        <v>44</v>
      </c>
      <c r="J145" s="385">
        <f t="shared" si="88"/>
        <v>44</v>
      </c>
      <c r="K145" s="385">
        <f t="shared" si="88"/>
        <v>44</v>
      </c>
      <c r="L145" s="385">
        <f t="shared" si="88"/>
        <v>44</v>
      </c>
      <c r="M145" s="385">
        <f t="shared" si="88"/>
        <v>44</v>
      </c>
      <c r="N145" s="385">
        <f t="shared" si="88"/>
        <v>44</v>
      </c>
      <c r="O145" s="390"/>
      <c r="P145" s="128"/>
      <c r="Q145" s="2"/>
      <c r="R145" s="171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2:59" x14ac:dyDescent="0.2">
      <c r="B146" s="268" t="str">
        <f t="shared" si="87"/>
        <v>Jr. Software Developer</v>
      </c>
      <c r="C146" s="385">
        <f t="shared" si="88"/>
        <v>18</v>
      </c>
      <c r="D146" s="385">
        <f t="shared" ref="D146" si="90">D97*$E51*$H51*D$107</f>
        <v>18</v>
      </c>
      <c r="E146" s="385">
        <f t="shared" si="88"/>
        <v>18</v>
      </c>
      <c r="F146" s="385">
        <f t="shared" si="88"/>
        <v>18</v>
      </c>
      <c r="G146" s="385">
        <f t="shared" si="88"/>
        <v>18</v>
      </c>
      <c r="H146" s="385">
        <f t="shared" si="88"/>
        <v>18</v>
      </c>
      <c r="I146" s="385">
        <f t="shared" si="88"/>
        <v>18</v>
      </c>
      <c r="J146" s="385">
        <f t="shared" si="88"/>
        <v>18</v>
      </c>
      <c r="K146" s="385">
        <f t="shared" si="88"/>
        <v>18</v>
      </c>
      <c r="L146" s="385">
        <f t="shared" si="88"/>
        <v>18</v>
      </c>
      <c r="M146" s="385">
        <f t="shared" si="88"/>
        <v>18</v>
      </c>
      <c r="N146" s="385">
        <f t="shared" si="88"/>
        <v>18</v>
      </c>
      <c r="O146" s="389"/>
      <c r="P146" s="143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2:59" x14ac:dyDescent="0.2">
      <c r="B147" s="268" t="str">
        <f t="shared" si="87"/>
        <v>Jr. Software Developer</v>
      </c>
      <c r="C147" s="385">
        <f t="shared" si="88"/>
        <v>19.75</v>
      </c>
      <c r="D147" s="385">
        <f t="shared" ref="D147" si="91">D98*$E52*$H52*D$107</f>
        <v>19.75</v>
      </c>
      <c r="E147" s="385">
        <f t="shared" si="88"/>
        <v>19.75</v>
      </c>
      <c r="F147" s="385">
        <f t="shared" si="88"/>
        <v>19.75</v>
      </c>
      <c r="G147" s="385">
        <f t="shared" si="88"/>
        <v>19.75</v>
      </c>
      <c r="H147" s="385">
        <f t="shared" si="88"/>
        <v>19.75</v>
      </c>
      <c r="I147" s="385">
        <f t="shared" si="88"/>
        <v>19.75</v>
      </c>
      <c r="J147" s="385">
        <f t="shared" si="88"/>
        <v>19.75</v>
      </c>
      <c r="K147" s="385">
        <f t="shared" si="88"/>
        <v>19.75</v>
      </c>
      <c r="L147" s="385">
        <f t="shared" si="88"/>
        <v>19.75</v>
      </c>
      <c r="M147" s="385">
        <f t="shared" si="88"/>
        <v>19.75</v>
      </c>
      <c r="N147" s="385">
        <f t="shared" si="88"/>
        <v>19.75</v>
      </c>
      <c r="O147" s="389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2:59" x14ac:dyDescent="0.2">
      <c r="B148" s="268" t="str">
        <f t="shared" si="87"/>
        <v>Project Manager</v>
      </c>
      <c r="C148" s="385">
        <f t="shared" si="88"/>
        <v>0</v>
      </c>
      <c r="D148" s="385">
        <f t="shared" ref="D148" si="92">D99*$E53*$H53*D$107</f>
        <v>0</v>
      </c>
      <c r="E148" s="385">
        <f t="shared" si="88"/>
        <v>0</v>
      </c>
      <c r="F148" s="385">
        <f t="shared" si="88"/>
        <v>0</v>
      </c>
      <c r="G148" s="385">
        <f t="shared" si="88"/>
        <v>0</v>
      </c>
      <c r="H148" s="385">
        <f t="shared" si="88"/>
        <v>0</v>
      </c>
      <c r="I148" s="385">
        <f t="shared" si="88"/>
        <v>0</v>
      </c>
      <c r="J148" s="385">
        <f t="shared" si="88"/>
        <v>0</v>
      </c>
      <c r="K148" s="385">
        <f t="shared" si="88"/>
        <v>0</v>
      </c>
      <c r="L148" s="385">
        <f t="shared" si="88"/>
        <v>0</v>
      </c>
      <c r="M148" s="385">
        <f t="shared" si="88"/>
        <v>0</v>
      </c>
      <c r="N148" s="385">
        <f t="shared" si="88"/>
        <v>0</v>
      </c>
      <c r="O148" s="389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2:59" x14ac:dyDescent="0.2">
      <c r="B149" s="268" t="str">
        <f t="shared" si="87"/>
        <v>Business Analyst/Documentation</v>
      </c>
      <c r="C149" s="385">
        <f t="shared" si="88"/>
        <v>0</v>
      </c>
      <c r="D149" s="385">
        <f t="shared" ref="D149" si="93">D100*$E54*$H54*D$107</f>
        <v>0</v>
      </c>
      <c r="E149" s="385">
        <f t="shared" si="88"/>
        <v>0</v>
      </c>
      <c r="F149" s="385">
        <f t="shared" si="88"/>
        <v>0</v>
      </c>
      <c r="G149" s="385">
        <f t="shared" si="88"/>
        <v>0</v>
      </c>
      <c r="H149" s="385">
        <f t="shared" si="88"/>
        <v>0</v>
      </c>
      <c r="I149" s="385">
        <f t="shared" si="88"/>
        <v>0</v>
      </c>
      <c r="J149" s="385">
        <f t="shared" si="88"/>
        <v>0</v>
      </c>
      <c r="K149" s="385">
        <f t="shared" si="88"/>
        <v>0</v>
      </c>
      <c r="L149" s="385">
        <f t="shared" si="88"/>
        <v>0</v>
      </c>
      <c r="M149" s="385">
        <f t="shared" si="88"/>
        <v>0</v>
      </c>
      <c r="N149" s="385">
        <f t="shared" si="88"/>
        <v>0</v>
      </c>
      <c r="O149" s="389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2:59" x14ac:dyDescent="0.2">
      <c r="B150" s="268" t="str">
        <f t="shared" si="87"/>
        <v>Tester</v>
      </c>
      <c r="C150" s="385">
        <f t="shared" si="88"/>
        <v>10</v>
      </c>
      <c r="D150" s="385">
        <f t="shared" ref="D150" si="94">D101*$E55*$H55*D$107</f>
        <v>10</v>
      </c>
      <c r="E150" s="385">
        <f t="shared" si="88"/>
        <v>10</v>
      </c>
      <c r="F150" s="385">
        <f t="shared" si="88"/>
        <v>10</v>
      </c>
      <c r="G150" s="385">
        <f t="shared" si="88"/>
        <v>10</v>
      </c>
      <c r="H150" s="385">
        <f t="shared" si="88"/>
        <v>10</v>
      </c>
      <c r="I150" s="385">
        <f t="shared" si="88"/>
        <v>10</v>
      </c>
      <c r="J150" s="385">
        <f t="shared" si="88"/>
        <v>10</v>
      </c>
      <c r="K150" s="385">
        <f t="shared" si="88"/>
        <v>10</v>
      </c>
      <c r="L150" s="385">
        <f t="shared" si="88"/>
        <v>10</v>
      </c>
      <c r="M150" s="385">
        <f t="shared" si="88"/>
        <v>10</v>
      </c>
      <c r="N150" s="385">
        <f t="shared" si="88"/>
        <v>10</v>
      </c>
      <c r="O150" s="389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2:59" x14ac:dyDescent="0.2">
      <c r="B151" s="266" t="s">
        <v>216</v>
      </c>
      <c r="C151" s="369">
        <f>SUM(C143:C150)</f>
        <v>117.75</v>
      </c>
      <c r="D151" s="369">
        <f t="shared" ref="D151" si="95">SUM(D143:D150)</f>
        <v>117.75</v>
      </c>
      <c r="E151" s="369">
        <f t="shared" ref="E151:N151" si="96">SUM(E143:E150)</f>
        <v>117.75</v>
      </c>
      <c r="F151" s="369">
        <f t="shared" si="96"/>
        <v>117.75</v>
      </c>
      <c r="G151" s="369">
        <f t="shared" si="96"/>
        <v>117.75</v>
      </c>
      <c r="H151" s="369">
        <f t="shared" si="96"/>
        <v>117.75</v>
      </c>
      <c r="I151" s="369">
        <f t="shared" si="96"/>
        <v>117.75</v>
      </c>
      <c r="J151" s="369">
        <f t="shared" si="96"/>
        <v>117.75</v>
      </c>
      <c r="K151" s="369">
        <f t="shared" si="96"/>
        <v>117.75</v>
      </c>
      <c r="L151" s="369">
        <f t="shared" si="96"/>
        <v>117.75</v>
      </c>
      <c r="M151" s="369">
        <f t="shared" si="96"/>
        <v>117.75</v>
      </c>
      <c r="N151" s="370">
        <f t="shared" si="96"/>
        <v>117.75</v>
      </c>
      <c r="O151" s="388">
        <f>SUM(C151:N151)</f>
        <v>1413</v>
      </c>
      <c r="P151" s="128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2:59" ht="17" thickBot="1" x14ac:dyDescent="0.25">
      <c r="B152" s="269" t="s">
        <v>141</v>
      </c>
      <c r="C152" s="372">
        <f>C117+C132+C142+C151</f>
        <v>521.75</v>
      </c>
      <c r="D152" s="372">
        <f t="shared" ref="D152" si="97">D117+D132+D142+D151</f>
        <v>521.75</v>
      </c>
      <c r="E152" s="372">
        <f t="shared" ref="E152:N152" si="98">E117+E132+E142+E151</f>
        <v>521.75</v>
      </c>
      <c r="F152" s="372">
        <f t="shared" si="98"/>
        <v>521.75</v>
      </c>
      <c r="G152" s="372">
        <f t="shared" si="98"/>
        <v>521.75</v>
      </c>
      <c r="H152" s="372">
        <f t="shared" si="98"/>
        <v>521.75</v>
      </c>
      <c r="I152" s="372">
        <f t="shared" si="98"/>
        <v>521.75</v>
      </c>
      <c r="J152" s="372">
        <f t="shared" si="98"/>
        <v>521.75</v>
      </c>
      <c r="K152" s="372">
        <f t="shared" si="98"/>
        <v>521.75</v>
      </c>
      <c r="L152" s="372">
        <f t="shared" si="98"/>
        <v>521.75</v>
      </c>
      <c r="M152" s="372">
        <f t="shared" si="98"/>
        <v>521.75</v>
      </c>
      <c r="N152" s="372">
        <f t="shared" si="98"/>
        <v>521.75</v>
      </c>
      <c r="O152" s="388">
        <f>SUM(C152:N152)</f>
        <v>6261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2:59" x14ac:dyDescent="0.2">
      <c r="B153" s="148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128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2:59" x14ac:dyDescent="0.2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2:59" x14ac:dyDescent="0.2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2:59" x14ac:dyDescent="0.2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2:59" x14ac:dyDescent="0.2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2:59" x14ac:dyDescent="0.2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2:59" x14ac:dyDescent="0.2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2:59" x14ac:dyDescent="0.2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2:59" x14ac:dyDescent="0.2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2:59" x14ac:dyDescent="0.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2:59" x14ac:dyDescent="0.2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2:59" x14ac:dyDescent="0.2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2:59" x14ac:dyDescent="0.2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2:59" x14ac:dyDescent="0.2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2:59" x14ac:dyDescent="0.2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2:59" x14ac:dyDescent="0.2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2:59" x14ac:dyDescent="0.2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2:59" x14ac:dyDescent="0.2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2:59" x14ac:dyDescent="0.2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2:59" x14ac:dyDescent="0.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2:59" x14ac:dyDescent="0.2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2:59" x14ac:dyDescent="0.2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2:59" x14ac:dyDescent="0.2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2:59" x14ac:dyDescent="0.2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2:59" x14ac:dyDescent="0.2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2:59" x14ac:dyDescent="0.2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2:59" x14ac:dyDescent="0.2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2:59" x14ac:dyDescent="0.2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2:59" x14ac:dyDescent="0.2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2:59" x14ac:dyDescent="0.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2:59" x14ac:dyDescent="0.2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2:59" x14ac:dyDescent="0.2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2:59" x14ac:dyDescent="0.2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2:59" x14ac:dyDescent="0.2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2:59" x14ac:dyDescent="0.2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2:59" x14ac:dyDescent="0.2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2:59" x14ac:dyDescent="0.2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2:59" x14ac:dyDescent="0.2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2:59" x14ac:dyDescent="0.2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2:59" x14ac:dyDescent="0.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2:59" x14ac:dyDescent="0.2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2:59" x14ac:dyDescent="0.2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2:59" x14ac:dyDescent="0.2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2:59" x14ac:dyDescent="0.2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2:59" x14ac:dyDescent="0.2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2:59" x14ac:dyDescent="0.2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2:59" x14ac:dyDescent="0.2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2:59" x14ac:dyDescent="0.2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2:59" x14ac:dyDescent="0.2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2:59" x14ac:dyDescent="0.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2:59" x14ac:dyDescent="0.2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2:59" x14ac:dyDescent="0.2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2:59" x14ac:dyDescent="0.2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2:59" x14ac:dyDescent="0.2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2:59" x14ac:dyDescent="0.2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2:59" x14ac:dyDescent="0.2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2:59" x14ac:dyDescent="0.2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2:59" x14ac:dyDescent="0.2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2:59" x14ac:dyDescent="0.2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2:59" x14ac:dyDescent="0.2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2:59" x14ac:dyDescent="0.2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2:59" x14ac:dyDescent="0.2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2:59" x14ac:dyDescent="0.2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2:59" x14ac:dyDescent="0.2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spans="2:59" x14ac:dyDescent="0.2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2:59" x14ac:dyDescent="0.2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spans="2:59" x14ac:dyDescent="0.2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2:59" x14ac:dyDescent="0.2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spans="2:59" x14ac:dyDescent="0.2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2:59" x14ac:dyDescent="0.2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spans="2:59" x14ac:dyDescent="0.2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2:59" x14ac:dyDescent="0.2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spans="2:59" x14ac:dyDescent="0.2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2:59" x14ac:dyDescent="0.2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spans="2:59" x14ac:dyDescent="0.2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2:59" x14ac:dyDescent="0.2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2:59" x14ac:dyDescent="0.2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2:59" x14ac:dyDescent="0.2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2:59" x14ac:dyDescent="0.2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2:59" x14ac:dyDescent="0.2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2:59" x14ac:dyDescent="0.2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2:59" x14ac:dyDescent="0.2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2:59" x14ac:dyDescent="0.2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2:59" x14ac:dyDescent="0.2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2:59" x14ac:dyDescent="0.2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2:59" x14ac:dyDescent="0.2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2:59" x14ac:dyDescent="0.2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2:59" x14ac:dyDescent="0.2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2:59" x14ac:dyDescent="0.2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2:59" x14ac:dyDescent="0.2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2:59" x14ac:dyDescent="0.2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2:59" x14ac:dyDescent="0.2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2:59" x14ac:dyDescent="0.2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2:59" x14ac:dyDescent="0.2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2:59" x14ac:dyDescent="0.2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2:59" x14ac:dyDescent="0.2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2:59" x14ac:dyDescent="0.2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2:59" x14ac:dyDescent="0.2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2:59" x14ac:dyDescent="0.2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2:59" x14ac:dyDescent="0.2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2:59" x14ac:dyDescent="0.2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2:59" x14ac:dyDescent="0.2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2:59" x14ac:dyDescent="0.2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2:59" x14ac:dyDescent="0.2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2:59" x14ac:dyDescent="0.2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2:59" x14ac:dyDescent="0.2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2:59" x14ac:dyDescent="0.2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2:59" x14ac:dyDescent="0.2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2:59" x14ac:dyDescent="0.2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2:59" x14ac:dyDescent="0.2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2:59" x14ac:dyDescent="0.2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2:59" x14ac:dyDescent="0.2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2:59" x14ac:dyDescent="0.2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2:59" x14ac:dyDescent="0.2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2:59" x14ac:dyDescent="0.2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2:59" x14ac:dyDescent="0.2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2:59" x14ac:dyDescent="0.2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2:59" x14ac:dyDescent="0.2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2:59" x14ac:dyDescent="0.2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2:59" x14ac:dyDescent="0.2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2:59" x14ac:dyDescent="0.2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2:59" x14ac:dyDescent="0.2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2:59" x14ac:dyDescent="0.2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2:59" x14ac:dyDescent="0.2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2:59" x14ac:dyDescent="0.2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2:59" x14ac:dyDescent="0.2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2:59" x14ac:dyDescent="0.2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2:59" x14ac:dyDescent="0.2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spans="2:59" x14ac:dyDescent="0.2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spans="2:59" x14ac:dyDescent="0.2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spans="2:59" x14ac:dyDescent="0.2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spans="2:59" x14ac:dyDescent="0.2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spans="2:59" x14ac:dyDescent="0.2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spans="2:59" x14ac:dyDescent="0.2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spans="2:59" x14ac:dyDescent="0.2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</sheetData>
  <mergeCells count="1">
    <mergeCell ref="E14:J14"/>
  </mergeCells>
  <phoneticPr fontId="32" type="noConversion"/>
  <conditionalFormatting sqref="C70:C83 E81:F81 H81:I81 K81:L81 N81">
    <cfRule type="cellIs" dxfId="16" priority="26" operator="lessThanOrEqual">
      <formula>0</formula>
    </cfRule>
  </conditionalFormatting>
  <conditionalFormatting sqref="C60:N68">
    <cfRule type="cellIs" dxfId="15" priority="11" operator="lessThanOrEqual">
      <formula>0</formula>
    </cfRule>
  </conditionalFormatting>
  <conditionalFormatting sqref="C85:N93">
    <cfRule type="cellIs" dxfId="14" priority="10" operator="lessThanOrEqual">
      <formula>0</formula>
    </cfRule>
  </conditionalFormatting>
  <conditionalFormatting sqref="C95:N102">
    <cfRule type="cellIs" dxfId="13" priority="3" operator="lessThanOrEqual">
      <formula>0</formula>
    </cfRule>
  </conditionalFormatting>
  <conditionalFormatting sqref="C109:N116">
    <cfRule type="cellIs" dxfId="12" priority="14" operator="lessThan">
      <formula>0.1</formula>
    </cfRule>
  </conditionalFormatting>
  <conditionalFormatting sqref="C117:N117">
    <cfRule type="cellIs" dxfId="11" priority="13" operator="lessThanOrEqual">
      <formula>0</formula>
    </cfRule>
  </conditionalFormatting>
  <conditionalFormatting sqref="C119:N131">
    <cfRule type="cellIs" dxfId="10" priority="9" operator="lessThan">
      <formula>0.1</formula>
    </cfRule>
  </conditionalFormatting>
  <conditionalFormatting sqref="C132:N132">
    <cfRule type="cellIs" dxfId="9" priority="7" operator="lessThanOrEqual">
      <formula>0</formula>
    </cfRule>
  </conditionalFormatting>
  <conditionalFormatting sqref="C134:N141">
    <cfRule type="cellIs" dxfId="8" priority="8" operator="lessThan">
      <formula>0.1</formula>
    </cfRule>
  </conditionalFormatting>
  <conditionalFormatting sqref="C142:N142">
    <cfRule type="cellIs" dxfId="7" priority="12" operator="lessThanOrEqual">
      <formula>0</formula>
    </cfRule>
  </conditionalFormatting>
  <conditionalFormatting sqref="C144:N150">
    <cfRule type="cellIs" dxfId="6" priority="5" operator="lessThan">
      <formula>0.1</formula>
    </cfRule>
  </conditionalFormatting>
  <conditionalFormatting sqref="C151:N151">
    <cfRule type="cellIs" dxfId="5" priority="4" operator="lessThanOrEqual">
      <formula>0</formula>
    </cfRule>
  </conditionalFormatting>
  <conditionalFormatting sqref="D70:N80 D81:D83 E82:N83">
    <cfRule type="cellIs" dxfId="4" priority="6" operator="lessThanOrEqual">
      <formula>0</formula>
    </cfRule>
  </conditionalFormatting>
  <conditionalFormatting sqref="I17:I24 I26:I38 I40:I47">
    <cfRule type="containsBlanks" dxfId="3" priority="35">
      <formula>LEN(TRIM(I17))=0</formula>
    </cfRule>
    <cfRule type="cellIs" dxfId="2" priority="36" operator="lessThan">
      <formula>0.14</formula>
    </cfRule>
  </conditionalFormatting>
  <conditionalFormatting sqref="I49:I55">
    <cfRule type="containsBlanks" dxfId="1" priority="15">
      <formula>LEN(TRIM(I49))=0</formula>
    </cfRule>
    <cfRule type="cellIs" dxfId="0" priority="16" operator="lessThan">
      <formula>0.14</formula>
    </cfRule>
  </conditionalFormatting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E9952-6764-9843-8EDB-2E2DB02A03BB}">
  <sheetPr>
    <tabColor theme="6"/>
  </sheetPr>
  <dimension ref="B1:O56"/>
  <sheetViews>
    <sheetView topLeftCell="A3" zoomScale="93" workbookViewId="0">
      <selection activeCell="E15" sqref="E15"/>
    </sheetView>
  </sheetViews>
  <sheetFormatPr baseColWidth="10" defaultColWidth="8.83203125" defaultRowHeight="16" x14ac:dyDescent="0.2"/>
  <cols>
    <col min="1" max="1" width="5.6640625" style="2" customWidth="1"/>
    <col min="2" max="2" width="34.1640625" style="2" bestFit="1" customWidth="1"/>
    <col min="3" max="14" width="12" style="2" customWidth="1"/>
    <col min="15" max="16" width="13.83203125" style="2" customWidth="1"/>
    <col min="17" max="16384" width="8.83203125" style="2"/>
  </cols>
  <sheetData>
    <row r="1" spans="2:5" ht="18" x14ac:dyDescent="0.2">
      <c r="B1" s="1"/>
    </row>
    <row r="2" spans="2:5" ht="18" x14ac:dyDescent="0.2">
      <c r="B2" s="1" t="s">
        <v>89</v>
      </c>
    </row>
    <row r="3" spans="2:5" x14ac:dyDescent="0.2">
      <c r="B3" s="2" t="s">
        <v>166</v>
      </c>
    </row>
    <row r="4" spans="2:5" x14ac:dyDescent="0.2">
      <c r="B4" s="2" t="s">
        <v>91</v>
      </c>
    </row>
    <row r="5" spans="2:5" ht="17" thickBot="1" x14ac:dyDescent="0.25"/>
    <row r="6" spans="2:5" ht="17" thickBot="1" x14ac:dyDescent="0.25">
      <c r="B6" s="182" t="s">
        <v>167</v>
      </c>
      <c r="C6" s="183">
        <v>0.1</v>
      </c>
    </row>
    <row r="7" spans="2:5" ht="17" thickBot="1" x14ac:dyDescent="0.25"/>
    <row r="8" spans="2:5" x14ac:dyDescent="0.2">
      <c r="B8" s="18" t="s">
        <v>168</v>
      </c>
      <c r="C8" s="29"/>
      <c r="D8" s="19"/>
      <c r="E8" s="19"/>
    </row>
    <row r="9" spans="2:5" ht="17" thickBot="1" x14ac:dyDescent="0.25">
      <c r="B9" s="20" t="s">
        <v>169</v>
      </c>
      <c r="C9" s="137" t="s">
        <v>170</v>
      </c>
      <c r="D9" s="138" t="s">
        <v>103</v>
      </c>
      <c r="E9" s="138">
        <v>2025</v>
      </c>
    </row>
    <row r="10" spans="2:5" ht="17" thickTop="1" x14ac:dyDescent="0.2">
      <c r="B10" s="6" t="str">
        <f>[11]OpEx!$B7</f>
        <v>Rent</v>
      </c>
      <c r="C10" s="392">
        <f>E10*1.1</f>
        <v>19965</v>
      </c>
      <c r="D10" s="134">
        <v>1</v>
      </c>
      <c r="E10" s="185">
        <v>18150</v>
      </c>
    </row>
    <row r="11" spans="2:5" x14ac:dyDescent="0.2">
      <c r="B11" s="6" t="str">
        <f>[11]OpEx!$B8</f>
        <v>Consumables</v>
      </c>
      <c r="C11" s="392">
        <f t="shared" ref="C11:C22" si="0">E11*1.1</f>
        <v>7935.933500000001</v>
      </c>
      <c r="D11" s="134">
        <v>1</v>
      </c>
      <c r="E11" s="185">
        <f>AVERAGE([12]OpEx!$C$8:$L$8)</f>
        <v>7214.4850000000006</v>
      </c>
    </row>
    <row r="12" spans="2:5" x14ac:dyDescent="0.2">
      <c r="B12" s="6" t="str">
        <f>[11]OpEx!$B9</f>
        <v>Office Supplies</v>
      </c>
      <c r="C12" s="392">
        <f t="shared" si="0"/>
        <v>204.38000000000002</v>
      </c>
      <c r="D12" s="134">
        <v>1</v>
      </c>
      <c r="E12" s="185">
        <f>AVERAGE([12]OpEx!$C$9:$L$9)</f>
        <v>185.8</v>
      </c>
    </row>
    <row r="13" spans="2:5" x14ac:dyDescent="0.2">
      <c r="B13" s="6" t="str">
        <f>[11]OpEx!$B10</f>
        <v>Services</v>
      </c>
      <c r="C13" s="392">
        <f t="shared" si="0"/>
        <v>794.2</v>
      </c>
      <c r="D13" s="134">
        <v>1</v>
      </c>
      <c r="E13" s="185">
        <f>AVERAGE([12]OpEx!$C$10:$L$10)</f>
        <v>722</v>
      </c>
    </row>
    <row r="14" spans="2:5" x14ac:dyDescent="0.2">
      <c r="B14" s="6" t="str">
        <f>[11]OpEx!$B11</f>
        <v>Bills</v>
      </c>
      <c r="C14" s="392">
        <f t="shared" si="0"/>
        <v>660</v>
      </c>
      <c r="D14" s="134">
        <v>1</v>
      </c>
      <c r="E14" s="185">
        <f>AVERAGE([12]OpEx!$C$11:$L$11)</f>
        <v>600</v>
      </c>
    </row>
    <row r="15" spans="2:5" x14ac:dyDescent="0.2">
      <c r="B15" s="6" t="str">
        <f>[11]OpEx!$B12</f>
        <v>Internet</v>
      </c>
      <c r="C15" s="392">
        <f t="shared" si="0"/>
        <v>2244.1738000000005</v>
      </c>
      <c r="D15" s="134">
        <v>1</v>
      </c>
      <c r="E15" s="185">
        <f>AVERAGE([12]OpEx!$C$12:$L$12)</f>
        <v>2040.1580000000001</v>
      </c>
    </row>
    <row r="16" spans="2:5" x14ac:dyDescent="0.2">
      <c r="B16" s="6" t="str">
        <f>[11]OpEx!$B13</f>
        <v>Subscriptions</v>
      </c>
      <c r="C16" s="392">
        <f t="shared" si="0"/>
        <v>44287.867704299999</v>
      </c>
      <c r="D16" s="134">
        <v>1</v>
      </c>
      <c r="E16" s="185">
        <f>AVERAGE([12]OpEx!$C$13:$L$13)</f>
        <v>40261.697912999996</v>
      </c>
    </row>
    <row r="17" spans="2:14" x14ac:dyDescent="0.2">
      <c r="B17" s="6" t="str">
        <f>[11]OpEx!$B14</f>
        <v>Utilities</v>
      </c>
      <c r="C17" s="392">
        <f t="shared" si="0"/>
        <v>1935.1354000000001</v>
      </c>
      <c r="D17" s="134">
        <v>1</v>
      </c>
      <c r="E17" s="185">
        <f>AVERAGE([12]OpEx!$C$14:$L$14)</f>
        <v>1759.2139999999999</v>
      </c>
    </row>
    <row r="18" spans="2:14" x14ac:dyDescent="0.2">
      <c r="B18" s="6" t="str">
        <f>[11]OpEx!$B15</f>
        <v>Transportation</v>
      </c>
      <c r="C18" s="392">
        <f t="shared" si="0"/>
        <v>525.03000000000009</v>
      </c>
      <c r="D18" s="134">
        <v>1</v>
      </c>
      <c r="E18" s="185">
        <f>AVERAGE([12]OpEx!$C$15:$L$15)</f>
        <v>477.3</v>
      </c>
    </row>
    <row r="19" spans="2:14" x14ac:dyDescent="0.2">
      <c r="B19" s="6" t="str">
        <f>[11]OpEx!$B16</f>
        <v>Bank Charges</v>
      </c>
      <c r="C19" s="392">
        <f t="shared" si="0"/>
        <v>1710.3458038342217</v>
      </c>
      <c r="D19" s="134">
        <v>1</v>
      </c>
      <c r="E19" s="185">
        <f>AVERAGE([12]OpEx!$C$16:$L$16)</f>
        <v>1554.8598216674741</v>
      </c>
    </row>
    <row r="20" spans="2:14" x14ac:dyDescent="0.2">
      <c r="B20" s="6" t="str">
        <f>[11]OpEx!$B17</f>
        <v>Marketing</v>
      </c>
      <c r="C20" s="392">
        <f t="shared" si="0"/>
        <v>0</v>
      </c>
      <c r="D20" s="134">
        <v>1</v>
      </c>
      <c r="E20" s="185">
        <f>AVERAGE([12]OpEx!$C$17:$L$17)</f>
        <v>0</v>
      </c>
    </row>
    <row r="21" spans="2:14" x14ac:dyDescent="0.2">
      <c r="B21" s="6" t="str">
        <f>[11]OpEx!$B18</f>
        <v>Medical</v>
      </c>
      <c r="C21" s="392">
        <f t="shared" si="0"/>
        <v>9776.8000000000011</v>
      </c>
      <c r="D21" s="134">
        <v>1</v>
      </c>
      <c r="E21" s="185">
        <f>AVERAGE([12]OpEx!$C$18:$L$18)</f>
        <v>8888</v>
      </c>
    </row>
    <row r="22" spans="2:14" ht="17" thickBot="1" x14ac:dyDescent="0.25">
      <c r="B22" s="8" t="str">
        <f>[11]OpEx!$B19</f>
        <v>Courses</v>
      </c>
      <c r="C22" s="392">
        <f t="shared" si="0"/>
        <v>0</v>
      </c>
      <c r="D22" s="187">
        <v>1</v>
      </c>
      <c r="E22" s="185">
        <f>AVERAGE([12]OpEx!$C$19:$L$19)</f>
        <v>0</v>
      </c>
    </row>
    <row r="23" spans="2:14" ht="17" thickBot="1" x14ac:dyDescent="0.25"/>
    <row r="24" spans="2:14" x14ac:dyDescent="0.2">
      <c r="B24" s="18" t="s">
        <v>171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19"/>
    </row>
    <row r="25" spans="2:14" ht="17" thickBot="1" x14ac:dyDescent="0.25">
      <c r="B25" s="20"/>
      <c r="C25" s="31">
        <v>46023</v>
      </c>
      <c r="D25" s="31">
        <v>46054</v>
      </c>
      <c r="E25" s="31">
        <v>46082</v>
      </c>
      <c r="F25" s="31">
        <v>46113</v>
      </c>
      <c r="G25" s="31">
        <v>46143</v>
      </c>
      <c r="H25" s="31">
        <v>46174</v>
      </c>
      <c r="I25" s="31">
        <v>46204</v>
      </c>
      <c r="J25" s="31">
        <v>46235</v>
      </c>
      <c r="K25" s="31">
        <v>46266</v>
      </c>
      <c r="L25" s="31">
        <v>46296</v>
      </c>
      <c r="M25" s="31">
        <v>46327</v>
      </c>
      <c r="N25" s="21">
        <v>46357</v>
      </c>
    </row>
    <row r="26" spans="2:14" ht="17" thickTop="1" x14ac:dyDescent="0.2">
      <c r="B26" s="189" t="str">
        <f t="shared" ref="B26:B36" si="1">B10</f>
        <v>Rent</v>
      </c>
      <c r="C26" s="67">
        <v>3</v>
      </c>
      <c r="D26" s="67">
        <v>0</v>
      </c>
      <c r="E26" s="67">
        <v>0</v>
      </c>
      <c r="F26" s="67">
        <v>3</v>
      </c>
      <c r="G26" s="67">
        <v>0</v>
      </c>
      <c r="H26" s="67">
        <v>0</v>
      </c>
      <c r="I26" s="67">
        <v>3</v>
      </c>
      <c r="J26" s="67">
        <v>0</v>
      </c>
      <c r="K26" s="67">
        <v>0</v>
      </c>
      <c r="L26" s="67">
        <v>3</v>
      </c>
      <c r="M26" s="67">
        <v>0</v>
      </c>
      <c r="N26" s="132">
        <v>0</v>
      </c>
    </row>
    <row r="27" spans="2:14" x14ac:dyDescent="0.2">
      <c r="B27" s="189" t="str">
        <f t="shared" si="1"/>
        <v>Consumables</v>
      </c>
      <c r="C27" s="67">
        <v>1</v>
      </c>
      <c r="D27" s="67">
        <v>1</v>
      </c>
      <c r="E27" s="67">
        <v>1</v>
      </c>
      <c r="F27" s="67">
        <v>1</v>
      </c>
      <c r="G27" s="67">
        <v>1</v>
      </c>
      <c r="H27" s="67">
        <v>1</v>
      </c>
      <c r="I27" s="67">
        <v>1</v>
      </c>
      <c r="J27" s="67">
        <v>1</v>
      </c>
      <c r="K27" s="67">
        <v>1</v>
      </c>
      <c r="L27" s="67">
        <v>1</v>
      </c>
      <c r="M27" s="67">
        <v>1</v>
      </c>
      <c r="N27" s="132">
        <v>1</v>
      </c>
    </row>
    <row r="28" spans="2:14" x14ac:dyDescent="0.2">
      <c r="B28" s="189" t="str">
        <f t="shared" si="1"/>
        <v>Office Supplies</v>
      </c>
      <c r="C28" s="67">
        <v>1</v>
      </c>
      <c r="D28" s="67">
        <v>1</v>
      </c>
      <c r="E28" s="67">
        <v>1</v>
      </c>
      <c r="F28" s="67">
        <v>1</v>
      </c>
      <c r="G28" s="67">
        <v>1</v>
      </c>
      <c r="H28" s="67">
        <v>1</v>
      </c>
      <c r="I28" s="67">
        <v>1</v>
      </c>
      <c r="J28" s="67">
        <v>1</v>
      </c>
      <c r="K28" s="67">
        <v>1</v>
      </c>
      <c r="L28" s="67">
        <v>1</v>
      </c>
      <c r="M28" s="67">
        <v>1</v>
      </c>
      <c r="N28" s="132">
        <v>1</v>
      </c>
    </row>
    <row r="29" spans="2:14" x14ac:dyDescent="0.2">
      <c r="B29" s="189" t="str">
        <f t="shared" si="1"/>
        <v>Services</v>
      </c>
      <c r="C29" s="67">
        <v>1</v>
      </c>
      <c r="D29" s="67">
        <v>1</v>
      </c>
      <c r="E29" s="67">
        <v>1</v>
      </c>
      <c r="F29" s="67">
        <v>1</v>
      </c>
      <c r="G29" s="67">
        <v>1</v>
      </c>
      <c r="H29" s="67">
        <v>1</v>
      </c>
      <c r="I29" s="67">
        <v>1</v>
      </c>
      <c r="J29" s="67">
        <v>1</v>
      </c>
      <c r="K29" s="67">
        <v>1</v>
      </c>
      <c r="L29" s="67">
        <v>1</v>
      </c>
      <c r="M29" s="67">
        <v>1</v>
      </c>
      <c r="N29" s="132">
        <v>1</v>
      </c>
    </row>
    <row r="30" spans="2:14" x14ac:dyDescent="0.2">
      <c r="B30" s="189" t="str">
        <f t="shared" si="1"/>
        <v>Bills</v>
      </c>
      <c r="C30" s="67">
        <v>1</v>
      </c>
      <c r="D30" s="67">
        <v>1</v>
      </c>
      <c r="E30" s="67">
        <v>1</v>
      </c>
      <c r="F30" s="67">
        <v>1</v>
      </c>
      <c r="G30" s="67">
        <v>1</v>
      </c>
      <c r="H30" s="67">
        <v>1</v>
      </c>
      <c r="I30" s="67">
        <v>1</v>
      </c>
      <c r="J30" s="67">
        <v>1</v>
      </c>
      <c r="K30" s="67">
        <v>1</v>
      </c>
      <c r="L30" s="67">
        <v>1</v>
      </c>
      <c r="M30" s="67">
        <v>1</v>
      </c>
      <c r="N30" s="132">
        <v>1</v>
      </c>
    </row>
    <row r="31" spans="2:14" x14ac:dyDescent="0.2">
      <c r="B31" s="189" t="str">
        <f t="shared" si="1"/>
        <v>Internet</v>
      </c>
      <c r="C31" s="67">
        <v>1</v>
      </c>
      <c r="D31" s="67">
        <v>1</v>
      </c>
      <c r="E31" s="67">
        <v>1</v>
      </c>
      <c r="F31" s="67">
        <v>1</v>
      </c>
      <c r="G31" s="67">
        <v>1</v>
      </c>
      <c r="H31" s="67">
        <v>1</v>
      </c>
      <c r="I31" s="67">
        <v>1</v>
      </c>
      <c r="J31" s="67">
        <v>1</v>
      </c>
      <c r="K31" s="67">
        <v>1</v>
      </c>
      <c r="L31" s="67">
        <v>1</v>
      </c>
      <c r="M31" s="67">
        <v>1</v>
      </c>
      <c r="N31" s="132">
        <v>1</v>
      </c>
    </row>
    <row r="32" spans="2:14" x14ac:dyDescent="0.2">
      <c r="B32" s="189" t="str">
        <f t="shared" si="1"/>
        <v>Subscriptions</v>
      </c>
      <c r="C32" s="67">
        <v>1</v>
      </c>
      <c r="D32" s="67">
        <v>1</v>
      </c>
      <c r="E32" s="67">
        <v>1</v>
      </c>
      <c r="F32" s="67">
        <v>1</v>
      </c>
      <c r="G32" s="67">
        <v>1</v>
      </c>
      <c r="H32" s="67">
        <v>1</v>
      </c>
      <c r="I32" s="67">
        <v>1</v>
      </c>
      <c r="J32" s="67">
        <v>1</v>
      </c>
      <c r="K32" s="67">
        <v>1</v>
      </c>
      <c r="L32" s="67">
        <v>1</v>
      </c>
      <c r="M32" s="67">
        <v>1</v>
      </c>
      <c r="N32" s="132">
        <v>1</v>
      </c>
    </row>
    <row r="33" spans="2:15" x14ac:dyDescent="0.2">
      <c r="B33" s="189" t="str">
        <f t="shared" si="1"/>
        <v>Utilities</v>
      </c>
      <c r="C33" s="67">
        <v>1</v>
      </c>
      <c r="D33" s="67">
        <v>1</v>
      </c>
      <c r="E33" s="67">
        <v>1</v>
      </c>
      <c r="F33" s="67">
        <v>1</v>
      </c>
      <c r="G33" s="67">
        <v>1</v>
      </c>
      <c r="H33" s="67">
        <v>1</v>
      </c>
      <c r="I33" s="67">
        <v>1</v>
      </c>
      <c r="J33" s="67">
        <v>1</v>
      </c>
      <c r="K33" s="67">
        <v>1</v>
      </c>
      <c r="L33" s="67">
        <v>1</v>
      </c>
      <c r="M33" s="67">
        <v>1</v>
      </c>
      <c r="N33" s="132">
        <v>1</v>
      </c>
    </row>
    <row r="34" spans="2:15" x14ac:dyDescent="0.2">
      <c r="B34" s="189" t="str">
        <f t="shared" si="1"/>
        <v>Transportation</v>
      </c>
      <c r="C34" s="67">
        <v>1</v>
      </c>
      <c r="D34" s="67">
        <v>1</v>
      </c>
      <c r="E34" s="67">
        <v>1</v>
      </c>
      <c r="F34" s="67">
        <v>1</v>
      </c>
      <c r="G34" s="67">
        <v>1</v>
      </c>
      <c r="H34" s="67">
        <v>1</v>
      </c>
      <c r="I34" s="67">
        <v>1</v>
      </c>
      <c r="J34" s="67">
        <v>1</v>
      </c>
      <c r="K34" s="67">
        <v>1</v>
      </c>
      <c r="L34" s="67">
        <v>1</v>
      </c>
      <c r="M34" s="67">
        <v>1</v>
      </c>
      <c r="N34" s="132">
        <v>1</v>
      </c>
    </row>
    <row r="35" spans="2:15" x14ac:dyDescent="0.2">
      <c r="B35" s="189" t="str">
        <f t="shared" si="1"/>
        <v>Bank Charges</v>
      </c>
      <c r="C35" s="67">
        <v>1</v>
      </c>
      <c r="D35" s="67">
        <v>1</v>
      </c>
      <c r="E35" s="67">
        <v>1</v>
      </c>
      <c r="F35" s="67">
        <v>1</v>
      </c>
      <c r="G35" s="67">
        <v>1</v>
      </c>
      <c r="H35" s="67">
        <v>1</v>
      </c>
      <c r="I35" s="67">
        <v>1</v>
      </c>
      <c r="J35" s="67">
        <v>1</v>
      </c>
      <c r="K35" s="67">
        <v>1</v>
      </c>
      <c r="L35" s="67">
        <v>1</v>
      </c>
      <c r="M35" s="67">
        <v>1</v>
      </c>
      <c r="N35" s="132">
        <v>1</v>
      </c>
    </row>
    <row r="36" spans="2:15" x14ac:dyDescent="0.2">
      <c r="B36" s="189" t="str">
        <f t="shared" si="1"/>
        <v>Marketing</v>
      </c>
      <c r="C36" s="67">
        <v>1</v>
      </c>
      <c r="D36" s="67">
        <v>1</v>
      </c>
      <c r="E36" s="67">
        <v>1</v>
      </c>
      <c r="F36" s="67">
        <v>1</v>
      </c>
      <c r="G36" s="67">
        <v>1</v>
      </c>
      <c r="H36" s="67">
        <v>1</v>
      </c>
      <c r="I36" s="67">
        <v>1</v>
      </c>
      <c r="J36" s="67">
        <v>1</v>
      </c>
      <c r="K36" s="67">
        <v>1</v>
      </c>
      <c r="L36" s="67">
        <v>1</v>
      </c>
      <c r="M36" s="67">
        <v>1</v>
      </c>
      <c r="N36" s="132">
        <v>1</v>
      </c>
    </row>
    <row r="37" spans="2:15" x14ac:dyDescent="0.2">
      <c r="B37" s="189" t="str">
        <f t="shared" ref="B37:B38" si="2">B21</f>
        <v>Medical</v>
      </c>
      <c r="C37" s="67">
        <v>1</v>
      </c>
      <c r="D37" s="67">
        <v>1</v>
      </c>
      <c r="E37" s="67">
        <v>1</v>
      </c>
      <c r="F37" s="67">
        <v>1</v>
      </c>
      <c r="G37" s="67">
        <v>1</v>
      </c>
      <c r="H37" s="67">
        <v>1</v>
      </c>
      <c r="I37" s="67">
        <v>1</v>
      </c>
      <c r="J37" s="67">
        <v>1</v>
      </c>
      <c r="K37" s="67">
        <v>1</v>
      </c>
      <c r="L37" s="67">
        <v>1</v>
      </c>
      <c r="M37" s="67">
        <v>1</v>
      </c>
      <c r="N37" s="132">
        <v>1</v>
      </c>
    </row>
    <row r="38" spans="2:15" ht="17" thickBot="1" x14ac:dyDescent="0.25">
      <c r="B38" s="190" t="str">
        <f t="shared" si="2"/>
        <v>Courses</v>
      </c>
      <c r="C38" s="191">
        <v>1</v>
      </c>
      <c r="D38" s="191">
        <v>1</v>
      </c>
      <c r="E38" s="191">
        <v>1</v>
      </c>
      <c r="F38" s="191">
        <v>1</v>
      </c>
      <c r="G38" s="191">
        <v>1</v>
      </c>
      <c r="H38" s="191">
        <v>1</v>
      </c>
      <c r="I38" s="191">
        <v>1</v>
      </c>
      <c r="J38" s="191">
        <v>1</v>
      </c>
      <c r="K38" s="191">
        <v>1</v>
      </c>
      <c r="L38" s="191">
        <v>1</v>
      </c>
      <c r="M38" s="191">
        <v>1</v>
      </c>
      <c r="N38" s="135">
        <v>1</v>
      </c>
    </row>
    <row r="39" spans="2:15" ht="17" thickBot="1" x14ac:dyDescent="0.25"/>
    <row r="40" spans="2:15" x14ac:dyDescent="0.2">
      <c r="B40" s="18" t="s">
        <v>172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19"/>
      <c r="O40" s="19"/>
    </row>
    <row r="41" spans="2:15" ht="17" thickBot="1" x14ac:dyDescent="0.25">
      <c r="B41" s="129"/>
      <c r="C41" s="31">
        <f>Personnel!C58</f>
        <v>46023</v>
      </c>
      <c r="D41" s="31">
        <f>Personnel!D58</f>
        <v>46054</v>
      </c>
      <c r="E41" s="31">
        <f>Personnel!E58</f>
        <v>46082</v>
      </c>
      <c r="F41" s="31">
        <f>Personnel!F58</f>
        <v>46113</v>
      </c>
      <c r="G41" s="31">
        <f>Personnel!G58</f>
        <v>46143</v>
      </c>
      <c r="H41" s="31">
        <f>Personnel!H58</f>
        <v>46174</v>
      </c>
      <c r="I41" s="31">
        <f>Personnel!I58</f>
        <v>46204</v>
      </c>
      <c r="J41" s="31">
        <f>Personnel!J58</f>
        <v>46235</v>
      </c>
      <c r="K41" s="31">
        <f>Personnel!K58</f>
        <v>46266</v>
      </c>
      <c r="L41" s="31">
        <f>Personnel!L58</f>
        <v>46296</v>
      </c>
      <c r="M41" s="31">
        <f>Personnel!M58</f>
        <v>46327</v>
      </c>
      <c r="N41" s="31">
        <f>Personnel!N58</f>
        <v>46357</v>
      </c>
      <c r="O41" s="192"/>
    </row>
    <row r="42" spans="2:15" ht="17" thickTop="1" x14ac:dyDescent="0.2">
      <c r="B42" s="162" t="s">
        <v>173</v>
      </c>
      <c r="C42" s="163">
        <v>1</v>
      </c>
      <c r="D42" s="163">
        <f>C42</f>
        <v>1</v>
      </c>
      <c r="E42" s="163">
        <f t="shared" ref="E42:N42" si="3">D42</f>
        <v>1</v>
      </c>
      <c r="F42" s="163">
        <f t="shared" si="3"/>
        <v>1</v>
      </c>
      <c r="G42" s="163">
        <f t="shared" si="3"/>
        <v>1</v>
      </c>
      <c r="H42" s="163">
        <f t="shared" si="3"/>
        <v>1</v>
      </c>
      <c r="I42" s="163">
        <f t="shared" si="3"/>
        <v>1</v>
      </c>
      <c r="J42" s="163">
        <f t="shared" si="3"/>
        <v>1</v>
      </c>
      <c r="K42" s="163">
        <f t="shared" si="3"/>
        <v>1</v>
      </c>
      <c r="L42" s="163">
        <f t="shared" si="3"/>
        <v>1</v>
      </c>
      <c r="M42" s="163">
        <f t="shared" si="3"/>
        <v>1</v>
      </c>
      <c r="N42" s="164">
        <f t="shared" si="3"/>
        <v>1</v>
      </c>
      <c r="O42" s="193" t="s">
        <v>9</v>
      </c>
    </row>
    <row r="43" spans="2:15" x14ac:dyDescent="0.2">
      <c r="B43" s="189" t="str">
        <f t="shared" ref="B43:B52" si="4">B10</f>
        <v>Rent</v>
      </c>
      <c r="C43" s="67">
        <f>C26*$C10*$D10</f>
        <v>59895</v>
      </c>
      <c r="D43" s="67">
        <f t="shared" ref="D43:G44" si="5">D26*$C10*$D10*$D$42</f>
        <v>0</v>
      </c>
      <c r="E43" s="67">
        <f t="shared" si="5"/>
        <v>0</v>
      </c>
      <c r="F43" s="67">
        <f t="shared" si="5"/>
        <v>59895</v>
      </c>
      <c r="G43" s="67">
        <f t="shared" si="5"/>
        <v>0</v>
      </c>
      <c r="H43" s="67">
        <f t="shared" ref="H43:K44" si="6">H26*$C10*$D10*$H$42</f>
        <v>0</v>
      </c>
      <c r="I43" s="67">
        <f t="shared" si="6"/>
        <v>59895</v>
      </c>
      <c r="J43" s="67">
        <f t="shared" si="6"/>
        <v>0</v>
      </c>
      <c r="K43" s="67">
        <f t="shared" si="6"/>
        <v>0</v>
      </c>
      <c r="L43" s="67">
        <f t="shared" ref="L43:N44" si="7">L26*$C10*$D10*$L$42</f>
        <v>59895</v>
      </c>
      <c r="M43" s="67">
        <f t="shared" si="7"/>
        <v>0</v>
      </c>
      <c r="N43" s="132">
        <f t="shared" si="7"/>
        <v>0</v>
      </c>
      <c r="O43" s="132">
        <f t="shared" ref="O43:O55" si="8">SUM(C43:N43)</f>
        <v>239580</v>
      </c>
    </row>
    <row r="44" spans="2:15" x14ac:dyDescent="0.2">
      <c r="B44" s="189" t="str">
        <f t="shared" si="4"/>
        <v>Consumables</v>
      </c>
      <c r="C44" s="67">
        <f>C27*$C11*$D11</f>
        <v>7935.933500000001</v>
      </c>
      <c r="D44" s="67">
        <f t="shared" si="5"/>
        <v>7935.933500000001</v>
      </c>
      <c r="E44" s="67">
        <f t="shared" si="5"/>
        <v>7935.933500000001</v>
      </c>
      <c r="F44" s="67">
        <f t="shared" si="5"/>
        <v>7935.933500000001</v>
      </c>
      <c r="G44" s="67">
        <f t="shared" si="5"/>
        <v>7935.933500000001</v>
      </c>
      <c r="H44" s="67">
        <f t="shared" si="6"/>
        <v>7935.933500000001</v>
      </c>
      <c r="I44" s="67">
        <f t="shared" si="6"/>
        <v>7935.933500000001</v>
      </c>
      <c r="J44" s="67">
        <f t="shared" si="6"/>
        <v>7935.933500000001</v>
      </c>
      <c r="K44" s="67">
        <f t="shared" si="6"/>
        <v>7935.933500000001</v>
      </c>
      <c r="L44" s="67">
        <f t="shared" si="7"/>
        <v>7935.933500000001</v>
      </c>
      <c r="M44" s="67">
        <f t="shared" si="7"/>
        <v>7935.933500000001</v>
      </c>
      <c r="N44" s="132">
        <f t="shared" si="7"/>
        <v>7935.933500000001</v>
      </c>
      <c r="O44" s="132">
        <f t="shared" si="8"/>
        <v>95231.202000000005</v>
      </c>
    </row>
    <row r="45" spans="2:15" x14ac:dyDescent="0.2">
      <c r="B45" s="189" t="str">
        <f t="shared" si="4"/>
        <v>Office Supplies</v>
      </c>
      <c r="C45" s="67">
        <f>C28*$C12*$D12*C42</f>
        <v>204.38000000000002</v>
      </c>
      <c r="D45" s="67">
        <f t="shared" ref="D45:N45" si="9">D28*$C12*$D12*D42</f>
        <v>204.38000000000002</v>
      </c>
      <c r="E45" s="67">
        <f t="shared" si="9"/>
        <v>204.38000000000002</v>
      </c>
      <c r="F45" s="67">
        <f t="shared" si="9"/>
        <v>204.38000000000002</v>
      </c>
      <c r="G45" s="67">
        <f t="shared" si="9"/>
        <v>204.38000000000002</v>
      </c>
      <c r="H45" s="67">
        <f t="shared" si="9"/>
        <v>204.38000000000002</v>
      </c>
      <c r="I45" s="67">
        <f t="shared" si="9"/>
        <v>204.38000000000002</v>
      </c>
      <c r="J45" s="67">
        <f t="shared" si="9"/>
        <v>204.38000000000002</v>
      </c>
      <c r="K45" s="67">
        <f t="shared" si="9"/>
        <v>204.38000000000002</v>
      </c>
      <c r="L45" s="67">
        <f t="shared" si="9"/>
        <v>204.38000000000002</v>
      </c>
      <c r="M45" s="67">
        <f t="shared" si="9"/>
        <v>204.38000000000002</v>
      </c>
      <c r="N45" s="132">
        <f t="shared" si="9"/>
        <v>204.38000000000002</v>
      </c>
      <c r="O45" s="132">
        <f t="shared" si="8"/>
        <v>2452.5600000000009</v>
      </c>
    </row>
    <row r="46" spans="2:15" x14ac:dyDescent="0.2">
      <c r="B46" s="189" t="str">
        <f t="shared" si="4"/>
        <v>Services</v>
      </c>
      <c r="C46" s="67">
        <f t="shared" ref="C46:C55" si="10">C29*$C13*$D13</f>
        <v>794.2</v>
      </c>
      <c r="D46" s="67">
        <f t="shared" ref="D46:G47" si="11">D29*$C13*$D13*$D$42</f>
        <v>794.2</v>
      </c>
      <c r="E46" s="67">
        <f t="shared" si="11"/>
        <v>794.2</v>
      </c>
      <c r="F46" s="67">
        <f t="shared" si="11"/>
        <v>794.2</v>
      </c>
      <c r="G46" s="67">
        <f t="shared" si="11"/>
        <v>794.2</v>
      </c>
      <c r="H46" s="67">
        <f t="shared" ref="H46:K47" si="12">H29*$C13*$D13*$H$42</f>
        <v>794.2</v>
      </c>
      <c r="I46" s="67">
        <f t="shared" si="12"/>
        <v>794.2</v>
      </c>
      <c r="J46" s="67">
        <f t="shared" si="12"/>
        <v>794.2</v>
      </c>
      <c r="K46" s="67">
        <f t="shared" si="12"/>
        <v>794.2</v>
      </c>
      <c r="L46" s="67">
        <f t="shared" ref="L46:N47" si="13">L29*$C13*$D13*$L$42</f>
        <v>794.2</v>
      </c>
      <c r="M46" s="67">
        <f t="shared" si="13"/>
        <v>794.2</v>
      </c>
      <c r="N46" s="132">
        <f t="shared" si="13"/>
        <v>794.2</v>
      </c>
      <c r="O46" s="132">
        <f t="shared" si="8"/>
        <v>9530.4</v>
      </c>
    </row>
    <row r="47" spans="2:15" x14ac:dyDescent="0.2">
      <c r="B47" s="189" t="str">
        <f t="shared" si="4"/>
        <v>Bills</v>
      </c>
      <c r="C47" s="67">
        <f t="shared" si="10"/>
        <v>660</v>
      </c>
      <c r="D47" s="67">
        <f t="shared" si="11"/>
        <v>660</v>
      </c>
      <c r="E47" s="67">
        <f t="shared" si="11"/>
        <v>660</v>
      </c>
      <c r="F47" s="67">
        <f t="shared" si="11"/>
        <v>660</v>
      </c>
      <c r="G47" s="67">
        <f t="shared" si="11"/>
        <v>660</v>
      </c>
      <c r="H47" s="67">
        <f t="shared" si="12"/>
        <v>660</v>
      </c>
      <c r="I47" s="67">
        <f t="shared" si="12"/>
        <v>660</v>
      </c>
      <c r="J47" s="67">
        <f t="shared" si="12"/>
        <v>660</v>
      </c>
      <c r="K47" s="67">
        <f t="shared" si="12"/>
        <v>660</v>
      </c>
      <c r="L47" s="67">
        <f t="shared" si="13"/>
        <v>660</v>
      </c>
      <c r="M47" s="67">
        <f t="shared" si="13"/>
        <v>660</v>
      </c>
      <c r="N47" s="132">
        <f t="shared" si="13"/>
        <v>660</v>
      </c>
      <c r="O47" s="132">
        <f t="shared" si="8"/>
        <v>7920</v>
      </c>
    </row>
    <row r="48" spans="2:15" x14ac:dyDescent="0.2">
      <c r="B48" s="189" t="str">
        <f t="shared" si="4"/>
        <v>Internet</v>
      </c>
      <c r="C48" s="67">
        <f t="shared" si="10"/>
        <v>2244.1738000000005</v>
      </c>
      <c r="D48" s="67">
        <f t="shared" ref="D48:N48" si="14">D31*$C15*$D15</f>
        <v>2244.1738000000005</v>
      </c>
      <c r="E48" s="67">
        <f t="shared" si="14"/>
        <v>2244.1738000000005</v>
      </c>
      <c r="F48" s="67">
        <f t="shared" si="14"/>
        <v>2244.1738000000005</v>
      </c>
      <c r="G48" s="67">
        <f t="shared" si="14"/>
        <v>2244.1738000000005</v>
      </c>
      <c r="H48" s="67">
        <f t="shared" si="14"/>
        <v>2244.1738000000005</v>
      </c>
      <c r="I48" s="67">
        <f t="shared" si="14"/>
        <v>2244.1738000000005</v>
      </c>
      <c r="J48" s="67">
        <f t="shared" si="14"/>
        <v>2244.1738000000005</v>
      </c>
      <c r="K48" s="67">
        <f t="shared" si="14"/>
        <v>2244.1738000000005</v>
      </c>
      <c r="L48" s="67">
        <f t="shared" si="14"/>
        <v>2244.1738000000005</v>
      </c>
      <c r="M48" s="67">
        <f t="shared" si="14"/>
        <v>2244.1738000000005</v>
      </c>
      <c r="N48" s="132">
        <f t="shared" si="14"/>
        <v>2244.1738000000005</v>
      </c>
      <c r="O48" s="132">
        <f t="shared" si="8"/>
        <v>26930.085600000006</v>
      </c>
    </row>
    <row r="49" spans="2:15" x14ac:dyDescent="0.2">
      <c r="B49" s="189" t="str">
        <f t="shared" si="4"/>
        <v>Subscriptions</v>
      </c>
      <c r="C49" s="67">
        <f t="shared" si="10"/>
        <v>44287.867704299999</v>
      </c>
      <c r="D49" s="67">
        <f t="shared" ref="D49:N49" si="15">D32*$C16*$D16</f>
        <v>44287.867704299999</v>
      </c>
      <c r="E49" s="67">
        <f t="shared" si="15"/>
        <v>44287.867704299999</v>
      </c>
      <c r="F49" s="67">
        <f t="shared" si="15"/>
        <v>44287.867704299999</v>
      </c>
      <c r="G49" s="67">
        <f t="shared" si="15"/>
        <v>44287.867704299999</v>
      </c>
      <c r="H49" s="67">
        <f t="shared" si="15"/>
        <v>44287.867704299999</v>
      </c>
      <c r="I49" s="67">
        <f t="shared" si="15"/>
        <v>44287.867704299999</v>
      </c>
      <c r="J49" s="67">
        <f t="shared" si="15"/>
        <v>44287.867704299999</v>
      </c>
      <c r="K49" s="67">
        <f t="shared" si="15"/>
        <v>44287.867704299999</v>
      </c>
      <c r="L49" s="67">
        <f t="shared" si="15"/>
        <v>44287.867704299999</v>
      </c>
      <c r="M49" s="67">
        <f t="shared" si="15"/>
        <v>44287.867704299999</v>
      </c>
      <c r="N49" s="132">
        <f t="shared" si="15"/>
        <v>44287.867704299999</v>
      </c>
      <c r="O49" s="132">
        <f t="shared" si="8"/>
        <v>531454.41245159984</v>
      </c>
    </row>
    <row r="50" spans="2:15" x14ac:dyDescent="0.2">
      <c r="B50" s="189" t="str">
        <f t="shared" si="4"/>
        <v>Utilities</v>
      </c>
      <c r="C50" s="67">
        <f t="shared" si="10"/>
        <v>1935.1354000000001</v>
      </c>
      <c r="D50" s="67">
        <f t="shared" ref="D50:N50" si="16">D33*$C17*$D17</f>
        <v>1935.1354000000001</v>
      </c>
      <c r="E50" s="67">
        <f t="shared" si="16"/>
        <v>1935.1354000000001</v>
      </c>
      <c r="F50" s="67">
        <f t="shared" si="16"/>
        <v>1935.1354000000001</v>
      </c>
      <c r="G50" s="67">
        <f t="shared" si="16"/>
        <v>1935.1354000000001</v>
      </c>
      <c r="H50" s="67">
        <f t="shared" si="16"/>
        <v>1935.1354000000001</v>
      </c>
      <c r="I50" s="67">
        <f t="shared" si="16"/>
        <v>1935.1354000000001</v>
      </c>
      <c r="J50" s="67">
        <f t="shared" si="16"/>
        <v>1935.1354000000001</v>
      </c>
      <c r="K50" s="67">
        <f t="shared" si="16"/>
        <v>1935.1354000000001</v>
      </c>
      <c r="L50" s="67">
        <f t="shared" si="16"/>
        <v>1935.1354000000001</v>
      </c>
      <c r="M50" s="67">
        <f t="shared" si="16"/>
        <v>1935.1354000000001</v>
      </c>
      <c r="N50" s="132">
        <f t="shared" si="16"/>
        <v>1935.1354000000001</v>
      </c>
      <c r="O50" s="132">
        <f t="shared" si="8"/>
        <v>23221.624799999994</v>
      </c>
    </row>
    <row r="51" spans="2:15" x14ac:dyDescent="0.2">
      <c r="B51" s="189" t="str">
        <f t="shared" si="4"/>
        <v>Transportation</v>
      </c>
      <c r="C51" s="67">
        <f t="shared" si="10"/>
        <v>525.03000000000009</v>
      </c>
      <c r="D51" s="67">
        <f t="shared" ref="D51:N51" si="17">D34*$C18*$D18</f>
        <v>525.03000000000009</v>
      </c>
      <c r="E51" s="67">
        <f t="shared" si="17"/>
        <v>525.03000000000009</v>
      </c>
      <c r="F51" s="67">
        <f t="shared" si="17"/>
        <v>525.03000000000009</v>
      </c>
      <c r="G51" s="67">
        <f t="shared" si="17"/>
        <v>525.03000000000009</v>
      </c>
      <c r="H51" s="67">
        <f t="shared" si="17"/>
        <v>525.03000000000009</v>
      </c>
      <c r="I51" s="67">
        <f t="shared" si="17"/>
        <v>525.03000000000009</v>
      </c>
      <c r="J51" s="67">
        <f t="shared" si="17"/>
        <v>525.03000000000009</v>
      </c>
      <c r="K51" s="67">
        <f t="shared" si="17"/>
        <v>525.03000000000009</v>
      </c>
      <c r="L51" s="67">
        <f t="shared" si="17"/>
        <v>525.03000000000009</v>
      </c>
      <c r="M51" s="67">
        <f t="shared" si="17"/>
        <v>525.03000000000009</v>
      </c>
      <c r="N51" s="132">
        <f t="shared" si="17"/>
        <v>525.03000000000009</v>
      </c>
      <c r="O51" s="132">
        <f t="shared" si="8"/>
        <v>6300.36</v>
      </c>
    </row>
    <row r="52" spans="2:15" x14ac:dyDescent="0.2">
      <c r="B52" s="189" t="str">
        <f t="shared" si="4"/>
        <v>Bank Charges</v>
      </c>
      <c r="C52" s="67">
        <f t="shared" si="10"/>
        <v>1710.3458038342217</v>
      </c>
      <c r="D52" s="67">
        <f t="shared" ref="D52:N52" si="18">D35*$C19*$D19</f>
        <v>1710.3458038342217</v>
      </c>
      <c r="E52" s="67">
        <f t="shared" si="18"/>
        <v>1710.3458038342217</v>
      </c>
      <c r="F52" s="67">
        <f t="shared" si="18"/>
        <v>1710.3458038342217</v>
      </c>
      <c r="G52" s="67">
        <f t="shared" si="18"/>
        <v>1710.3458038342217</v>
      </c>
      <c r="H52" s="67">
        <f t="shared" si="18"/>
        <v>1710.3458038342217</v>
      </c>
      <c r="I52" s="67">
        <f t="shared" si="18"/>
        <v>1710.3458038342217</v>
      </c>
      <c r="J52" s="67">
        <f t="shared" si="18"/>
        <v>1710.3458038342217</v>
      </c>
      <c r="K52" s="67">
        <f t="shared" si="18"/>
        <v>1710.3458038342217</v>
      </c>
      <c r="L52" s="67">
        <f t="shared" si="18"/>
        <v>1710.3458038342217</v>
      </c>
      <c r="M52" s="67">
        <f t="shared" si="18"/>
        <v>1710.3458038342217</v>
      </c>
      <c r="N52" s="132">
        <f t="shared" si="18"/>
        <v>1710.3458038342217</v>
      </c>
      <c r="O52" s="132">
        <f>SUM(C52:N52)</f>
        <v>20524.149646010661</v>
      </c>
    </row>
    <row r="53" spans="2:15" x14ac:dyDescent="0.2">
      <c r="B53" s="189" t="str">
        <f t="shared" ref="B53:B55" si="19">B20</f>
        <v>Marketing</v>
      </c>
      <c r="C53" s="67">
        <f t="shared" si="10"/>
        <v>0</v>
      </c>
      <c r="D53" s="67">
        <f t="shared" ref="D53:N53" si="20">D36*$C20*$D20</f>
        <v>0</v>
      </c>
      <c r="E53" s="67">
        <f t="shared" si="20"/>
        <v>0</v>
      </c>
      <c r="F53" s="67">
        <f t="shared" si="20"/>
        <v>0</v>
      </c>
      <c r="G53" s="67">
        <f t="shared" si="20"/>
        <v>0</v>
      </c>
      <c r="H53" s="67">
        <f t="shared" si="20"/>
        <v>0</v>
      </c>
      <c r="I53" s="67">
        <f t="shared" si="20"/>
        <v>0</v>
      </c>
      <c r="J53" s="67">
        <f t="shared" si="20"/>
        <v>0</v>
      </c>
      <c r="K53" s="67">
        <f t="shared" si="20"/>
        <v>0</v>
      </c>
      <c r="L53" s="67">
        <f t="shared" si="20"/>
        <v>0</v>
      </c>
      <c r="M53" s="67">
        <f t="shared" si="20"/>
        <v>0</v>
      </c>
      <c r="N53" s="132">
        <f t="shared" si="20"/>
        <v>0</v>
      </c>
      <c r="O53" s="132">
        <f>SUM(C53:N53)</f>
        <v>0</v>
      </c>
    </row>
    <row r="54" spans="2:15" x14ac:dyDescent="0.2">
      <c r="B54" s="189" t="str">
        <f t="shared" si="19"/>
        <v>Medical</v>
      </c>
      <c r="C54" s="67">
        <f t="shared" si="10"/>
        <v>9776.8000000000011</v>
      </c>
      <c r="D54" s="67">
        <f t="shared" ref="D54:N54" si="21">D37*$C21*$D21</f>
        <v>9776.8000000000011</v>
      </c>
      <c r="E54" s="67">
        <f t="shared" si="21"/>
        <v>9776.8000000000011</v>
      </c>
      <c r="F54" s="67">
        <f t="shared" si="21"/>
        <v>9776.8000000000011</v>
      </c>
      <c r="G54" s="67">
        <f t="shared" si="21"/>
        <v>9776.8000000000011</v>
      </c>
      <c r="H54" s="67">
        <f t="shared" si="21"/>
        <v>9776.8000000000011</v>
      </c>
      <c r="I54" s="67">
        <f t="shared" si="21"/>
        <v>9776.8000000000011</v>
      </c>
      <c r="J54" s="67">
        <f t="shared" si="21"/>
        <v>9776.8000000000011</v>
      </c>
      <c r="K54" s="67">
        <f t="shared" si="21"/>
        <v>9776.8000000000011</v>
      </c>
      <c r="L54" s="67">
        <f t="shared" si="21"/>
        <v>9776.8000000000011</v>
      </c>
      <c r="M54" s="67">
        <f t="shared" si="21"/>
        <v>9776.8000000000011</v>
      </c>
      <c r="N54" s="132">
        <f t="shared" si="21"/>
        <v>9776.8000000000011</v>
      </c>
      <c r="O54" s="132">
        <f>SUM(C54:N54)</f>
        <v>117321.60000000002</v>
      </c>
    </row>
    <row r="55" spans="2:15" x14ac:dyDescent="0.2">
      <c r="B55" s="194" t="str">
        <f t="shared" si="19"/>
        <v>Courses</v>
      </c>
      <c r="C55" s="195">
        <f t="shared" si="10"/>
        <v>0</v>
      </c>
      <c r="D55" s="195">
        <f>D38*$C22*$D22*$D$42</f>
        <v>0</v>
      </c>
      <c r="E55" s="195">
        <f>E38*$C22*$D22*$D$42</f>
        <v>0</v>
      </c>
      <c r="F55" s="195">
        <f>F38*$C22*$D22*$D$42</f>
        <v>0</v>
      </c>
      <c r="G55" s="195">
        <f>G38*$C22*$D22*$D$42</f>
        <v>0</v>
      </c>
      <c r="H55" s="195">
        <f>H38*$C22*$D22*$H$42</f>
        <v>0</v>
      </c>
      <c r="I55" s="195">
        <f>I38*$C22*$D22*$H$42</f>
        <v>0</v>
      </c>
      <c r="J55" s="195">
        <f>J38*$C22*$D22*$H$42</f>
        <v>0</v>
      </c>
      <c r="K55" s="195">
        <f>K38*$C22*$D22*$H$42</f>
        <v>0</v>
      </c>
      <c r="L55" s="195">
        <f>L38*$C22*$D22*$L$42</f>
        <v>0</v>
      </c>
      <c r="M55" s="195">
        <f>M38*$C22*$D22*$L$42</f>
        <v>0</v>
      </c>
      <c r="N55" s="196">
        <f>N38*$C22*$D22*$L$42</f>
        <v>0</v>
      </c>
      <c r="O55" s="196">
        <f t="shared" si="8"/>
        <v>0</v>
      </c>
    </row>
    <row r="56" spans="2:15" ht="17" thickBot="1" x14ac:dyDescent="0.25">
      <c r="B56" s="197" t="s">
        <v>174</v>
      </c>
      <c r="C56" s="198">
        <f t="shared" ref="C56:N56" si="22">SUM(C43:C55)</f>
        <v>129968.86620813422</v>
      </c>
      <c r="D56" s="198">
        <f t="shared" si="22"/>
        <v>70073.866208134219</v>
      </c>
      <c r="E56" s="198">
        <f t="shared" si="22"/>
        <v>70073.866208134219</v>
      </c>
      <c r="F56" s="198">
        <f t="shared" si="22"/>
        <v>129968.86620813422</v>
      </c>
      <c r="G56" s="198">
        <f t="shared" si="22"/>
        <v>70073.866208134219</v>
      </c>
      <c r="H56" s="198">
        <f t="shared" si="22"/>
        <v>70073.866208134219</v>
      </c>
      <c r="I56" s="198">
        <f t="shared" si="22"/>
        <v>129968.86620813422</v>
      </c>
      <c r="J56" s="198">
        <f t="shared" si="22"/>
        <v>70073.866208134219</v>
      </c>
      <c r="K56" s="198">
        <f t="shared" si="22"/>
        <v>70073.866208134219</v>
      </c>
      <c r="L56" s="198">
        <f t="shared" si="22"/>
        <v>129968.86620813422</v>
      </c>
      <c r="M56" s="198">
        <f t="shared" si="22"/>
        <v>70073.866208134219</v>
      </c>
      <c r="N56" s="199">
        <f t="shared" si="22"/>
        <v>70073.866208134219</v>
      </c>
      <c r="O56" s="199">
        <f>SUM(C56:N56)</f>
        <v>1080466.3944976106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076D7-1B21-6B4B-94B7-824A4B7354FE}">
  <sheetPr>
    <tabColor theme="6"/>
  </sheetPr>
  <dimension ref="B1:O39"/>
  <sheetViews>
    <sheetView workbookViewId="0">
      <selection activeCell="C23" sqref="C23"/>
    </sheetView>
  </sheetViews>
  <sheetFormatPr baseColWidth="10" defaultColWidth="8.83203125" defaultRowHeight="16" x14ac:dyDescent="0.2"/>
  <cols>
    <col min="1" max="1" width="5.6640625" style="2" customWidth="1"/>
    <col min="2" max="2" width="34.1640625" style="2" bestFit="1" customWidth="1"/>
    <col min="3" max="3" width="14.83203125" style="2" bestFit="1" customWidth="1"/>
    <col min="4" max="14" width="13.1640625" style="2" bestFit="1" customWidth="1"/>
    <col min="15" max="15" width="14.83203125" style="2" bestFit="1" customWidth="1"/>
    <col min="16" max="16" width="13.83203125" style="2" customWidth="1"/>
    <col min="17" max="16384" width="8.83203125" style="2"/>
  </cols>
  <sheetData>
    <row r="1" spans="2:3" ht="18" x14ac:dyDescent="0.2">
      <c r="B1" s="1"/>
    </row>
    <row r="2" spans="2:3" ht="18" x14ac:dyDescent="0.2">
      <c r="B2" s="1" t="s">
        <v>89</v>
      </c>
    </row>
    <row r="3" spans="2:3" x14ac:dyDescent="0.2">
      <c r="B3" s="2" t="s">
        <v>181</v>
      </c>
    </row>
    <row r="4" spans="2:3" x14ac:dyDescent="0.2">
      <c r="B4" s="2" t="s">
        <v>91</v>
      </c>
    </row>
    <row r="5" spans="2:3" ht="17" thickBot="1" x14ac:dyDescent="0.25"/>
    <row r="6" spans="2:3" ht="17" thickBot="1" x14ac:dyDescent="0.25">
      <c r="B6" s="305" t="s">
        <v>167</v>
      </c>
      <c r="C6" s="183">
        <v>0.15</v>
      </c>
    </row>
    <row r="7" spans="2:3" ht="17" thickBot="1" x14ac:dyDescent="0.25"/>
    <row r="8" spans="2:3" x14ac:dyDescent="0.2">
      <c r="B8" s="306" t="s">
        <v>239</v>
      </c>
      <c r="C8" s="214">
        <f>'P&amp;L'!F22/12</f>
        <v>400096.34090909088</v>
      </c>
    </row>
    <row r="9" spans="2:3" x14ac:dyDescent="0.2">
      <c r="B9" s="307" t="s">
        <v>240</v>
      </c>
      <c r="C9" s="132">
        <v>17</v>
      </c>
    </row>
    <row r="10" spans="2:3" x14ac:dyDescent="0.2">
      <c r="B10" s="307" t="s">
        <v>241</v>
      </c>
      <c r="C10" s="132">
        <f>C8/C9</f>
        <v>23535.078877005348</v>
      </c>
    </row>
    <row r="11" spans="2:3" x14ac:dyDescent="0.2">
      <c r="B11" s="307" t="s">
        <v>256</v>
      </c>
      <c r="C11" s="132">
        <f>E21</f>
        <v>9618.994545454545</v>
      </c>
    </row>
    <row r="12" spans="2:3" x14ac:dyDescent="0.2">
      <c r="B12" s="307" t="s">
        <v>257</v>
      </c>
      <c r="C12" s="132">
        <f>C11/C9</f>
        <v>565.82320855614967</v>
      </c>
    </row>
    <row r="13" spans="2:3" x14ac:dyDescent="0.2">
      <c r="B13" s="307" t="s">
        <v>258</v>
      </c>
      <c r="C13" s="132">
        <f>AVERAGE(Personnel!C152:N152)*1000</f>
        <v>521750</v>
      </c>
    </row>
    <row r="14" spans="2:3" x14ac:dyDescent="0.2">
      <c r="B14" s="307" t="s">
        <v>259</v>
      </c>
      <c r="C14" s="132">
        <v>17</v>
      </c>
    </row>
    <row r="15" spans="2:3" x14ac:dyDescent="0.2">
      <c r="B15" s="307" t="s">
        <v>260</v>
      </c>
      <c r="C15" s="132">
        <f>C13/C14</f>
        <v>30691.176470588234</v>
      </c>
    </row>
    <row r="16" spans="2:3" ht="17" thickBot="1" x14ac:dyDescent="0.25">
      <c r="B16" s="308" t="s">
        <v>261</v>
      </c>
      <c r="C16" s="215">
        <v>1.1599999999999999</v>
      </c>
    </row>
    <row r="17" spans="2:15" ht="17" thickBot="1" x14ac:dyDescent="0.25"/>
    <row r="18" spans="2:15" x14ac:dyDescent="0.2">
      <c r="B18" s="18" t="s">
        <v>182</v>
      </c>
      <c r="C18" s="29"/>
      <c r="D18" s="19"/>
      <c r="E18" s="19"/>
    </row>
    <row r="19" spans="2:15" ht="17" thickBot="1" x14ac:dyDescent="0.25">
      <c r="B19" s="20" t="s">
        <v>169</v>
      </c>
      <c r="C19" s="137" t="s">
        <v>170</v>
      </c>
      <c r="D19" s="138" t="s">
        <v>103</v>
      </c>
      <c r="E19" s="138">
        <v>2025</v>
      </c>
    </row>
    <row r="20" spans="2:15" ht="17" thickTop="1" x14ac:dyDescent="0.2">
      <c r="B20" s="6" t="str">
        <f>[11]Taxes!$B7</f>
        <v>Deduction Tax</v>
      </c>
      <c r="C20" s="184">
        <f>Result!I15*0</f>
        <v>0</v>
      </c>
      <c r="D20" s="134">
        <v>1</v>
      </c>
      <c r="E20" s="185">
        <f>AVERAGEA([12]Taxes!$C$7:$M$7)</f>
        <v>16106.622845454543</v>
      </c>
    </row>
    <row r="21" spans="2:15" x14ac:dyDescent="0.2">
      <c r="B21" s="6" t="str">
        <f>[11]Taxes!$B8</f>
        <v>Payroll Tax</v>
      </c>
      <c r="C21" s="184">
        <f>C12*C16*C14*1.1</f>
        <v>12273.837039999999</v>
      </c>
      <c r="D21" s="134">
        <v>1</v>
      </c>
      <c r="E21" s="185">
        <f>AVERAGE([12]Taxes!$C$8:$M$8)</f>
        <v>9618.994545454545</v>
      </c>
    </row>
    <row r="22" spans="2:15" x14ac:dyDescent="0.2">
      <c r="B22" s="6" t="str">
        <f>[11]Taxes!$B9</f>
        <v>Income Tax</v>
      </c>
      <c r="C22" s="184">
        <f>SUM(Result!H15*0.015)/12</f>
        <v>19250</v>
      </c>
      <c r="D22" s="134">
        <v>1</v>
      </c>
      <c r="E22" s="185">
        <v>0</v>
      </c>
    </row>
    <row r="23" spans="2:15" ht="17" thickBot="1" x14ac:dyDescent="0.25">
      <c r="B23" s="8" t="str">
        <f>[11]Taxes!$B11</f>
        <v>Social Insurance</v>
      </c>
      <c r="C23" s="186">
        <f>(35000*12+725000)/12</f>
        <v>95416.666666666672</v>
      </c>
      <c r="D23" s="187">
        <v>1</v>
      </c>
      <c r="E23" s="188">
        <f>1250000/12</f>
        <v>104166.66666666667</v>
      </c>
    </row>
    <row r="24" spans="2:15" ht="17" thickBot="1" x14ac:dyDescent="0.25"/>
    <row r="25" spans="2:15" x14ac:dyDescent="0.2">
      <c r="B25" s="18" t="s">
        <v>183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19"/>
    </row>
    <row r="26" spans="2:15" ht="17" thickBot="1" x14ac:dyDescent="0.25">
      <c r="B26" s="20"/>
      <c r="C26" s="253">
        <f>Personnel!C58</f>
        <v>46023</v>
      </c>
      <c r="D26" s="253">
        <f>Personnel!D58</f>
        <v>46054</v>
      </c>
      <c r="E26" s="253">
        <f>Personnel!E58</f>
        <v>46082</v>
      </c>
      <c r="F26" s="253">
        <f>Personnel!F58</f>
        <v>46113</v>
      </c>
      <c r="G26" s="253">
        <f>Personnel!G58</f>
        <v>46143</v>
      </c>
      <c r="H26" s="253">
        <f>Personnel!H58</f>
        <v>46174</v>
      </c>
      <c r="I26" s="253">
        <f>Personnel!I58</f>
        <v>46204</v>
      </c>
      <c r="J26" s="253">
        <f>Personnel!J58</f>
        <v>46235</v>
      </c>
      <c r="K26" s="253">
        <f>Personnel!K58</f>
        <v>46266</v>
      </c>
      <c r="L26" s="253">
        <f>Personnel!L58</f>
        <v>46296</v>
      </c>
      <c r="M26" s="253">
        <f>Personnel!M58</f>
        <v>46327</v>
      </c>
      <c r="N26" s="253">
        <f>Personnel!N58</f>
        <v>46357</v>
      </c>
    </row>
    <row r="27" spans="2:15" ht="17" thickTop="1" x14ac:dyDescent="0.2">
      <c r="B27" s="189" t="str">
        <f>B20</f>
        <v>Deduction Tax</v>
      </c>
      <c r="C27" s="67">
        <v>1</v>
      </c>
      <c r="D27" s="67">
        <v>1</v>
      </c>
      <c r="E27" s="67">
        <v>1</v>
      </c>
      <c r="F27" s="67">
        <v>1</v>
      </c>
      <c r="G27" s="67">
        <v>1</v>
      </c>
      <c r="H27" s="67">
        <v>1</v>
      </c>
      <c r="I27" s="67">
        <v>1</v>
      </c>
      <c r="J27" s="67">
        <v>1</v>
      </c>
      <c r="K27" s="67">
        <v>1</v>
      </c>
      <c r="L27" s="67">
        <v>1</v>
      </c>
      <c r="M27" s="67">
        <v>1</v>
      </c>
      <c r="N27" s="132">
        <v>1</v>
      </c>
    </row>
    <row r="28" spans="2:15" x14ac:dyDescent="0.2">
      <c r="B28" s="189" t="str">
        <f>B21</f>
        <v>Payroll Tax</v>
      </c>
      <c r="C28" s="67">
        <v>1</v>
      </c>
      <c r="D28" s="67">
        <v>1</v>
      </c>
      <c r="E28" s="67">
        <v>1</v>
      </c>
      <c r="F28" s="67">
        <v>1</v>
      </c>
      <c r="G28" s="67">
        <v>1</v>
      </c>
      <c r="H28" s="67">
        <v>1</v>
      </c>
      <c r="I28" s="67">
        <v>1</v>
      </c>
      <c r="J28" s="67">
        <v>1</v>
      </c>
      <c r="K28" s="67">
        <v>1</v>
      </c>
      <c r="L28" s="67">
        <v>1</v>
      </c>
      <c r="M28" s="67">
        <v>1</v>
      </c>
      <c r="N28" s="132">
        <v>1</v>
      </c>
    </row>
    <row r="29" spans="2:15" x14ac:dyDescent="0.2">
      <c r="B29" s="189" t="str">
        <f>B22</f>
        <v>Income Tax</v>
      </c>
      <c r="C29" s="67">
        <v>1</v>
      </c>
      <c r="D29" s="67">
        <v>1</v>
      </c>
      <c r="E29" s="67">
        <v>1</v>
      </c>
      <c r="F29" s="67">
        <v>1</v>
      </c>
      <c r="G29" s="67">
        <v>1</v>
      </c>
      <c r="H29" s="67">
        <v>1</v>
      </c>
      <c r="I29" s="67">
        <v>1</v>
      </c>
      <c r="J29" s="67">
        <v>1</v>
      </c>
      <c r="K29" s="67">
        <v>1</v>
      </c>
      <c r="L29" s="67">
        <v>1</v>
      </c>
      <c r="M29" s="67">
        <v>1</v>
      </c>
      <c r="N29" s="132">
        <v>1</v>
      </c>
    </row>
    <row r="30" spans="2:15" ht="17" thickBot="1" x14ac:dyDescent="0.25">
      <c r="B30" s="190" t="str">
        <f>B23</f>
        <v>Social Insurance</v>
      </c>
      <c r="C30" s="191">
        <v>1</v>
      </c>
      <c r="D30" s="191">
        <v>1</v>
      </c>
      <c r="E30" s="191">
        <v>1</v>
      </c>
      <c r="F30" s="191">
        <v>1</v>
      </c>
      <c r="G30" s="191">
        <v>1</v>
      </c>
      <c r="H30" s="191">
        <v>1</v>
      </c>
      <c r="I30" s="191">
        <v>1</v>
      </c>
      <c r="J30" s="191">
        <v>1</v>
      </c>
      <c r="K30" s="191">
        <v>1</v>
      </c>
      <c r="L30" s="191">
        <v>1</v>
      </c>
      <c r="M30" s="191">
        <v>1</v>
      </c>
      <c r="N30" s="135">
        <v>1</v>
      </c>
    </row>
    <row r="31" spans="2:15" ht="17" thickBot="1" x14ac:dyDescent="0.25"/>
    <row r="32" spans="2:15" x14ac:dyDescent="0.2">
      <c r="B32" s="18" t="s">
        <v>184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19"/>
      <c r="O32" s="19"/>
    </row>
    <row r="33" spans="2:15" ht="17" thickBot="1" x14ac:dyDescent="0.25">
      <c r="B33" s="129"/>
      <c r="C33" s="253">
        <f>C26</f>
        <v>46023</v>
      </c>
      <c r="D33" s="253">
        <f t="shared" ref="D33:N33" si="0">D26</f>
        <v>46054</v>
      </c>
      <c r="E33" s="253">
        <f t="shared" si="0"/>
        <v>46082</v>
      </c>
      <c r="F33" s="253">
        <f t="shared" si="0"/>
        <v>46113</v>
      </c>
      <c r="G33" s="253">
        <f t="shared" si="0"/>
        <v>46143</v>
      </c>
      <c r="H33" s="253">
        <f t="shared" si="0"/>
        <v>46174</v>
      </c>
      <c r="I33" s="253">
        <f t="shared" si="0"/>
        <v>46204</v>
      </c>
      <c r="J33" s="253">
        <f t="shared" si="0"/>
        <v>46235</v>
      </c>
      <c r="K33" s="253">
        <f t="shared" si="0"/>
        <v>46266</v>
      </c>
      <c r="L33" s="253">
        <f t="shared" si="0"/>
        <v>46296</v>
      </c>
      <c r="M33" s="253">
        <f t="shared" si="0"/>
        <v>46327</v>
      </c>
      <c r="N33" s="253">
        <f t="shared" si="0"/>
        <v>46357</v>
      </c>
      <c r="O33" s="192"/>
    </row>
    <row r="34" spans="2:15" ht="17" thickTop="1" x14ac:dyDescent="0.2">
      <c r="B34" s="162" t="s">
        <v>173</v>
      </c>
      <c r="C34" s="163">
        <v>1</v>
      </c>
      <c r="D34" s="163">
        <f>C34</f>
        <v>1</v>
      </c>
      <c r="E34" s="163">
        <f t="shared" ref="E34:N34" si="1">D34</f>
        <v>1</v>
      </c>
      <c r="F34" s="163">
        <f t="shared" si="1"/>
        <v>1</v>
      </c>
      <c r="G34" s="163">
        <f t="shared" si="1"/>
        <v>1</v>
      </c>
      <c r="H34" s="163">
        <f t="shared" si="1"/>
        <v>1</v>
      </c>
      <c r="I34" s="163">
        <f t="shared" si="1"/>
        <v>1</v>
      </c>
      <c r="J34" s="163">
        <f t="shared" si="1"/>
        <v>1</v>
      </c>
      <c r="K34" s="163">
        <f t="shared" si="1"/>
        <v>1</v>
      </c>
      <c r="L34" s="163">
        <f t="shared" si="1"/>
        <v>1</v>
      </c>
      <c r="M34" s="163">
        <f t="shared" si="1"/>
        <v>1</v>
      </c>
      <c r="N34" s="164">
        <f t="shared" si="1"/>
        <v>1</v>
      </c>
      <c r="O34" s="193" t="s">
        <v>9</v>
      </c>
    </row>
    <row r="35" spans="2:15" x14ac:dyDescent="0.2">
      <c r="B35" s="189" t="str">
        <f>B20</f>
        <v>Deduction Tax</v>
      </c>
      <c r="C35" s="67">
        <f>C27*$C20*$D20</f>
        <v>0</v>
      </c>
      <c r="D35" s="67">
        <f t="shared" ref="D35:G36" si="2">D27*$C20*$D20*$D$34</f>
        <v>0</v>
      </c>
      <c r="E35" s="67">
        <f t="shared" si="2"/>
        <v>0</v>
      </c>
      <c r="F35" s="67">
        <f t="shared" si="2"/>
        <v>0</v>
      </c>
      <c r="G35" s="67">
        <f t="shared" si="2"/>
        <v>0</v>
      </c>
      <c r="H35" s="67">
        <f t="shared" ref="H35:K36" si="3">H27*$C20*$D20*$H$34</f>
        <v>0</v>
      </c>
      <c r="I35" s="67">
        <f t="shared" si="3"/>
        <v>0</v>
      </c>
      <c r="J35" s="67">
        <f t="shared" si="3"/>
        <v>0</v>
      </c>
      <c r="K35" s="67">
        <f t="shared" si="3"/>
        <v>0</v>
      </c>
      <c r="L35" s="67">
        <f t="shared" ref="L35:N36" si="4">L27*$C20*$D20*$L$34</f>
        <v>0</v>
      </c>
      <c r="M35" s="67">
        <f t="shared" si="4"/>
        <v>0</v>
      </c>
      <c r="N35" s="132">
        <f t="shared" si="4"/>
        <v>0</v>
      </c>
      <c r="O35" s="132">
        <f t="shared" ref="O35:O37" si="5">SUM(C35:N35)</f>
        <v>0</v>
      </c>
    </row>
    <row r="36" spans="2:15" x14ac:dyDescent="0.2">
      <c r="B36" s="189" t="str">
        <f>B21</f>
        <v>Payroll Tax</v>
      </c>
      <c r="C36" s="67">
        <f>C28*$C21*$D21</f>
        <v>12273.837039999999</v>
      </c>
      <c r="D36" s="67">
        <f t="shared" si="2"/>
        <v>12273.837039999999</v>
      </c>
      <c r="E36" s="67">
        <f t="shared" si="2"/>
        <v>12273.837039999999</v>
      </c>
      <c r="F36" s="67">
        <f t="shared" si="2"/>
        <v>12273.837039999999</v>
      </c>
      <c r="G36" s="67">
        <f t="shared" si="2"/>
        <v>12273.837039999999</v>
      </c>
      <c r="H36" s="67">
        <f t="shared" si="3"/>
        <v>12273.837039999999</v>
      </c>
      <c r="I36" s="67">
        <f t="shared" si="3"/>
        <v>12273.837039999999</v>
      </c>
      <c r="J36" s="67">
        <f t="shared" si="3"/>
        <v>12273.837039999999</v>
      </c>
      <c r="K36" s="67">
        <f t="shared" si="3"/>
        <v>12273.837039999999</v>
      </c>
      <c r="L36" s="67">
        <f t="shared" si="4"/>
        <v>12273.837039999999</v>
      </c>
      <c r="M36" s="67">
        <f t="shared" si="4"/>
        <v>12273.837039999999</v>
      </c>
      <c r="N36" s="132">
        <f t="shared" si="4"/>
        <v>12273.837039999999</v>
      </c>
      <c r="O36" s="132">
        <f t="shared" si="5"/>
        <v>147286.04447999998</v>
      </c>
    </row>
    <row r="37" spans="2:15" x14ac:dyDescent="0.2">
      <c r="B37" s="189" t="str">
        <f>B22</f>
        <v>Income Tax</v>
      </c>
      <c r="C37" s="67">
        <f>C29*$C22*$D22</f>
        <v>19250</v>
      </c>
      <c r="D37" s="67">
        <f>D29*$C22*$D22*$D$34</f>
        <v>19250</v>
      </c>
      <c r="E37" s="67">
        <f t="shared" ref="E37:N37" si="6">E29*$C22*$D22</f>
        <v>19250</v>
      </c>
      <c r="F37" s="67">
        <f t="shared" si="6"/>
        <v>19250</v>
      </c>
      <c r="G37" s="67">
        <f t="shared" si="6"/>
        <v>19250</v>
      </c>
      <c r="H37" s="67">
        <f t="shared" si="6"/>
        <v>19250</v>
      </c>
      <c r="I37" s="67">
        <f t="shared" si="6"/>
        <v>19250</v>
      </c>
      <c r="J37" s="67">
        <f t="shared" si="6"/>
        <v>19250</v>
      </c>
      <c r="K37" s="67">
        <f t="shared" si="6"/>
        <v>19250</v>
      </c>
      <c r="L37" s="67">
        <f t="shared" si="6"/>
        <v>19250</v>
      </c>
      <c r="M37" s="67">
        <f t="shared" si="6"/>
        <v>19250</v>
      </c>
      <c r="N37" s="67">
        <f t="shared" si="6"/>
        <v>19250</v>
      </c>
      <c r="O37" s="132">
        <f t="shared" si="5"/>
        <v>231000</v>
      </c>
    </row>
    <row r="38" spans="2:15" x14ac:dyDescent="0.2">
      <c r="B38" s="189" t="str">
        <f>B23</f>
        <v>Social Insurance</v>
      </c>
      <c r="C38" s="67">
        <f>C30*$C23*$D23</f>
        <v>95416.666666666672</v>
      </c>
      <c r="D38" s="67">
        <f>D30*$C23*$D23*$D$34</f>
        <v>95416.666666666672</v>
      </c>
      <c r="E38" s="67">
        <f>E30*$C23*$D23*$D$34</f>
        <v>95416.666666666672</v>
      </c>
      <c r="F38" s="67">
        <f>F30*$C23*$D23*$D$34</f>
        <v>95416.666666666672</v>
      </c>
      <c r="G38" s="67">
        <f>G30*$C23*$D23*$D$34</f>
        <v>95416.666666666672</v>
      </c>
      <c r="H38" s="67">
        <f>H30*$C23*$D23*$H$34</f>
        <v>95416.666666666672</v>
      </c>
      <c r="I38" s="67">
        <f>I30*$C23*$D23*$H$34</f>
        <v>95416.666666666672</v>
      </c>
      <c r="J38" s="67">
        <f>J30*$C23*$D23*$H$34</f>
        <v>95416.666666666672</v>
      </c>
      <c r="K38" s="67">
        <f>K30*$C23*$D23*$H$34</f>
        <v>95416.666666666672</v>
      </c>
      <c r="L38" s="67">
        <f>L30*$C23*$D23*$L$34</f>
        <v>95416.666666666672</v>
      </c>
      <c r="M38" s="67">
        <f>M30*$C23*$D23*$L$34</f>
        <v>95416.666666666672</v>
      </c>
      <c r="N38" s="132">
        <f>N30*$C23*$D23*$L$34</f>
        <v>95416.666666666672</v>
      </c>
      <c r="O38" s="132">
        <f>SUM(C38:N38)</f>
        <v>1145000</v>
      </c>
    </row>
    <row r="39" spans="2:15" ht="17" thickBot="1" x14ac:dyDescent="0.25">
      <c r="B39" s="237" t="s">
        <v>174</v>
      </c>
      <c r="C39" s="238">
        <f t="shared" ref="C39:N39" si="7">SUM(C35:C38)</f>
        <v>126940.50370666667</v>
      </c>
      <c r="D39" s="238">
        <f t="shared" si="7"/>
        <v>126940.50370666667</v>
      </c>
      <c r="E39" s="238">
        <f t="shared" si="7"/>
        <v>126940.50370666667</v>
      </c>
      <c r="F39" s="238">
        <f t="shared" si="7"/>
        <v>126940.50370666667</v>
      </c>
      <c r="G39" s="238">
        <f t="shared" si="7"/>
        <v>126940.50370666667</v>
      </c>
      <c r="H39" s="238">
        <f t="shared" si="7"/>
        <v>126940.50370666667</v>
      </c>
      <c r="I39" s="238">
        <f t="shared" si="7"/>
        <v>126940.50370666667</v>
      </c>
      <c r="J39" s="238">
        <f t="shared" si="7"/>
        <v>126940.50370666667</v>
      </c>
      <c r="K39" s="238">
        <f t="shared" si="7"/>
        <v>126940.50370666667</v>
      </c>
      <c r="L39" s="238">
        <f t="shared" si="7"/>
        <v>126940.50370666667</v>
      </c>
      <c r="M39" s="238">
        <f t="shared" si="7"/>
        <v>126940.50370666667</v>
      </c>
      <c r="N39" s="239">
        <f t="shared" si="7"/>
        <v>126940.50370666667</v>
      </c>
      <c r="O39" s="239">
        <f>SUM(C39:N39)</f>
        <v>1523286.0444799999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1DAEC-371B-394F-A65B-71B4D41EAB9F}">
  <dimension ref="B1:L42"/>
  <sheetViews>
    <sheetView zoomScaleNormal="100" workbookViewId="0">
      <selection activeCell="D26" activeCellId="1" sqref="D22 D26"/>
    </sheetView>
  </sheetViews>
  <sheetFormatPr baseColWidth="10" defaultColWidth="11" defaultRowHeight="16" x14ac:dyDescent="0.2"/>
  <cols>
    <col min="1" max="1" width="2.33203125" customWidth="1"/>
    <col min="2" max="2" width="33.5" customWidth="1"/>
    <col min="3" max="3" width="8.5" customWidth="1"/>
    <col min="4" max="4" width="13" bestFit="1" customWidth="1"/>
    <col min="5" max="5" width="8.5" customWidth="1"/>
    <col min="6" max="6" width="13" bestFit="1" customWidth="1"/>
    <col min="7" max="7" width="2.33203125" customWidth="1"/>
    <col min="8" max="8" width="20.6640625" customWidth="1"/>
    <col min="9" max="9" width="13.5" bestFit="1" customWidth="1"/>
    <col min="10" max="10" width="2" customWidth="1"/>
    <col min="11" max="11" width="11.6640625" bestFit="1" customWidth="1"/>
  </cols>
  <sheetData>
    <row r="1" spans="2:9" s="2" customFormat="1" ht="10" customHeight="1" x14ac:dyDescent="0.2">
      <c r="B1" s="1"/>
      <c r="C1" s="1"/>
      <c r="D1" s="1"/>
      <c r="E1" s="1"/>
    </row>
    <row r="2" spans="2:9" s="2" customFormat="1" ht="18" x14ac:dyDescent="0.2">
      <c r="B2" s="1" t="s">
        <v>75</v>
      </c>
      <c r="C2" s="1"/>
      <c r="D2" s="1"/>
      <c r="E2" s="1"/>
    </row>
    <row r="3" spans="2:9" s="2" customFormat="1" x14ac:dyDescent="0.2">
      <c r="B3" s="2" t="s">
        <v>65</v>
      </c>
    </row>
    <row r="4" spans="2:9" s="2" customFormat="1" x14ac:dyDescent="0.2">
      <c r="B4" s="2" t="s">
        <v>61</v>
      </c>
    </row>
    <row r="5" spans="2:9" s="2" customFormat="1" x14ac:dyDescent="0.2"/>
    <row r="6" spans="2:9" x14ac:dyDescent="0.2">
      <c r="B6" s="102" t="s">
        <v>74</v>
      </c>
      <c r="C6" s="103"/>
      <c r="D6" s="102">
        <v>2026</v>
      </c>
      <c r="E6" s="103"/>
      <c r="F6" s="102">
        <v>2025</v>
      </c>
    </row>
    <row r="7" spans="2:9" x14ac:dyDescent="0.2">
      <c r="B7" s="220" t="s">
        <v>62</v>
      </c>
      <c r="C7" s="99" t="s">
        <v>42</v>
      </c>
      <c r="D7" s="99"/>
      <c r="E7" s="99" t="s">
        <v>42</v>
      </c>
      <c r="F7" s="98"/>
    </row>
    <row r="8" spans="2:9" x14ac:dyDescent="0.2">
      <c r="B8" s="221" t="s">
        <v>46</v>
      </c>
      <c r="C8" s="59"/>
      <c r="D8" s="59"/>
      <c r="E8" s="59"/>
    </row>
    <row r="9" spans="2:9" x14ac:dyDescent="0.2">
      <c r="B9" s="222" t="str">
        <f>Result!B7</f>
        <v>Products</v>
      </c>
      <c r="C9" s="82">
        <f>D9/D17</f>
        <v>0.16233766233766234</v>
      </c>
      <c r="D9" s="62">
        <f>Result!H7</f>
        <v>2500000</v>
      </c>
      <c r="E9" s="82">
        <f>F9/$F$17</f>
        <v>0.17598811522941787</v>
      </c>
      <c r="F9" s="62">
        <f>Growth!M7</f>
        <v>2140293.15</v>
      </c>
      <c r="H9" s="11"/>
    </row>
    <row r="10" spans="2:9" x14ac:dyDescent="0.2">
      <c r="B10" s="222" t="str">
        <f>Result!B8</f>
        <v>PHP</v>
      </c>
      <c r="C10" s="82">
        <f>D10/$D$17</f>
        <v>0.31168831168831168</v>
      </c>
      <c r="D10" s="62">
        <f>Result!H8</f>
        <v>4800000</v>
      </c>
      <c r="E10" s="82">
        <f>F10/$F$17</f>
        <v>0.3024873601986397</v>
      </c>
      <c r="F10" s="62">
        <f>Growth!M8</f>
        <v>3678723.555569455</v>
      </c>
      <c r="H10" s="11"/>
    </row>
    <row r="11" spans="2:9" x14ac:dyDescent="0.2">
      <c r="B11" s="222" t="s">
        <v>208</v>
      </c>
      <c r="C11" s="82">
        <f t="shared" ref="C11:C16" si="0">D11/$D$17</f>
        <v>0.27272727272727271</v>
      </c>
      <c r="D11" s="62">
        <f>Result!H9</f>
        <v>4200000</v>
      </c>
      <c r="E11" s="82">
        <f t="shared" ref="E11:E17" si="1">F11/$F$17</f>
        <v>0.2889898472235552</v>
      </c>
      <c r="F11" s="62">
        <f>Growth!M9</f>
        <v>3514572.5018181815</v>
      </c>
      <c r="H11" s="11"/>
    </row>
    <row r="12" spans="2:9" x14ac:dyDescent="0.2">
      <c r="B12" s="222" t="str">
        <f>Result!B10</f>
        <v>Mobile Development</v>
      </c>
      <c r="C12" s="82">
        <f t="shared" si="0"/>
        <v>0.12987012987012986</v>
      </c>
      <c r="D12" s="62">
        <f>Result!H10</f>
        <v>2000000</v>
      </c>
      <c r="E12" s="82">
        <f t="shared" si="1"/>
        <v>0.11863489198700551</v>
      </c>
      <c r="F12" s="62">
        <f>Growth!M10</f>
        <v>1442787.4651636363</v>
      </c>
      <c r="H12" s="11"/>
    </row>
    <row r="13" spans="2:9" x14ac:dyDescent="0.2">
      <c r="B13" s="222" t="str">
        <f>Result!B11</f>
        <v>Support Contracts</v>
      </c>
      <c r="C13" s="82">
        <f t="shared" si="0"/>
        <v>0</v>
      </c>
      <c r="D13" s="62">
        <f>Result!H11</f>
        <v>0</v>
      </c>
      <c r="E13" s="82">
        <f t="shared" si="1"/>
        <v>0</v>
      </c>
      <c r="F13" s="62">
        <f>Growth!M11</f>
        <v>0</v>
      </c>
      <c r="H13" s="11"/>
    </row>
    <row r="14" spans="2:9" x14ac:dyDescent="0.2">
      <c r="B14" s="222" t="str">
        <f>Result!B12</f>
        <v>Websites</v>
      </c>
      <c r="C14" s="82">
        <f t="shared" si="0"/>
        <v>7.1428571428571425E-2</v>
      </c>
      <c r="D14" s="62">
        <f>Result!H12</f>
        <v>1100000</v>
      </c>
      <c r="E14" s="82">
        <f t="shared" si="1"/>
        <v>5.7089091637215296E-2</v>
      </c>
      <c r="F14" s="62">
        <f>Growth!M12</f>
        <v>694293.42777818174</v>
      </c>
      <c r="H14" s="11"/>
    </row>
    <row r="15" spans="2:9" x14ac:dyDescent="0.2">
      <c r="B15" s="222" t="s">
        <v>161</v>
      </c>
      <c r="C15" s="82">
        <f t="shared" si="0"/>
        <v>2.7272727272727271E-2</v>
      </c>
      <c r="D15" s="62">
        <f>Result!H13</f>
        <v>420000</v>
      </c>
      <c r="E15" s="82">
        <f t="shared" si="1"/>
        <v>2.582547108510775E-2</v>
      </c>
      <c r="F15" s="62">
        <f>Growth!M13</f>
        <v>314078.47505454539</v>
      </c>
      <c r="H15" s="11"/>
    </row>
    <row r="16" spans="2:9" x14ac:dyDescent="0.2">
      <c r="B16" s="222" t="str">
        <f>Result!B14</f>
        <v>Hosting</v>
      </c>
      <c r="C16" s="82">
        <f t="shared" si="0"/>
        <v>2.4675324675324677E-2</v>
      </c>
      <c r="D16" s="62">
        <f>Result!H14</f>
        <v>380000</v>
      </c>
      <c r="E16" s="82">
        <f t="shared" si="1"/>
        <v>3.0985222639058455E-2</v>
      </c>
      <c r="F16" s="3">
        <f>Growth!M14</f>
        <v>376829.19485301821</v>
      </c>
      <c r="H16" s="11"/>
      <c r="I16" s="82"/>
    </row>
    <row r="17" spans="2:12" x14ac:dyDescent="0.2">
      <c r="B17" s="218" t="s">
        <v>66</v>
      </c>
      <c r="C17" s="216">
        <f>SUM(C9:C16)</f>
        <v>0.99999999999999989</v>
      </c>
      <c r="D17" s="351">
        <f>SUM(D9:D16)</f>
        <v>15400000</v>
      </c>
      <c r="E17" s="216">
        <f t="shared" si="1"/>
        <v>1</v>
      </c>
      <c r="F17" s="100">
        <f>SUM(F9:F16)</f>
        <v>12161577.770237021</v>
      </c>
      <c r="H17" s="11"/>
    </row>
    <row r="18" spans="2:12" x14ac:dyDescent="0.2">
      <c r="B18" s="222" t="s">
        <v>50</v>
      </c>
      <c r="C18" s="179">
        <v>7.0000000000000007E-2</v>
      </c>
      <c r="D18" s="11">
        <f>C18*D17</f>
        <v>1078000</v>
      </c>
      <c r="E18" s="179">
        <f>F18/F17</f>
        <v>0.13640457261501557</v>
      </c>
      <c r="F18" s="217">
        <f>'[13]I&amp;E'!$AF$28/11*12</f>
        <v>1658894.8180734548</v>
      </c>
      <c r="H18" s="180"/>
      <c r="K18" s="60"/>
      <c r="L18" s="60"/>
    </row>
    <row r="19" spans="2:12" x14ac:dyDescent="0.2">
      <c r="B19" s="223" t="s">
        <v>76</v>
      </c>
      <c r="C19" s="87">
        <v>0.12</v>
      </c>
      <c r="D19" s="93">
        <f>D17*C19</f>
        <v>1848000</v>
      </c>
      <c r="E19" s="87">
        <f>F19/F17</f>
        <v>9.6535484636967386E-2</v>
      </c>
      <c r="F19" s="217">
        <f>'[13]I&amp;E'!$AF$34/10*12</f>
        <v>1174023.804</v>
      </c>
    </row>
    <row r="20" spans="2:12" x14ac:dyDescent="0.2">
      <c r="B20" s="219" t="s">
        <v>70</v>
      </c>
      <c r="C20" s="101">
        <f>D20/D17</f>
        <v>0.81</v>
      </c>
      <c r="D20" s="100">
        <f>D17-D18-D19</f>
        <v>12474000</v>
      </c>
      <c r="E20" s="101">
        <f>F20/F17</f>
        <v>0.76705994274801703</v>
      </c>
      <c r="F20" s="100">
        <f>F17-F18-F19</f>
        <v>9328659.1481635664</v>
      </c>
    </row>
    <row r="21" spans="2:12" x14ac:dyDescent="0.2">
      <c r="B21" s="224" t="s">
        <v>67</v>
      </c>
      <c r="C21" s="41"/>
      <c r="D21" s="41"/>
      <c r="E21" s="41"/>
    </row>
    <row r="22" spans="2:12" x14ac:dyDescent="0.2">
      <c r="B22" s="222" t="s">
        <v>52</v>
      </c>
      <c r="C22" s="77">
        <f>D22/D20</f>
        <v>0.47190957190957189</v>
      </c>
      <c r="D22" s="11">
        <f>Personnel!O152*1000-SUM(Personnel!C111:N111)*1000</f>
        <v>5886600</v>
      </c>
      <c r="E22" s="82">
        <f>F22/F20</f>
        <v>0.51466732942582039</v>
      </c>
      <c r="F22" s="181">
        <f>'[12]Expenses 2k25'!$O$8/11*12</f>
        <v>4801156.0909090908</v>
      </c>
      <c r="H22" s="60"/>
      <c r="I22" s="60"/>
    </row>
    <row r="23" spans="2:12" x14ac:dyDescent="0.2">
      <c r="B23" s="222" t="s">
        <v>68</v>
      </c>
      <c r="C23" s="82">
        <f>D23/D20</f>
        <v>4.0083373416706751E-3</v>
      </c>
      <c r="D23" s="35">
        <v>50000</v>
      </c>
      <c r="E23" s="82">
        <f>F23/F20</f>
        <v>0</v>
      </c>
      <c r="F23" s="3">
        <v>0</v>
      </c>
      <c r="H23" s="60"/>
    </row>
    <row r="24" spans="2:12" x14ac:dyDescent="0.2">
      <c r="B24" s="219" t="s">
        <v>55</v>
      </c>
      <c r="C24" s="216">
        <f>D24/D20</f>
        <v>0.52408209074875745</v>
      </c>
      <c r="D24" s="100">
        <f>D20-SUM(D22:D23)</f>
        <v>6537400</v>
      </c>
      <c r="E24" s="216">
        <f>F24/F20</f>
        <v>0.48533267057417967</v>
      </c>
      <c r="F24" s="100">
        <f>F20-SUM(F22:F23)</f>
        <v>4527503.0572544755</v>
      </c>
      <c r="G24" s="60"/>
    </row>
    <row r="25" spans="2:12" x14ac:dyDescent="0.2">
      <c r="B25" s="225" t="s">
        <v>71</v>
      </c>
    </row>
    <row r="26" spans="2:12" x14ac:dyDescent="0.2">
      <c r="B26" s="222" t="s">
        <v>72</v>
      </c>
      <c r="C26" s="82">
        <f>D26/D20</f>
        <v>8.7734487734487748E-2</v>
      </c>
      <c r="D26" s="11">
        <f>Personnel!O117*1000</f>
        <v>1094400.0000000002</v>
      </c>
      <c r="E26" s="82">
        <f>F26/F20</f>
        <v>9.029752524630294E-2</v>
      </c>
      <c r="F26" s="11">
        <f>[14]Summary!$BD$23/11*12</f>
        <v>842354.8349454545</v>
      </c>
      <c r="H26" s="60"/>
    </row>
    <row r="27" spans="2:12" x14ac:dyDescent="0.2">
      <c r="B27" s="222" t="s">
        <v>53</v>
      </c>
      <c r="C27" s="82">
        <v>0.08</v>
      </c>
      <c r="D27" s="62">
        <f>D17*C27</f>
        <v>1232000</v>
      </c>
      <c r="E27" s="82">
        <v>6.6000000000000003E-2</v>
      </c>
      <c r="F27" s="217">
        <f>'[12]Expenses 2k25'!$O$9</f>
        <v>864198.12391476391</v>
      </c>
    </row>
    <row r="28" spans="2:12" x14ac:dyDescent="0.2">
      <c r="B28" s="222" t="s">
        <v>54</v>
      </c>
      <c r="C28" s="82">
        <f>D28/D20</f>
        <v>0.12211688668270002</v>
      </c>
      <c r="D28" s="11">
        <f>Taxes!O39</f>
        <v>1523286.0444799999</v>
      </c>
      <c r="E28" s="82">
        <f>F28/F20</f>
        <v>0.19694394790506142</v>
      </c>
      <c r="F28" s="11">
        <f>'[12]Expenses 2k25'!$O$13</f>
        <v>1837222.9613000001</v>
      </c>
    </row>
    <row r="29" spans="2:12" x14ac:dyDescent="0.2">
      <c r="B29" s="219" t="s">
        <v>73</v>
      </c>
      <c r="C29" s="357">
        <f>D29/D20</f>
        <v>0.21546528423280426</v>
      </c>
      <c r="D29" s="100">
        <f>D24-D26-D27-D28</f>
        <v>2687713.9555200003</v>
      </c>
      <c r="E29" s="101">
        <f>F29/F20</f>
        <v>0.10545214713819974</v>
      </c>
      <c r="F29" s="100">
        <f>F24-F26-F27-F28</f>
        <v>983727.1370942574</v>
      </c>
      <c r="G29" s="60"/>
      <c r="H29" s="60"/>
      <c r="I29" s="60"/>
      <c r="K29" s="60"/>
    </row>
    <row r="30" spans="2:12" x14ac:dyDescent="0.2">
      <c r="B30" s="358" t="s">
        <v>237</v>
      </c>
      <c r="C30" s="359"/>
      <c r="D30" s="360"/>
      <c r="E30" s="361"/>
      <c r="F30" s="360"/>
      <c r="G30" s="60"/>
      <c r="H30" s="60"/>
      <c r="I30" s="60"/>
      <c r="K30" s="60"/>
    </row>
    <row r="31" spans="2:12" x14ac:dyDescent="0.2">
      <c r="B31" s="358"/>
      <c r="C31" s="359"/>
      <c r="D31" s="360"/>
      <c r="E31" s="361"/>
      <c r="F31" s="362"/>
      <c r="G31" s="60"/>
      <c r="H31" s="60"/>
      <c r="I31" s="60"/>
      <c r="K31" s="60"/>
    </row>
    <row r="32" spans="2:12" x14ac:dyDescent="0.2">
      <c r="F32" s="363"/>
    </row>
    <row r="33" spans="2:6" x14ac:dyDescent="0.2">
      <c r="B33" s="226" t="s">
        <v>68</v>
      </c>
      <c r="C33" s="227"/>
      <c r="F33" s="364"/>
    </row>
    <row r="34" spans="2:6" x14ac:dyDescent="0.2">
      <c r="B34" s="230" t="s">
        <v>3</v>
      </c>
      <c r="C34" s="228" t="s">
        <v>69</v>
      </c>
      <c r="D34" s="41"/>
      <c r="E34" s="41"/>
    </row>
    <row r="35" spans="2:6" x14ac:dyDescent="0.2">
      <c r="B35" s="231" t="str">
        <f>B9</f>
        <v>Products</v>
      </c>
      <c r="C35" s="127">
        <v>0.1</v>
      </c>
      <c r="D35" s="112"/>
      <c r="E35" s="112"/>
    </row>
    <row r="36" spans="2:6" x14ac:dyDescent="0.2">
      <c r="B36" s="231" t="str">
        <f>B10</f>
        <v>PHP</v>
      </c>
      <c r="C36" s="127">
        <v>0.03</v>
      </c>
      <c r="D36" s="112"/>
      <c r="E36" s="112"/>
    </row>
    <row r="37" spans="2:6" x14ac:dyDescent="0.2">
      <c r="B37" s="231" t="s">
        <v>209</v>
      </c>
      <c r="C37" s="127">
        <v>0</v>
      </c>
      <c r="D37" s="112"/>
      <c r="E37" s="112"/>
    </row>
    <row r="38" spans="2:6" x14ac:dyDescent="0.2">
      <c r="B38" s="231" t="str">
        <f>B12</f>
        <v>Mobile Development</v>
      </c>
      <c r="C38" s="127">
        <v>0.03</v>
      </c>
      <c r="D38" s="112"/>
      <c r="E38" s="112"/>
    </row>
    <row r="39" spans="2:6" x14ac:dyDescent="0.2">
      <c r="B39" s="231" t="str">
        <f>B13</f>
        <v>Support Contracts</v>
      </c>
      <c r="C39" s="127">
        <v>0.03</v>
      </c>
      <c r="D39" s="112"/>
      <c r="E39" s="112"/>
    </row>
    <row r="40" spans="2:6" x14ac:dyDescent="0.2">
      <c r="B40" s="231" t="str">
        <f>B14</f>
        <v>Websites</v>
      </c>
      <c r="C40" s="127">
        <v>0.06</v>
      </c>
      <c r="D40" s="112"/>
      <c r="E40" s="112"/>
    </row>
    <row r="41" spans="2:6" x14ac:dyDescent="0.2">
      <c r="B41" s="231" t="s">
        <v>161</v>
      </c>
      <c r="C41" s="127">
        <v>0.06</v>
      </c>
      <c r="D41" s="112"/>
      <c r="E41" s="112"/>
    </row>
    <row r="42" spans="2:6" x14ac:dyDescent="0.2">
      <c r="B42" s="232" t="str">
        <f t="shared" ref="B42" si="2">B16</f>
        <v>Hosting</v>
      </c>
      <c r="C42" s="229">
        <v>0</v>
      </c>
      <c r="D42" s="112"/>
      <c r="E42" s="112"/>
    </row>
  </sheetData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D5B86-83AB-0B44-AC48-27BE9382EC14}">
  <dimension ref="B1:O98"/>
  <sheetViews>
    <sheetView topLeftCell="A16" zoomScale="90" zoomScaleNormal="90" workbookViewId="0">
      <selection activeCell="E39" sqref="E39"/>
    </sheetView>
  </sheetViews>
  <sheetFormatPr baseColWidth="10" defaultColWidth="8.83203125" defaultRowHeight="16" x14ac:dyDescent="0.2"/>
  <cols>
    <col min="1" max="1" width="5.6640625" style="2" customWidth="1"/>
    <col min="2" max="2" width="34.1640625" style="2" bestFit="1" customWidth="1"/>
    <col min="3" max="14" width="12" style="2" customWidth="1"/>
    <col min="15" max="15" width="11.33203125" style="2" customWidth="1"/>
    <col min="16" max="16384" width="8.83203125" style="2"/>
  </cols>
  <sheetData>
    <row r="1" spans="2:4" ht="18" x14ac:dyDescent="0.2">
      <c r="B1" s="1"/>
    </row>
    <row r="2" spans="2:4" ht="18" x14ac:dyDescent="0.2">
      <c r="B2" s="1" t="s">
        <v>89</v>
      </c>
    </row>
    <row r="3" spans="2:4" x14ac:dyDescent="0.2">
      <c r="B3" s="2" t="s">
        <v>175</v>
      </c>
    </row>
    <row r="4" spans="2:4" x14ac:dyDescent="0.2">
      <c r="B4" s="2" t="s">
        <v>61</v>
      </c>
    </row>
    <row r="6" spans="2:4" ht="17" thickBot="1" x14ac:dyDescent="0.25"/>
    <row r="7" spans="2:4" x14ac:dyDescent="0.2">
      <c r="B7" s="18" t="s">
        <v>176</v>
      </c>
      <c r="C7" s="29"/>
      <c r="D7" s="19"/>
    </row>
    <row r="8" spans="2:4" ht="17" thickBot="1" x14ac:dyDescent="0.25">
      <c r="B8" s="20" t="s">
        <v>177</v>
      </c>
      <c r="C8" s="137" t="s">
        <v>178</v>
      </c>
      <c r="D8" s="138" t="s">
        <v>103</v>
      </c>
    </row>
    <row r="9" spans="2:4" ht="17" thickTop="1" x14ac:dyDescent="0.2">
      <c r="B9" s="6" t="s">
        <v>193</v>
      </c>
      <c r="C9" s="184">
        <v>40000</v>
      </c>
      <c r="D9" s="134">
        <v>1</v>
      </c>
    </row>
    <row r="10" spans="2:4" x14ac:dyDescent="0.2">
      <c r="B10" s="242" t="s">
        <v>194</v>
      </c>
      <c r="C10" s="184">
        <v>2000</v>
      </c>
      <c r="D10" s="134">
        <v>1</v>
      </c>
    </row>
    <row r="11" spans="2:4" x14ac:dyDescent="0.2">
      <c r="B11" s="189" t="s">
        <v>195</v>
      </c>
      <c r="C11" s="184">
        <v>6000</v>
      </c>
      <c r="D11" s="134">
        <v>1</v>
      </c>
    </row>
    <row r="12" spans="2:4" x14ac:dyDescent="0.2">
      <c r="B12" s="189" t="s">
        <v>196</v>
      </c>
      <c r="C12" s="184">
        <v>3000</v>
      </c>
      <c r="D12" s="134">
        <v>1</v>
      </c>
    </row>
    <row r="13" spans="2:4" x14ac:dyDescent="0.2">
      <c r="B13" s="189"/>
      <c r="C13" s="184"/>
      <c r="D13" s="134">
        <v>1</v>
      </c>
    </row>
    <row r="14" spans="2:4" x14ac:dyDescent="0.2">
      <c r="B14" s="189"/>
      <c r="C14" s="184"/>
      <c r="D14" s="134">
        <v>1</v>
      </c>
    </row>
    <row r="15" spans="2:4" x14ac:dyDescent="0.2">
      <c r="B15" s="189"/>
      <c r="C15" s="184"/>
      <c r="D15" s="134">
        <v>1</v>
      </c>
    </row>
    <row r="16" spans="2:4" x14ac:dyDescent="0.2">
      <c r="B16" s="189"/>
      <c r="C16" s="184"/>
      <c r="D16" s="134">
        <v>1</v>
      </c>
    </row>
    <row r="17" spans="2:4" x14ac:dyDescent="0.2">
      <c r="B17" s="189"/>
      <c r="C17" s="184"/>
      <c r="D17" s="134">
        <v>1</v>
      </c>
    </row>
    <row r="18" spans="2:4" x14ac:dyDescent="0.2">
      <c r="B18" s="189"/>
      <c r="C18" s="184"/>
      <c r="D18" s="134">
        <v>1</v>
      </c>
    </row>
    <row r="19" spans="2:4" x14ac:dyDescent="0.2">
      <c r="B19" s="189"/>
      <c r="C19" s="184"/>
      <c r="D19" s="134">
        <v>1</v>
      </c>
    </row>
    <row r="20" spans="2:4" x14ac:dyDescent="0.2">
      <c r="B20" s="189"/>
      <c r="C20" s="184"/>
      <c r="D20" s="134">
        <v>1</v>
      </c>
    </row>
    <row r="21" spans="2:4" x14ac:dyDescent="0.2">
      <c r="B21" s="189"/>
      <c r="C21" s="184"/>
      <c r="D21" s="134">
        <v>1</v>
      </c>
    </row>
    <row r="22" spans="2:4" x14ac:dyDescent="0.2">
      <c r="B22" s="189"/>
      <c r="C22" s="184"/>
      <c r="D22" s="134">
        <v>1</v>
      </c>
    </row>
    <row r="23" spans="2:4" x14ac:dyDescent="0.2">
      <c r="B23" s="189"/>
      <c r="C23" s="184"/>
      <c r="D23" s="134">
        <v>1</v>
      </c>
    </row>
    <row r="24" spans="2:4" x14ac:dyDescent="0.2">
      <c r="B24" s="189"/>
      <c r="C24" s="184"/>
      <c r="D24" s="134">
        <v>1</v>
      </c>
    </row>
    <row r="25" spans="2:4" x14ac:dyDescent="0.2">
      <c r="B25" s="189"/>
      <c r="C25" s="184"/>
      <c r="D25" s="134">
        <v>1</v>
      </c>
    </row>
    <row r="26" spans="2:4" x14ac:dyDescent="0.2">
      <c r="B26" s="189"/>
      <c r="C26" s="184"/>
      <c r="D26" s="134">
        <v>1</v>
      </c>
    </row>
    <row r="27" spans="2:4" x14ac:dyDescent="0.2">
      <c r="B27" s="189"/>
      <c r="C27" s="184"/>
      <c r="D27" s="134">
        <v>1</v>
      </c>
    </row>
    <row r="28" spans="2:4" x14ac:dyDescent="0.2">
      <c r="B28" s="189"/>
      <c r="C28" s="184"/>
      <c r="D28" s="134">
        <v>1</v>
      </c>
    </row>
    <row r="29" spans="2:4" x14ac:dyDescent="0.2">
      <c r="B29" s="189"/>
      <c r="C29" s="184"/>
      <c r="D29" s="134">
        <v>1</v>
      </c>
    </row>
    <row r="30" spans="2:4" x14ac:dyDescent="0.2">
      <c r="B30" s="189"/>
      <c r="C30" s="184"/>
      <c r="D30" s="134">
        <v>1</v>
      </c>
    </row>
    <row r="31" spans="2:4" x14ac:dyDescent="0.2">
      <c r="B31" s="189"/>
      <c r="C31" s="184"/>
      <c r="D31" s="134">
        <v>1</v>
      </c>
    </row>
    <row r="32" spans="2:4" x14ac:dyDescent="0.2">
      <c r="B32" s="189"/>
      <c r="C32" s="184"/>
      <c r="D32" s="134">
        <v>1</v>
      </c>
    </row>
    <row r="33" spans="2:14" x14ac:dyDescent="0.2">
      <c r="B33" s="189"/>
      <c r="C33" s="184"/>
      <c r="D33" s="134">
        <v>1</v>
      </c>
    </row>
    <row r="34" spans="2:14" x14ac:dyDescent="0.2">
      <c r="B34" s="189"/>
      <c r="C34" s="184"/>
      <c r="D34" s="134">
        <v>1</v>
      </c>
    </row>
    <row r="35" spans="2:14" ht="17" thickBot="1" x14ac:dyDescent="0.25">
      <c r="B35" s="190"/>
      <c r="C35" s="186"/>
      <c r="D35" s="187">
        <v>1</v>
      </c>
    </row>
    <row r="36" spans="2:14" ht="17" thickBot="1" x14ac:dyDescent="0.25"/>
    <row r="37" spans="2:14" x14ac:dyDescent="0.2">
      <c r="B37" s="18" t="s">
        <v>179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19"/>
    </row>
    <row r="38" spans="2:14" ht="17" thickBot="1" x14ac:dyDescent="0.25">
      <c r="B38" s="20"/>
      <c r="C38" s="31">
        <v>46023</v>
      </c>
      <c r="D38" s="31">
        <v>46054</v>
      </c>
      <c r="E38" s="31">
        <v>46082</v>
      </c>
      <c r="F38" s="31">
        <v>46113</v>
      </c>
      <c r="G38" s="31">
        <v>46143</v>
      </c>
      <c r="H38" s="31">
        <v>46174</v>
      </c>
      <c r="I38" s="31">
        <v>46204</v>
      </c>
      <c r="J38" s="31">
        <v>46235</v>
      </c>
      <c r="K38" s="31">
        <v>46266</v>
      </c>
      <c r="L38" s="31">
        <v>46296</v>
      </c>
      <c r="M38" s="31">
        <v>46327</v>
      </c>
      <c r="N38" s="21">
        <v>46357</v>
      </c>
    </row>
    <row r="39" spans="2:14" ht="18" thickTop="1" thickBot="1" x14ac:dyDescent="0.25">
      <c r="B39" s="201" t="s">
        <v>44</v>
      </c>
      <c r="C39" s="202">
        <f>'[15]Personnel Forecast'!C106</f>
        <v>23.75</v>
      </c>
      <c r="D39" s="202">
        <f>'[15]Personnel Forecast'!D106</f>
        <v>26.75</v>
      </c>
      <c r="E39" s="202">
        <f>'[15]Personnel Forecast'!E106</f>
        <v>27.75</v>
      </c>
      <c r="F39" s="202">
        <f>'[15]Personnel Forecast'!F106</f>
        <v>28.75</v>
      </c>
      <c r="G39" s="202">
        <f>'[15]Personnel Forecast'!G106</f>
        <v>28.75</v>
      </c>
      <c r="H39" s="202">
        <f>'[15]Personnel Forecast'!H106</f>
        <v>29.75</v>
      </c>
      <c r="I39" s="202">
        <f>'[15]Personnel Forecast'!I106</f>
        <v>32.75</v>
      </c>
      <c r="J39" s="202">
        <f>'[15]Personnel Forecast'!J106</f>
        <v>32.75</v>
      </c>
      <c r="K39" s="202">
        <f>'[15]Personnel Forecast'!K106</f>
        <v>32.75</v>
      </c>
      <c r="L39" s="202">
        <f>'[15]Personnel Forecast'!L106</f>
        <v>32.75</v>
      </c>
      <c r="M39" s="202">
        <f>'[15]Personnel Forecast'!M106</f>
        <v>32.75</v>
      </c>
      <c r="N39" s="203">
        <f>'[15]Personnel Forecast'!N106</f>
        <v>32.75</v>
      </c>
    </row>
    <row r="40" spans="2:14" x14ac:dyDescent="0.2">
      <c r="B40" s="189" t="str">
        <f t="shared" ref="B40:B66" si="0">B9</f>
        <v>Laptop</v>
      </c>
      <c r="C40" s="204"/>
      <c r="D40" s="204"/>
      <c r="E40" s="204"/>
      <c r="F40" s="204"/>
      <c r="G40" s="205"/>
      <c r="H40" s="204"/>
      <c r="I40" s="204"/>
      <c r="J40" s="204"/>
      <c r="K40" s="204"/>
      <c r="L40" s="204"/>
      <c r="M40" s="204"/>
      <c r="N40" s="206"/>
    </row>
    <row r="41" spans="2:14" x14ac:dyDescent="0.2">
      <c r="B41" s="243" t="str">
        <f t="shared" si="0"/>
        <v>SSD</v>
      </c>
      <c r="C41" s="204"/>
      <c r="D41" s="204"/>
      <c r="E41" s="204"/>
      <c r="F41" s="204"/>
      <c r="G41" s="204"/>
      <c r="H41" s="204"/>
      <c r="I41" s="204"/>
      <c r="J41" s="204"/>
      <c r="K41" s="204"/>
      <c r="L41" s="204"/>
      <c r="M41" s="204"/>
      <c r="N41" s="206"/>
    </row>
    <row r="42" spans="2:14" x14ac:dyDescent="0.2">
      <c r="B42" s="243" t="str">
        <f t="shared" si="0"/>
        <v>Nnetwork Booster</v>
      </c>
      <c r="C42" s="204"/>
      <c r="D42" s="204"/>
      <c r="E42" s="204"/>
      <c r="F42" s="204"/>
      <c r="G42" s="204"/>
      <c r="H42" s="204"/>
      <c r="I42" s="204"/>
      <c r="J42" s="204"/>
      <c r="K42" s="204"/>
      <c r="L42" s="204"/>
      <c r="M42" s="204"/>
      <c r="N42" s="206"/>
    </row>
    <row r="43" spans="2:14" x14ac:dyDescent="0.2">
      <c r="B43" s="243" t="str">
        <f t="shared" si="0"/>
        <v>Move</v>
      </c>
      <c r="C43" s="204"/>
      <c r="D43" s="204"/>
      <c r="E43" s="204"/>
      <c r="F43" s="204"/>
      <c r="G43" s="204"/>
      <c r="H43" s="204"/>
      <c r="I43" s="204"/>
      <c r="J43" s="204"/>
      <c r="K43" s="204"/>
      <c r="L43" s="204"/>
      <c r="M43" s="204"/>
      <c r="N43" s="206"/>
    </row>
    <row r="44" spans="2:14" x14ac:dyDescent="0.2">
      <c r="B44" s="243">
        <f t="shared" si="0"/>
        <v>0</v>
      </c>
      <c r="C44" s="204"/>
      <c r="D44" s="204"/>
      <c r="E44" s="204"/>
      <c r="F44" s="204"/>
      <c r="G44" s="204"/>
      <c r="H44" s="204"/>
      <c r="I44" s="204"/>
      <c r="J44" s="204"/>
      <c r="K44" s="204"/>
      <c r="L44" s="204"/>
      <c r="M44" s="204"/>
      <c r="N44" s="206"/>
    </row>
    <row r="45" spans="2:14" x14ac:dyDescent="0.2">
      <c r="B45" s="243">
        <f t="shared" si="0"/>
        <v>0</v>
      </c>
      <c r="C45" s="204"/>
      <c r="D45" s="204"/>
      <c r="E45" s="204"/>
      <c r="F45" s="204"/>
      <c r="G45" s="204"/>
      <c r="H45" s="204"/>
      <c r="I45" s="204"/>
      <c r="J45" s="204"/>
      <c r="K45" s="204"/>
      <c r="L45" s="204"/>
      <c r="M45" s="204"/>
      <c r="N45" s="206"/>
    </row>
    <row r="46" spans="2:14" x14ac:dyDescent="0.2">
      <c r="B46" s="243">
        <f t="shared" si="0"/>
        <v>0</v>
      </c>
      <c r="C46" s="204"/>
      <c r="D46" s="204"/>
      <c r="E46" s="204"/>
      <c r="F46" s="204"/>
      <c r="G46" s="204"/>
      <c r="H46" s="204"/>
      <c r="I46" s="204"/>
      <c r="J46" s="204"/>
      <c r="K46" s="204"/>
      <c r="L46" s="204"/>
      <c r="M46" s="204"/>
      <c r="N46" s="206"/>
    </row>
    <row r="47" spans="2:14" x14ac:dyDescent="0.2">
      <c r="B47" s="243">
        <f t="shared" si="0"/>
        <v>0</v>
      </c>
      <c r="C47" s="204"/>
      <c r="D47" s="204"/>
      <c r="E47" s="204"/>
      <c r="F47" s="204"/>
      <c r="G47" s="204"/>
      <c r="H47" s="204"/>
      <c r="I47" s="204"/>
      <c r="J47" s="204"/>
      <c r="K47" s="204"/>
      <c r="L47" s="204"/>
      <c r="M47" s="204"/>
      <c r="N47" s="206"/>
    </row>
    <row r="48" spans="2:14" x14ac:dyDescent="0.2">
      <c r="B48" s="243">
        <f t="shared" si="0"/>
        <v>0</v>
      </c>
      <c r="C48" s="204"/>
      <c r="D48" s="204"/>
      <c r="E48" s="204"/>
      <c r="F48" s="204"/>
      <c r="G48" s="204"/>
      <c r="H48" s="204"/>
      <c r="I48" s="204"/>
      <c r="J48" s="204"/>
      <c r="K48" s="204"/>
      <c r="L48" s="204"/>
      <c r="M48" s="204"/>
      <c r="N48" s="206"/>
    </row>
    <row r="49" spans="2:14" x14ac:dyDescent="0.2">
      <c r="B49" s="243">
        <f t="shared" si="0"/>
        <v>0</v>
      </c>
      <c r="C49" s="204"/>
      <c r="D49" s="204"/>
      <c r="E49" s="204"/>
      <c r="F49" s="204"/>
      <c r="G49" s="204"/>
      <c r="H49" s="204"/>
      <c r="I49" s="204"/>
      <c r="J49" s="204"/>
      <c r="K49" s="204"/>
      <c r="L49" s="204"/>
      <c r="M49" s="204"/>
      <c r="N49" s="206"/>
    </row>
    <row r="50" spans="2:14" x14ac:dyDescent="0.2">
      <c r="B50" s="243">
        <f t="shared" si="0"/>
        <v>0</v>
      </c>
      <c r="C50" s="204"/>
      <c r="D50" s="204"/>
      <c r="E50" s="204"/>
      <c r="F50" s="204"/>
      <c r="G50" s="204"/>
      <c r="H50" s="204"/>
      <c r="I50" s="204"/>
      <c r="J50" s="204"/>
      <c r="K50" s="204"/>
      <c r="L50" s="204"/>
      <c r="M50" s="204"/>
      <c r="N50" s="206"/>
    </row>
    <row r="51" spans="2:14" x14ac:dyDescent="0.2">
      <c r="B51" s="243">
        <f t="shared" si="0"/>
        <v>0</v>
      </c>
      <c r="C51" s="204"/>
      <c r="D51" s="204"/>
      <c r="E51" s="204"/>
      <c r="F51" s="204"/>
      <c r="G51" s="204"/>
      <c r="H51" s="204"/>
      <c r="I51" s="204"/>
      <c r="J51" s="204"/>
      <c r="K51" s="204"/>
      <c r="L51" s="204"/>
      <c r="M51" s="204"/>
      <c r="N51" s="206"/>
    </row>
    <row r="52" spans="2:14" x14ac:dyDescent="0.2">
      <c r="B52" s="243">
        <f t="shared" si="0"/>
        <v>0</v>
      </c>
      <c r="C52" s="204"/>
      <c r="D52" s="204"/>
      <c r="E52" s="204"/>
      <c r="F52" s="204"/>
      <c r="G52" s="204"/>
      <c r="H52" s="204"/>
      <c r="I52" s="204"/>
      <c r="J52" s="204"/>
      <c r="K52" s="204"/>
      <c r="L52" s="204"/>
      <c r="M52" s="204"/>
      <c r="N52" s="206"/>
    </row>
    <row r="53" spans="2:14" x14ac:dyDescent="0.2">
      <c r="B53" s="243">
        <f t="shared" si="0"/>
        <v>0</v>
      </c>
      <c r="C53" s="204"/>
      <c r="D53" s="204"/>
      <c r="E53" s="204"/>
      <c r="F53" s="204"/>
      <c r="G53" s="204"/>
      <c r="H53" s="204"/>
      <c r="I53" s="204"/>
      <c r="J53" s="204"/>
      <c r="K53" s="204"/>
      <c r="L53" s="204"/>
      <c r="M53" s="204"/>
      <c r="N53" s="206"/>
    </row>
    <row r="54" spans="2:14" x14ac:dyDescent="0.2">
      <c r="B54" s="243">
        <f t="shared" si="0"/>
        <v>0</v>
      </c>
      <c r="C54" s="204"/>
      <c r="D54" s="204"/>
      <c r="E54" s="204"/>
      <c r="F54" s="204"/>
      <c r="G54" s="204"/>
      <c r="H54" s="204"/>
      <c r="I54" s="204"/>
      <c r="J54" s="204"/>
      <c r="K54" s="204"/>
      <c r="L54" s="204"/>
      <c r="M54" s="204"/>
      <c r="N54" s="206"/>
    </row>
    <row r="55" spans="2:14" x14ac:dyDescent="0.2">
      <c r="B55" s="243">
        <f t="shared" si="0"/>
        <v>0</v>
      </c>
      <c r="C55" s="204"/>
      <c r="D55" s="204"/>
      <c r="E55" s="204"/>
      <c r="F55" s="204"/>
      <c r="G55" s="204"/>
      <c r="H55" s="204"/>
      <c r="I55" s="204"/>
      <c r="J55" s="204"/>
      <c r="K55" s="204"/>
      <c r="L55" s="204"/>
      <c r="M55" s="204"/>
      <c r="N55" s="206"/>
    </row>
    <row r="56" spans="2:14" x14ac:dyDescent="0.2">
      <c r="B56" s="243">
        <f t="shared" si="0"/>
        <v>0</v>
      </c>
      <c r="C56" s="204"/>
      <c r="D56" s="204"/>
      <c r="E56" s="204"/>
      <c r="F56" s="204"/>
      <c r="G56" s="204"/>
      <c r="H56" s="204"/>
      <c r="I56" s="204"/>
      <c r="J56" s="204"/>
      <c r="K56" s="204"/>
      <c r="L56" s="204"/>
      <c r="M56" s="204"/>
      <c r="N56" s="206"/>
    </row>
    <row r="57" spans="2:14" x14ac:dyDescent="0.2">
      <c r="B57" s="243">
        <f t="shared" si="0"/>
        <v>0</v>
      </c>
      <c r="C57" s="204"/>
      <c r="D57" s="204"/>
      <c r="E57" s="204"/>
      <c r="F57" s="204"/>
      <c r="G57" s="204"/>
      <c r="H57" s="204"/>
      <c r="I57" s="204"/>
      <c r="J57" s="204"/>
      <c r="K57" s="204"/>
      <c r="L57" s="204"/>
      <c r="M57" s="204"/>
      <c r="N57" s="206"/>
    </row>
    <row r="58" spans="2:14" x14ac:dyDescent="0.2">
      <c r="B58" s="243">
        <f t="shared" si="0"/>
        <v>0</v>
      </c>
      <c r="C58" s="204"/>
      <c r="D58" s="204"/>
      <c r="E58" s="204"/>
      <c r="F58" s="204"/>
      <c r="G58" s="204"/>
      <c r="H58" s="204"/>
      <c r="I58" s="204"/>
      <c r="J58" s="204"/>
      <c r="K58" s="204"/>
      <c r="L58" s="204"/>
      <c r="M58" s="204"/>
      <c r="N58" s="206"/>
    </row>
    <row r="59" spans="2:14" x14ac:dyDescent="0.2">
      <c r="B59" s="243">
        <f t="shared" si="0"/>
        <v>0</v>
      </c>
      <c r="C59" s="204"/>
      <c r="D59" s="204"/>
      <c r="E59" s="204"/>
      <c r="F59" s="204"/>
      <c r="G59" s="204"/>
      <c r="H59" s="204"/>
      <c r="I59" s="204"/>
      <c r="J59" s="204"/>
      <c r="K59" s="204"/>
      <c r="L59" s="204"/>
      <c r="M59" s="204"/>
      <c r="N59" s="206"/>
    </row>
    <row r="60" spans="2:14" x14ac:dyDescent="0.2">
      <c r="B60" s="243">
        <f t="shared" si="0"/>
        <v>0</v>
      </c>
      <c r="C60" s="204"/>
      <c r="D60" s="204"/>
      <c r="E60" s="204"/>
      <c r="F60" s="204"/>
      <c r="G60" s="204"/>
      <c r="H60" s="204"/>
      <c r="I60" s="204"/>
      <c r="J60" s="204"/>
      <c r="K60" s="204"/>
      <c r="L60" s="204"/>
      <c r="M60" s="204"/>
      <c r="N60" s="206"/>
    </row>
    <row r="61" spans="2:14" x14ac:dyDescent="0.2">
      <c r="B61" s="243">
        <f t="shared" si="0"/>
        <v>0</v>
      </c>
      <c r="C61" s="204"/>
      <c r="D61" s="204"/>
      <c r="E61" s="204"/>
      <c r="F61" s="204"/>
      <c r="G61" s="204"/>
      <c r="H61" s="204"/>
      <c r="I61" s="204"/>
      <c r="J61" s="204"/>
      <c r="K61" s="204"/>
      <c r="L61" s="204"/>
      <c r="M61" s="204"/>
      <c r="N61" s="206"/>
    </row>
    <row r="62" spans="2:14" x14ac:dyDescent="0.2">
      <c r="B62" s="243">
        <f t="shared" si="0"/>
        <v>0</v>
      </c>
      <c r="C62" s="204"/>
      <c r="D62" s="204"/>
      <c r="E62" s="204"/>
      <c r="F62" s="204"/>
      <c r="G62" s="204"/>
      <c r="H62" s="204"/>
      <c r="I62" s="204"/>
      <c r="J62" s="204"/>
      <c r="K62" s="204"/>
      <c r="L62" s="204"/>
      <c r="M62" s="204"/>
      <c r="N62" s="206"/>
    </row>
    <row r="63" spans="2:14" x14ac:dyDescent="0.2">
      <c r="B63" s="243">
        <f t="shared" si="0"/>
        <v>0</v>
      </c>
      <c r="C63" s="204"/>
      <c r="D63" s="204"/>
      <c r="E63" s="204"/>
      <c r="F63" s="204"/>
      <c r="G63" s="204"/>
      <c r="H63" s="204"/>
      <c r="I63" s="204"/>
      <c r="J63" s="204"/>
      <c r="K63" s="204"/>
      <c r="L63" s="204"/>
      <c r="M63" s="204"/>
      <c r="N63" s="206"/>
    </row>
    <row r="64" spans="2:14" x14ac:dyDescent="0.2">
      <c r="B64" s="243">
        <f t="shared" si="0"/>
        <v>0</v>
      </c>
      <c r="C64" s="204"/>
      <c r="D64" s="204"/>
      <c r="E64" s="204"/>
      <c r="F64" s="204"/>
      <c r="G64" s="204"/>
      <c r="H64" s="204"/>
      <c r="I64" s="204"/>
      <c r="J64" s="204"/>
      <c r="K64" s="204"/>
      <c r="L64" s="204"/>
      <c r="M64" s="204"/>
      <c r="N64" s="206"/>
    </row>
    <row r="65" spans="2:14" x14ac:dyDescent="0.2">
      <c r="B65" s="243">
        <f t="shared" si="0"/>
        <v>0</v>
      </c>
      <c r="C65" s="204"/>
      <c r="D65" s="204"/>
      <c r="E65" s="204"/>
      <c r="F65" s="204"/>
      <c r="G65" s="204"/>
      <c r="H65" s="204"/>
      <c r="I65" s="204"/>
      <c r="J65" s="204"/>
      <c r="K65" s="204"/>
      <c r="L65" s="204"/>
      <c r="M65" s="204"/>
      <c r="N65" s="206"/>
    </row>
    <row r="66" spans="2:14" ht="17" thickBot="1" x14ac:dyDescent="0.25">
      <c r="B66" s="244">
        <f t="shared" si="0"/>
        <v>0</v>
      </c>
      <c r="C66" s="207"/>
      <c r="D66" s="207"/>
      <c r="E66" s="207"/>
      <c r="F66" s="207"/>
      <c r="G66" s="207"/>
      <c r="H66" s="207"/>
      <c r="I66" s="207"/>
      <c r="J66" s="207"/>
      <c r="K66" s="207"/>
      <c r="L66" s="207"/>
      <c r="M66" s="207"/>
      <c r="N66" s="208"/>
    </row>
    <row r="67" spans="2:14" ht="17" thickBot="1" x14ac:dyDescent="0.25"/>
    <row r="68" spans="2:14" x14ac:dyDescent="0.2">
      <c r="B68" s="18" t="s">
        <v>175</v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19"/>
    </row>
    <row r="69" spans="2:14" ht="17" thickBot="1" x14ac:dyDescent="0.25">
      <c r="B69" s="20"/>
      <c r="C69" s="200">
        <f>C38</f>
        <v>46023</v>
      </c>
      <c r="D69" s="200">
        <f t="shared" ref="D69:N69" si="1">D38</f>
        <v>46054</v>
      </c>
      <c r="E69" s="200">
        <f t="shared" si="1"/>
        <v>46082</v>
      </c>
      <c r="F69" s="200">
        <f t="shared" si="1"/>
        <v>46113</v>
      </c>
      <c r="G69" s="200">
        <f t="shared" si="1"/>
        <v>46143</v>
      </c>
      <c r="H69" s="200">
        <f t="shared" si="1"/>
        <v>46174</v>
      </c>
      <c r="I69" s="200">
        <f t="shared" si="1"/>
        <v>46204</v>
      </c>
      <c r="J69" s="200">
        <f t="shared" si="1"/>
        <v>46235</v>
      </c>
      <c r="K69" s="200">
        <f t="shared" si="1"/>
        <v>46266</v>
      </c>
      <c r="L69" s="200">
        <f t="shared" si="1"/>
        <v>46296</v>
      </c>
      <c r="M69" s="200">
        <f t="shared" si="1"/>
        <v>46327</v>
      </c>
      <c r="N69" s="304">
        <f t="shared" si="1"/>
        <v>46357</v>
      </c>
    </row>
    <row r="70" spans="2:14" ht="17" thickTop="1" x14ac:dyDescent="0.2">
      <c r="B70" s="162" t="s">
        <v>173</v>
      </c>
      <c r="C70" s="163">
        <v>1</v>
      </c>
      <c r="D70" s="163">
        <f>C70</f>
        <v>1</v>
      </c>
      <c r="E70" s="163">
        <f t="shared" ref="E70:N70" si="2">D70</f>
        <v>1</v>
      </c>
      <c r="F70" s="163">
        <f t="shared" si="2"/>
        <v>1</v>
      </c>
      <c r="G70" s="163">
        <f t="shared" si="2"/>
        <v>1</v>
      </c>
      <c r="H70" s="163">
        <f t="shared" si="2"/>
        <v>1</v>
      </c>
      <c r="I70" s="163">
        <f t="shared" si="2"/>
        <v>1</v>
      </c>
      <c r="J70" s="163">
        <f t="shared" si="2"/>
        <v>1</v>
      </c>
      <c r="K70" s="163">
        <f t="shared" si="2"/>
        <v>1</v>
      </c>
      <c r="L70" s="163">
        <f t="shared" si="2"/>
        <v>1</v>
      </c>
      <c r="M70" s="163">
        <f t="shared" si="2"/>
        <v>1</v>
      </c>
      <c r="N70" s="164">
        <f t="shared" si="2"/>
        <v>1</v>
      </c>
    </row>
    <row r="71" spans="2:14" x14ac:dyDescent="0.2">
      <c r="B71" s="189" t="str">
        <f t="shared" ref="B71:B97" si="3">B9</f>
        <v>Laptop</v>
      </c>
      <c r="C71" s="67">
        <f>C40*$C9*$D9</f>
        <v>0</v>
      </c>
      <c r="D71" s="67">
        <f t="shared" ref="D71:N71" si="4">D40*$C9*$D9</f>
        <v>0</v>
      </c>
      <c r="E71" s="67">
        <f t="shared" si="4"/>
        <v>0</v>
      </c>
      <c r="F71" s="67">
        <f t="shared" si="4"/>
        <v>0</v>
      </c>
      <c r="G71" s="67">
        <f t="shared" si="4"/>
        <v>0</v>
      </c>
      <c r="H71" s="67">
        <f t="shared" si="4"/>
        <v>0</v>
      </c>
      <c r="I71" s="67">
        <f t="shared" si="4"/>
        <v>0</v>
      </c>
      <c r="J71" s="67">
        <f t="shared" si="4"/>
        <v>0</v>
      </c>
      <c r="K71" s="67">
        <f t="shared" si="4"/>
        <v>0</v>
      </c>
      <c r="L71" s="67">
        <f t="shared" si="4"/>
        <v>0</v>
      </c>
      <c r="M71" s="67">
        <f t="shared" si="4"/>
        <v>0</v>
      </c>
      <c r="N71" s="132">
        <f t="shared" si="4"/>
        <v>0</v>
      </c>
    </row>
    <row r="72" spans="2:14" x14ac:dyDescent="0.2">
      <c r="B72" s="243" t="str">
        <f t="shared" si="3"/>
        <v>SSD</v>
      </c>
      <c r="C72" s="67"/>
      <c r="D72" s="67">
        <f t="shared" ref="D72:N72" si="5">D41*$C10*$D10</f>
        <v>0</v>
      </c>
      <c r="E72" s="67">
        <f t="shared" si="5"/>
        <v>0</v>
      </c>
      <c r="F72" s="67">
        <f t="shared" si="5"/>
        <v>0</v>
      </c>
      <c r="G72" s="67">
        <f t="shared" si="5"/>
        <v>0</v>
      </c>
      <c r="H72" s="67">
        <f t="shared" si="5"/>
        <v>0</v>
      </c>
      <c r="I72" s="67">
        <f t="shared" si="5"/>
        <v>0</v>
      </c>
      <c r="J72" s="67">
        <f t="shared" si="5"/>
        <v>0</v>
      </c>
      <c r="K72" s="67">
        <f t="shared" si="5"/>
        <v>0</v>
      </c>
      <c r="L72" s="67">
        <f t="shared" si="5"/>
        <v>0</v>
      </c>
      <c r="M72" s="67">
        <f t="shared" si="5"/>
        <v>0</v>
      </c>
      <c r="N72" s="132">
        <f t="shared" si="5"/>
        <v>0</v>
      </c>
    </row>
    <row r="73" spans="2:14" x14ac:dyDescent="0.2">
      <c r="B73" s="243" t="str">
        <f t="shared" si="3"/>
        <v>Nnetwork Booster</v>
      </c>
      <c r="C73" s="67">
        <f t="shared" ref="C73:N83" si="6">C42*$C11*$D11</f>
        <v>0</v>
      </c>
      <c r="D73" s="67">
        <f t="shared" si="6"/>
        <v>0</v>
      </c>
      <c r="E73" s="67">
        <f t="shared" si="6"/>
        <v>0</v>
      </c>
      <c r="F73" s="67">
        <f t="shared" si="6"/>
        <v>0</v>
      </c>
      <c r="G73" s="67">
        <f t="shared" si="6"/>
        <v>0</v>
      </c>
      <c r="H73" s="67">
        <f t="shared" si="6"/>
        <v>0</v>
      </c>
      <c r="I73" s="67">
        <f t="shared" si="6"/>
        <v>0</v>
      </c>
      <c r="J73" s="67">
        <f t="shared" si="6"/>
        <v>0</v>
      </c>
      <c r="K73" s="67">
        <f t="shared" si="6"/>
        <v>0</v>
      </c>
      <c r="L73" s="67">
        <f t="shared" si="6"/>
        <v>0</v>
      </c>
      <c r="M73" s="67">
        <f t="shared" si="6"/>
        <v>0</v>
      </c>
      <c r="N73" s="132">
        <f t="shared" si="6"/>
        <v>0</v>
      </c>
    </row>
    <row r="74" spans="2:14" x14ac:dyDescent="0.2">
      <c r="B74" s="243" t="str">
        <f t="shared" si="3"/>
        <v>Move</v>
      </c>
      <c r="C74" s="67">
        <f t="shared" si="6"/>
        <v>0</v>
      </c>
      <c r="D74" s="67">
        <f t="shared" si="6"/>
        <v>0</v>
      </c>
      <c r="E74" s="67">
        <f t="shared" si="6"/>
        <v>0</v>
      </c>
      <c r="F74" s="67">
        <f t="shared" si="6"/>
        <v>0</v>
      </c>
      <c r="G74" s="67">
        <f t="shared" si="6"/>
        <v>0</v>
      </c>
      <c r="H74" s="67">
        <f t="shared" si="6"/>
        <v>0</v>
      </c>
      <c r="I74" s="67">
        <f t="shared" si="6"/>
        <v>0</v>
      </c>
      <c r="J74" s="67">
        <f t="shared" si="6"/>
        <v>0</v>
      </c>
      <c r="K74" s="67">
        <f t="shared" si="6"/>
        <v>0</v>
      </c>
      <c r="L74" s="67">
        <f t="shared" si="6"/>
        <v>0</v>
      </c>
      <c r="M74" s="67">
        <f t="shared" si="6"/>
        <v>0</v>
      </c>
      <c r="N74" s="132">
        <f t="shared" si="6"/>
        <v>0</v>
      </c>
    </row>
    <row r="75" spans="2:14" x14ac:dyDescent="0.2">
      <c r="B75" s="243">
        <f t="shared" si="3"/>
        <v>0</v>
      </c>
      <c r="C75" s="67">
        <f t="shared" si="6"/>
        <v>0</v>
      </c>
      <c r="D75" s="67">
        <f t="shared" si="6"/>
        <v>0</v>
      </c>
      <c r="E75" s="67">
        <f t="shared" si="6"/>
        <v>0</v>
      </c>
      <c r="F75" s="67">
        <f t="shared" si="6"/>
        <v>0</v>
      </c>
      <c r="G75" s="67">
        <f t="shared" si="6"/>
        <v>0</v>
      </c>
      <c r="H75" s="67">
        <f t="shared" si="6"/>
        <v>0</v>
      </c>
      <c r="I75" s="67">
        <f t="shared" si="6"/>
        <v>0</v>
      </c>
      <c r="J75" s="67">
        <f t="shared" si="6"/>
        <v>0</v>
      </c>
      <c r="K75" s="67">
        <f t="shared" si="6"/>
        <v>0</v>
      </c>
      <c r="L75" s="67">
        <f t="shared" si="6"/>
        <v>0</v>
      </c>
      <c r="M75" s="67">
        <f t="shared" si="6"/>
        <v>0</v>
      </c>
      <c r="N75" s="132">
        <f t="shared" si="6"/>
        <v>0</v>
      </c>
    </row>
    <row r="76" spans="2:14" x14ac:dyDescent="0.2">
      <c r="B76" s="243">
        <f t="shared" si="3"/>
        <v>0</v>
      </c>
      <c r="C76" s="67">
        <f t="shared" si="6"/>
        <v>0</v>
      </c>
      <c r="D76" s="67">
        <f t="shared" si="6"/>
        <v>0</v>
      </c>
      <c r="E76" s="67">
        <f t="shared" si="6"/>
        <v>0</v>
      </c>
      <c r="F76" s="67">
        <f t="shared" si="6"/>
        <v>0</v>
      </c>
      <c r="G76" s="67">
        <f t="shared" si="6"/>
        <v>0</v>
      </c>
      <c r="H76" s="67">
        <f t="shared" si="6"/>
        <v>0</v>
      </c>
      <c r="I76" s="67">
        <f t="shared" si="6"/>
        <v>0</v>
      </c>
      <c r="J76" s="67">
        <f t="shared" si="6"/>
        <v>0</v>
      </c>
      <c r="K76" s="67">
        <f t="shared" si="6"/>
        <v>0</v>
      </c>
      <c r="L76" s="67">
        <f t="shared" si="6"/>
        <v>0</v>
      </c>
      <c r="M76" s="67">
        <f t="shared" si="6"/>
        <v>0</v>
      </c>
      <c r="N76" s="132">
        <f t="shared" si="6"/>
        <v>0</v>
      </c>
    </row>
    <row r="77" spans="2:14" x14ac:dyDescent="0.2">
      <c r="B77" s="243">
        <f t="shared" si="3"/>
        <v>0</v>
      </c>
      <c r="C77" s="67">
        <f t="shared" si="6"/>
        <v>0</v>
      </c>
      <c r="D77" s="67">
        <f t="shared" si="6"/>
        <v>0</v>
      </c>
      <c r="E77" s="67">
        <f t="shared" si="6"/>
        <v>0</v>
      </c>
      <c r="F77" s="67">
        <f t="shared" si="6"/>
        <v>0</v>
      </c>
      <c r="G77" s="67">
        <f t="shared" si="6"/>
        <v>0</v>
      </c>
      <c r="H77" s="67">
        <f t="shared" si="6"/>
        <v>0</v>
      </c>
      <c r="I77" s="67">
        <f t="shared" si="6"/>
        <v>0</v>
      </c>
      <c r="J77" s="67">
        <f t="shared" si="6"/>
        <v>0</v>
      </c>
      <c r="K77" s="67">
        <f t="shared" si="6"/>
        <v>0</v>
      </c>
      <c r="L77" s="67">
        <f t="shared" si="6"/>
        <v>0</v>
      </c>
      <c r="M77" s="67">
        <f t="shared" si="6"/>
        <v>0</v>
      </c>
      <c r="N77" s="132">
        <f t="shared" si="6"/>
        <v>0</v>
      </c>
    </row>
    <row r="78" spans="2:14" x14ac:dyDescent="0.2">
      <c r="B78" s="243">
        <f t="shared" si="3"/>
        <v>0</v>
      </c>
      <c r="C78" s="67">
        <f t="shared" si="6"/>
        <v>0</v>
      </c>
      <c r="D78" s="67">
        <f t="shared" si="6"/>
        <v>0</v>
      </c>
      <c r="E78" s="67">
        <f t="shared" si="6"/>
        <v>0</v>
      </c>
      <c r="F78" s="67">
        <f t="shared" si="6"/>
        <v>0</v>
      </c>
      <c r="G78" s="67">
        <f t="shared" si="6"/>
        <v>0</v>
      </c>
      <c r="H78" s="67">
        <f t="shared" si="6"/>
        <v>0</v>
      </c>
      <c r="I78" s="67">
        <f t="shared" si="6"/>
        <v>0</v>
      </c>
      <c r="J78" s="67">
        <f t="shared" si="6"/>
        <v>0</v>
      </c>
      <c r="K78" s="67">
        <f t="shared" si="6"/>
        <v>0</v>
      </c>
      <c r="L78" s="67">
        <f t="shared" si="6"/>
        <v>0</v>
      </c>
      <c r="M78" s="67">
        <f t="shared" si="6"/>
        <v>0</v>
      </c>
      <c r="N78" s="132">
        <f t="shared" si="6"/>
        <v>0</v>
      </c>
    </row>
    <row r="79" spans="2:14" x14ac:dyDescent="0.2">
      <c r="B79" s="243">
        <f t="shared" si="3"/>
        <v>0</v>
      </c>
      <c r="C79" s="67">
        <f t="shared" si="6"/>
        <v>0</v>
      </c>
      <c r="D79" s="67">
        <f t="shared" si="6"/>
        <v>0</v>
      </c>
      <c r="E79" s="67">
        <f t="shared" si="6"/>
        <v>0</v>
      </c>
      <c r="F79" s="67">
        <f t="shared" si="6"/>
        <v>0</v>
      </c>
      <c r="G79" s="67">
        <f t="shared" si="6"/>
        <v>0</v>
      </c>
      <c r="H79" s="67">
        <f t="shared" si="6"/>
        <v>0</v>
      </c>
      <c r="I79" s="67">
        <f t="shared" si="6"/>
        <v>0</v>
      </c>
      <c r="J79" s="67">
        <f t="shared" si="6"/>
        <v>0</v>
      </c>
      <c r="K79" s="67">
        <f t="shared" si="6"/>
        <v>0</v>
      </c>
      <c r="L79" s="67">
        <f t="shared" si="6"/>
        <v>0</v>
      </c>
      <c r="M79" s="67">
        <f t="shared" si="6"/>
        <v>0</v>
      </c>
      <c r="N79" s="132">
        <f t="shared" si="6"/>
        <v>0</v>
      </c>
    </row>
    <row r="80" spans="2:14" x14ac:dyDescent="0.2">
      <c r="B80" s="243">
        <f t="shared" si="3"/>
        <v>0</v>
      </c>
      <c r="C80" s="67">
        <f t="shared" si="6"/>
        <v>0</v>
      </c>
      <c r="D80" s="67">
        <f t="shared" si="6"/>
        <v>0</v>
      </c>
      <c r="E80" s="67">
        <f t="shared" si="6"/>
        <v>0</v>
      </c>
      <c r="F80" s="67">
        <f t="shared" si="6"/>
        <v>0</v>
      </c>
      <c r="G80" s="67">
        <f t="shared" si="6"/>
        <v>0</v>
      </c>
      <c r="H80" s="67">
        <f t="shared" si="6"/>
        <v>0</v>
      </c>
      <c r="I80" s="67">
        <f t="shared" si="6"/>
        <v>0</v>
      </c>
      <c r="J80" s="67">
        <f t="shared" si="6"/>
        <v>0</v>
      </c>
      <c r="K80" s="67">
        <f t="shared" si="6"/>
        <v>0</v>
      </c>
      <c r="L80" s="67">
        <f t="shared" si="6"/>
        <v>0</v>
      </c>
      <c r="M80" s="67">
        <f t="shared" si="6"/>
        <v>0</v>
      </c>
      <c r="N80" s="132">
        <f t="shared" si="6"/>
        <v>0</v>
      </c>
    </row>
    <row r="81" spans="2:14" x14ac:dyDescent="0.2">
      <c r="B81" s="243">
        <f t="shared" si="3"/>
        <v>0</v>
      </c>
      <c r="C81" s="67">
        <f t="shared" si="6"/>
        <v>0</v>
      </c>
      <c r="D81" s="67">
        <f t="shared" si="6"/>
        <v>0</v>
      </c>
      <c r="E81" s="67">
        <f t="shared" si="6"/>
        <v>0</v>
      </c>
      <c r="F81" s="67">
        <f t="shared" si="6"/>
        <v>0</v>
      </c>
      <c r="G81" s="67">
        <f t="shared" si="6"/>
        <v>0</v>
      </c>
      <c r="H81" s="67">
        <f t="shared" si="6"/>
        <v>0</v>
      </c>
      <c r="I81" s="67">
        <f t="shared" si="6"/>
        <v>0</v>
      </c>
      <c r="J81" s="67">
        <f t="shared" si="6"/>
        <v>0</v>
      </c>
      <c r="K81" s="67">
        <f t="shared" si="6"/>
        <v>0</v>
      </c>
      <c r="L81" s="67">
        <f t="shared" si="6"/>
        <v>0</v>
      </c>
      <c r="M81" s="67">
        <f t="shared" si="6"/>
        <v>0</v>
      </c>
      <c r="N81" s="132">
        <f t="shared" si="6"/>
        <v>0</v>
      </c>
    </row>
    <row r="82" spans="2:14" x14ac:dyDescent="0.2">
      <c r="B82" s="243">
        <f t="shared" si="3"/>
        <v>0</v>
      </c>
      <c r="C82" s="67">
        <f t="shared" si="6"/>
        <v>0</v>
      </c>
      <c r="D82" s="67">
        <f t="shared" si="6"/>
        <v>0</v>
      </c>
      <c r="E82" s="67">
        <f t="shared" si="6"/>
        <v>0</v>
      </c>
      <c r="F82" s="67">
        <f t="shared" si="6"/>
        <v>0</v>
      </c>
      <c r="G82" s="67">
        <f t="shared" si="6"/>
        <v>0</v>
      </c>
      <c r="H82" s="67">
        <f t="shared" si="6"/>
        <v>0</v>
      </c>
      <c r="I82" s="67">
        <f t="shared" si="6"/>
        <v>0</v>
      </c>
      <c r="J82" s="67">
        <f t="shared" si="6"/>
        <v>0</v>
      </c>
      <c r="K82" s="67">
        <f t="shared" si="6"/>
        <v>0</v>
      </c>
      <c r="L82" s="67">
        <f t="shared" si="6"/>
        <v>0</v>
      </c>
      <c r="M82" s="67">
        <f t="shared" si="6"/>
        <v>0</v>
      </c>
      <c r="N82" s="132">
        <f t="shared" si="6"/>
        <v>0</v>
      </c>
    </row>
    <row r="83" spans="2:14" x14ac:dyDescent="0.2">
      <c r="B83" s="243">
        <f t="shared" si="3"/>
        <v>0</v>
      </c>
      <c r="C83" s="67">
        <f t="shared" si="6"/>
        <v>0</v>
      </c>
      <c r="D83" s="67">
        <f t="shared" si="6"/>
        <v>0</v>
      </c>
      <c r="E83" s="67">
        <f t="shared" si="6"/>
        <v>0</v>
      </c>
      <c r="F83" s="67">
        <f t="shared" si="6"/>
        <v>0</v>
      </c>
      <c r="G83" s="67">
        <f t="shared" si="6"/>
        <v>0</v>
      </c>
      <c r="H83" s="67">
        <f t="shared" si="6"/>
        <v>0</v>
      </c>
      <c r="I83" s="67">
        <f t="shared" si="6"/>
        <v>0</v>
      </c>
      <c r="J83" s="67">
        <f t="shared" si="6"/>
        <v>0</v>
      </c>
      <c r="K83" s="67">
        <f t="shared" si="6"/>
        <v>0</v>
      </c>
      <c r="L83" s="67">
        <f t="shared" si="6"/>
        <v>0</v>
      </c>
      <c r="M83" s="67">
        <f t="shared" si="6"/>
        <v>0</v>
      </c>
      <c r="N83" s="132">
        <f t="shared" si="6"/>
        <v>0</v>
      </c>
    </row>
    <row r="84" spans="2:14" x14ac:dyDescent="0.2">
      <c r="B84" s="243">
        <f t="shared" si="3"/>
        <v>0</v>
      </c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132"/>
    </row>
    <row r="85" spans="2:14" x14ac:dyDescent="0.2">
      <c r="B85" s="243">
        <f t="shared" si="3"/>
        <v>0</v>
      </c>
      <c r="C85" s="67">
        <f t="shared" ref="C85:N97" si="7">C54*$C23*$D23</f>
        <v>0</v>
      </c>
      <c r="D85" s="67">
        <f t="shared" si="7"/>
        <v>0</v>
      </c>
      <c r="E85" s="67">
        <f t="shared" si="7"/>
        <v>0</v>
      </c>
      <c r="F85" s="67">
        <f t="shared" si="7"/>
        <v>0</v>
      </c>
      <c r="G85" s="67">
        <f t="shared" si="7"/>
        <v>0</v>
      </c>
      <c r="H85" s="67">
        <f t="shared" si="7"/>
        <v>0</v>
      </c>
      <c r="I85" s="67">
        <f t="shared" si="7"/>
        <v>0</v>
      </c>
      <c r="J85" s="67">
        <f t="shared" si="7"/>
        <v>0</v>
      </c>
      <c r="K85" s="67">
        <f t="shared" si="7"/>
        <v>0</v>
      </c>
      <c r="L85" s="67">
        <f t="shared" si="7"/>
        <v>0</v>
      </c>
      <c r="M85" s="67">
        <f t="shared" si="7"/>
        <v>0</v>
      </c>
      <c r="N85" s="132">
        <f t="shared" si="7"/>
        <v>0</v>
      </c>
    </row>
    <row r="86" spans="2:14" x14ac:dyDescent="0.2">
      <c r="B86" s="243">
        <f t="shared" si="3"/>
        <v>0</v>
      </c>
      <c r="C86" s="67">
        <f t="shared" si="7"/>
        <v>0</v>
      </c>
      <c r="D86" s="67">
        <f t="shared" si="7"/>
        <v>0</v>
      </c>
      <c r="E86" s="67">
        <f t="shared" si="7"/>
        <v>0</v>
      </c>
      <c r="F86" s="67">
        <f t="shared" si="7"/>
        <v>0</v>
      </c>
      <c r="G86" s="67">
        <f t="shared" si="7"/>
        <v>0</v>
      </c>
      <c r="H86" s="67">
        <f t="shared" si="7"/>
        <v>0</v>
      </c>
      <c r="I86" s="67">
        <f t="shared" si="7"/>
        <v>0</v>
      </c>
      <c r="J86" s="67">
        <f t="shared" si="7"/>
        <v>0</v>
      </c>
      <c r="K86" s="67">
        <f t="shared" si="7"/>
        <v>0</v>
      </c>
      <c r="L86" s="67">
        <f t="shared" si="7"/>
        <v>0</v>
      </c>
      <c r="M86" s="67">
        <f t="shared" si="7"/>
        <v>0</v>
      </c>
      <c r="N86" s="132">
        <f t="shared" si="7"/>
        <v>0</v>
      </c>
    </row>
    <row r="87" spans="2:14" x14ac:dyDescent="0.2">
      <c r="B87" s="243">
        <f t="shared" si="3"/>
        <v>0</v>
      </c>
      <c r="C87" s="67">
        <f t="shared" si="7"/>
        <v>0</v>
      </c>
      <c r="D87" s="67">
        <f t="shared" si="7"/>
        <v>0</v>
      </c>
      <c r="E87" s="67">
        <f t="shared" si="7"/>
        <v>0</v>
      </c>
      <c r="F87" s="67">
        <f t="shared" si="7"/>
        <v>0</v>
      </c>
      <c r="G87" s="67">
        <f t="shared" si="7"/>
        <v>0</v>
      </c>
      <c r="H87" s="67">
        <f t="shared" si="7"/>
        <v>0</v>
      </c>
      <c r="I87" s="67">
        <f t="shared" si="7"/>
        <v>0</v>
      </c>
      <c r="J87" s="67">
        <f t="shared" si="7"/>
        <v>0</v>
      </c>
      <c r="K87" s="67">
        <f t="shared" si="7"/>
        <v>0</v>
      </c>
      <c r="L87" s="67">
        <f t="shared" si="7"/>
        <v>0</v>
      </c>
      <c r="M87" s="67">
        <f t="shared" si="7"/>
        <v>0</v>
      </c>
      <c r="N87" s="132">
        <f t="shared" si="7"/>
        <v>0</v>
      </c>
    </row>
    <row r="88" spans="2:14" x14ac:dyDescent="0.2">
      <c r="B88" s="243">
        <f t="shared" si="3"/>
        <v>0</v>
      </c>
      <c r="C88" s="67">
        <f t="shared" si="7"/>
        <v>0</v>
      </c>
      <c r="D88" s="67">
        <f t="shared" si="7"/>
        <v>0</v>
      </c>
      <c r="E88" s="67">
        <f t="shared" si="7"/>
        <v>0</v>
      </c>
      <c r="F88" s="67">
        <f t="shared" si="7"/>
        <v>0</v>
      </c>
      <c r="G88" s="67">
        <f t="shared" si="7"/>
        <v>0</v>
      </c>
      <c r="H88" s="67">
        <f t="shared" si="7"/>
        <v>0</v>
      </c>
      <c r="I88" s="67">
        <f t="shared" si="7"/>
        <v>0</v>
      </c>
      <c r="J88" s="67">
        <f t="shared" si="7"/>
        <v>0</v>
      </c>
      <c r="K88" s="67">
        <f t="shared" si="7"/>
        <v>0</v>
      </c>
      <c r="L88" s="67">
        <f t="shared" si="7"/>
        <v>0</v>
      </c>
      <c r="M88" s="67">
        <f t="shared" si="7"/>
        <v>0</v>
      </c>
      <c r="N88" s="132">
        <f t="shared" si="7"/>
        <v>0</v>
      </c>
    </row>
    <row r="89" spans="2:14" x14ac:dyDescent="0.2">
      <c r="B89" s="243">
        <f t="shared" si="3"/>
        <v>0</v>
      </c>
      <c r="C89" s="67">
        <f t="shared" si="7"/>
        <v>0</v>
      </c>
      <c r="D89" s="67">
        <f t="shared" si="7"/>
        <v>0</v>
      </c>
      <c r="E89" s="67">
        <f t="shared" si="7"/>
        <v>0</v>
      </c>
      <c r="F89" s="67">
        <f t="shared" si="7"/>
        <v>0</v>
      </c>
      <c r="G89" s="67">
        <f t="shared" si="7"/>
        <v>0</v>
      </c>
      <c r="H89" s="67">
        <f t="shared" si="7"/>
        <v>0</v>
      </c>
      <c r="I89" s="67">
        <f t="shared" si="7"/>
        <v>0</v>
      </c>
      <c r="J89" s="67">
        <f t="shared" si="7"/>
        <v>0</v>
      </c>
      <c r="K89" s="67">
        <f t="shared" si="7"/>
        <v>0</v>
      </c>
      <c r="L89" s="67">
        <f t="shared" si="7"/>
        <v>0</v>
      </c>
      <c r="M89" s="67">
        <f t="shared" si="7"/>
        <v>0</v>
      </c>
      <c r="N89" s="132">
        <f t="shared" si="7"/>
        <v>0</v>
      </c>
    </row>
    <row r="90" spans="2:14" x14ac:dyDescent="0.2">
      <c r="B90" s="243">
        <f t="shared" si="3"/>
        <v>0</v>
      </c>
      <c r="C90" s="67">
        <f t="shared" si="7"/>
        <v>0</v>
      </c>
      <c r="D90" s="67">
        <f t="shared" si="7"/>
        <v>0</v>
      </c>
      <c r="E90" s="67">
        <f t="shared" si="7"/>
        <v>0</v>
      </c>
      <c r="F90" s="67">
        <f t="shared" si="7"/>
        <v>0</v>
      </c>
      <c r="G90" s="67">
        <f t="shared" si="7"/>
        <v>0</v>
      </c>
      <c r="H90" s="67">
        <f t="shared" si="7"/>
        <v>0</v>
      </c>
      <c r="I90" s="67">
        <f t="shared" si="7"/>
        <v>0</v>
      </c>
      <c r="J90" s="67">
        <f t="shared" si="7"/>
        <v>0</v>
      </c>
      <c r="K90" s="67">
        <f t="shared" si="7"/>
        <v>0</v>
      </c>
      <c r="L90" s="67">
        <f t="shared" si="7"/>
        <v>0</v>
      </c>
      <c r="M90" s="67">
        <f t="shared" si="7"/>
        <v>0</v>
      </c>
      <c r="N90" s="132">
        <f t="shared" si="7"/>
        <v>0</v>
      </c>
    </row>
    <row r="91" spans="2:14" x14ac:dyDescent="0.2">
      <c r="B91" s="243">
        <f t="shared" si="3"/>
        <v>0</v>
      </c>
      <c r="C91" s="67">
        <f t="shared" si="7"/>
        <v>0</v>
      </c>
      <c r="D91" s="67">
        <f t="shared" si="7"/>
        <v>0</v>
      </c>
      <c r="E91" s="67">
        <f t="shared" si="7"/>
        <v>0</v>
      </c>
      <c r="F91" s="67">
        <f t="shared" si="7"/>
        <v>0</v>
      </c>
      <c r="G91" s="67">
        <f t="shared" si="7"/>
        <v>0</v>
      </c>
      <c r="H91" s="67">
        <f t="shared" si="7"/>
        <v>0</v>
      </c>
      <c r="I91" s="67">
        <f t="shared" si="7"/>
        <v>0</v>
      </c>
      <c r="J91" s="67">
        <f t="shared" si="7"/>
        <v>0</v>
      </c>
      <c r="K91" s="67">
        <f t="shared" si="7"/>
        <v>0</v>
      </c>
      <c r="L91" s="67">
        <f t="shared" si="7"/>
        <v>0</v>
      </c>
      <c r="M91" s="67">
        <f t="shared" si="7"/>
        <v>0</v>
      </c>
      <c r="N91" s="132">
        <f t="shared" si="7"/>
        <v>0</v>
      </c>
    </row>
    <row r="92" spans="2:14" x14ac:dyDescent="0.2">
      <c r="B92" s="243">
        <f t="shared" si="3"/>
        <v>0</v>
      </c>
      <c r="C92" s="67">
        <f t="shared" si="7"/>
        <v>0</v>
      </c>
      <c r="D92" s="67">
        <f t="shared" si="7"/>
        <v>0</v>
      </c>
      <c r="E92" s="67">
        <f t="shared" si="7"/>
        <v>0</v>
      </c>
      <c r="F92" s="67">
        <f t="shared" si="7"/>
        <v>0</v>
      </c>
      <c r="G92" s="67">
        <f t="shared" si="7"/>
        <v>0</v>
      </c>
      <c r="H92" s="67">
        <f t="shared" si="7"/>
        <v>0</v>
      </c>
      <c r="I92" s="67">
        <f t="shared" si="7"/>
        <v>0</v>
      </c>
      <c r="J92" s="67">
        <f t="shared" si="7"/>
        <v>0</v>
      </c>
      <c r="K92" s="67">
        <f t="shared" si="7"/>
        <v>0</v>
      </c>
      <c r="L92" s="67">
        <f t="shared" si="7"/>
        <v>0</v>
      </c>
      <c r="M92" s="67">
        <f t="shared" si="7"/>
        <v>0</v>
      </c>
      <c r="N92" s="132">
        <f t="shared" si="7"/>
        <v>0</v>
      </c>
    </row>
    <row r="93" spans="2:14" x14ac:dyDescent="0.2">
      <c r="B93" s="243">
        <f t="shared" si="3"/>
        <v>0</v>
      </c>
      <c r="C93" s="67">
        <f t="shared" si="7"/>
        <v>0</v>
      </c>
      <c r="D93" s="67">
        <f t="shared" si="7"/>
        <v>0</v>
      </c>
      <c r="E93" s="67">
        <f t="shared" si="7"/>
        <v>0</v>
      </c>
      <c r="F93" s="67">
        <f t="shared" si="7"/>
        <v>0</v>
      </c>
      <c r="G93" s="67">
        <f t="shared" si="7"/>
        <v>0</v>
      </c>
      <c r="H93" s="67">
        <f t="shared" si="7"/>
        <v>0</v>
      </c>
      <c r="I93" s="67">
        <f t="shared" si="7"/>
        <v>0</v>
      </c>
      <c r="J93" s="67">
        <f t="shared" si="7"/>
        <v>0</v>
      </c>
      <c r="K93" s="67">
        <f t="shared" si="7"/>
        <v>0</v>
      </c>
      <c r="L93" s="67">
        <f t="shared" si="7"/>
        <v>0</v>
      </c>
      <c r="M93" s="67">
        <f t="shared" si="7"/>
        <v>0</v>
      </c>
      <c r="N93" s="132">
        <f t="shared" si="7"/>
        <v>0</v>
      </c>
    </row>
    <row r="94" spans="2:14" x14ac:dyDescent="0.2">
      <c r="B94" s="243">
        <f t="shared" si="3"/>
        <v>0</v>
      </c>
      <c r="C94" s="67">
        <f t="shared" si="7"/>
        <v>0</v>
      </c>
      <c r="D94" s="67">
        <f t="shared" si="7"/>
        <v>0</v>
      </c>
      <c r="E94" s="67">
        <f t="shared" si="7"/>
        <v>0</v>
      </c>
      <c r="F94" s="67">
        <f t="shared" si="7"/>
        <v>0</v>
      </c>
      <c r="G94" s="67">
        <f t="shared" si="7"/>
        <v>0</v>
      </c>
      <c r="H94" s="67">
        <f t="shared" si="7"/>
        <v>0</v>
      </c>
      <c r="I94" s="67">
        <f t="shared" si="7"/>
        <v>0</v>
      </c>
      <c r="J94" s="67">
        <f t="shared" si="7"/>
        <v>0</v>
      </c>
      <c r="K94" s="67">
        <f t="shared" si="7"/>
        <v>0</v>
      </c>
      <c r="L94" s="67">
        <f t="shared" si="7"/>
        <v>0</v>
      </c>
      <c r="M94" s="67">
        <f t="shared" si="7"/>
        <v>0</v>
      </c>
      <c r="N94" s="132">
        <f t="shared" si="7"/>
        <v>0</v>
      </c>
    </row>
    <row r="95" spans="2:14" x14ac:dyDescent="0.2">
      <c r="B95" s="243">
        <f t="shared" si="3"/>
        <v>0</v>
      </c>
      <c r="C95" s="67">
        <f t="shared" si="7"/>
        <v>0</v>
      </c>
      <c r="D95" s="67">
        <f t="shared" si="7"/>
        <v>0</v>
      </c>
      <c r="E95" s="67">
        <f t="shared" si="7"/>
        <v>0</v>
      </c>
      <c r="F95" s="67">
        <f t="shared" si="7"/>
        <v>0</v>
      </c>
      <c r="G95" s="67">
        <f t="shared" si="7"/>
        <v>0</v>
      </c>
      <c r="H95" s="67">
        <f t="shared" si="7"/>
        <v>0</v>
      </c>
      <c r="I95" s="67">
        <f t="shared" si="7"/>
        <v>0</v>
      </c>
      <c r="J95" s="67">
        <f t="shared" si="7"/>
        <v>0</v>
      </c>
      <c r="K95" s="67">
        <f t="shared" si="7"/>
        <v>0</v>
      </c>
      <c r="L95" s="67">
        <f t="shared" si="7"/>
        <v>0</v>
      </c>
      <c r="M95" s="67">
        <f t="shared" si="7"/>
        <v>0</v>
      </c>
      <c r="N95" s="132">
        <f t="shared" si="7"/>
        <v>0</v>
      </c>
    </row>
    <row r="96" spans="2:14" x14ac:dyDescent="0.2">
      <c r="B96" s="243">
        <f t="shared" si="3"/>
        <v>0</v>
      </c>
      <c r="C96" s="67">
        <f t="shared" si="7"/>
        <v>0</v>
      </c>
      <c r="D96" s="67">
        <f t="shared" si="7"/>
        <v>0</v>
      </c>
      <c r="E96" s="67">
        <f t="shared" si="7"/>
        <v>0</v>
      </c>
      <c r="F96" s="67">
        <f t="shared" si="7"/>
        <v>0</v>
      </c>
      <c r="G96" s="67">
        <f t="shared" si="7"/>
        <v>0</v>
      </c>
      <c r="H96" s="67">
        <f t="shared" si="7"/>
        <v>0</v>
      </c>
      <c r="I96" s="67">
        <f t="shared" si="7"/>
        <v>0</v>
      </c>
      <c r="J96" s="67">
        <f t="shared" si="7"/>
        <v>0</v>
      </c>
      <c r="K96" s="67">
        <f t="shared" si="7"/>
        <v>0</v>
      </c>
      <c r="L96" s="67">
        <f t="shared" si="7"/>
        <v>0</v>
      </c>
      <c r="M96" s="67">
        <f t="shared" si="7"/>
        <v>0</v>
      </c>
      <c r="N96" s="132">
        <f t="shared" si="7"/>
        <v>0</v>
      </c>
    </row>
    <row r="97" spans="2:15" x14ac:dyDescent="0.2">
      <c r="B97" s="245">
        <f t="shared" si="3"/>
        <v>0</v>
      </c>
      <c r="C97" s="195">
        <f t="shared" si="7"/>
        <v>0</v>
      </c>
      <c r="D97" s="195">
        <f t="shared" si="7"/>
        <v>0</v>
      </c>
      <c r="E97" s="195">
        <f t="shared" si="7"/>
        <v>0</v>
      </c>
      <c r="F97" s="195">
        <f t="shared" si="7"/>
        <v>0</v>
      </c>
      <c r="G97" s="195">
        <f t="shared" si="7"/>
        <v>0</v>
      </c>
      <c r="H97" s="195">
        <f t="shared" si="7"/>
        <v>0</v>
      </c>
      <c r="I97" s="195">
        <f t="shared" si="7"/>
        <v>0</v>
      </c>
      <c r="J97" s="195">
        <f t="shared" si="7"/>
        <v>0</v>
      </c>
      <c r="K97" s="195">
        <f t="shared" si="7"/>
        <v>0</v>
      </c>
      <c r="L97" s="195">
        <f t="shared" si="7"/>
        <v>0</v>
      </c>
      <c r="M97" s="195">
        <f t="shared" si="7"/>
        <v>0</v>
      </c>
      <c r="N97" s="196">
        <f t="shared" si="7"/>
        <v>0</v>
      </c>
    </row>
    <row r="98" spans="2:15" ht="17" thickBot="1" x14ac:dyDescent="0.25">
      <c r="B98" s="197" t="s">
        <v>180</v>
      </c>
      <c r="C98" s="198">
        <f t="shared" ref="C98:N98" si="8">SUM(C71:C97)</f>
        <v>0</v>
      </c>
      <c r="D98" s="198">
        <f t="shared" si="8"/>
        <v>0</v>
      </c>
      <c r="E98" s="198">
        <f t="shared" si="8"/>
        <v>0</v>
      </c>
      <c r="F98" s="198">
        <f t="shared" si="8"/>
        <v>0</v>
      </c>
      <c r="G98" s="198">
        <f t="shared" si="8"/>
        <v>0</v>
      </c>
      <c r="H98" s="198">
        <f t="shared" si="8"/>
        <v>0</v>
      </c>
      <c r="I98" s="198">
        <f t="shared" si="8"/>
        <v>0</v>
      </c>
      <c r="J98" s="198">
        <f t="shared" si="8"/>
        <v>0</v>
      </c>
      <c r="K98" s="198">
        <f t="shared" si="8"/>
        <v>0</v>
      </c>
      <c r="L98" s="198">
        <f t="shared" si="8"/>
        <v>0</v>
      </c>
      <c r="M98" s="198">
        <f t="shared" si="8"/>
        <v>0</v>
      </c>
      <c r="N98" s="199">
        <f t="shared" si="8"/>
        <v>0</v>
      </c>
      <c r="O98" s="170">
        <f>AVERAGE(C98:N98)</f>
        <v>0</v>
      </c>
    </row>
  </sheetData>
  <conditionalFormatting sqref="C40:N6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Growth</vt:lpstr>
      <vt:lpstr>Activity</vt:lpstr>
      <vt:lpstr>Allocation</vt:lpstr>
      <vt:lpstr>Capacity</vt:lpstr>
      <vt:lpstr>Collection</vt:lpstr>
      <vt:lpstr>Result</vt:lpstr>
      <vt:lpstr>Personnel</vt:lpstr>
      <vt:lpstr>OpEx</vt:lpstr>
      <vt:lpstr>Taxes</vt:lpstr>
      <vt:lpstr>P&amp;L</vt:lpstr>
      <vt:lpstr>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Fadi Adib</dc:creator>
  <cp:lastModifiedBy>Samer Kamel</cp:lastModifiedBy>
  <dcterms:created xsi:type="dcterms:W3CDTF">2019-12-25T18:39:51Z</dcterms:created>
  <dcterms:modified xsi:type="dcterms:W3CDTF">2025-12-31T14:04:36Z</dcterms:modified>
</cp:coreProperties>
</file>